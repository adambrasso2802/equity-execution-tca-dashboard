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am Brassington\OneDrive - The University of Manchester\Internships\"/>
    </mc:Choice>
  </mc:AlternateContent>
  <xr:revisionPtr revIDLastSave="0" documentId="13_ncr:1_{0E14E6ED-A25E-4677-B6D0-029F5C3BE0EE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01_Orders" sheetId="2" r:id="rId1"/>
    <sheet name="02_Fills" sheetId="3" r:id="rId2"/>
    <sheet name="03_OHLCV_5min" sheetId="4" r:id="rId3"/>
    <sheet name="10_TCA_Calc" sheetId="5" r:id="rId4"/>
    <sheet name="20_Scenarios" sheetId="6" r:id="rId5"/>
    <sheet name="99_Dashboard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5" l="1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2" i="5"/>
  <c r="V3" i="5"/>
  <c r="X3" i="5" s="1"/>
  <c r="V4" i="5"/>
  <c r="X4" i="5" s="1"/>
  <c r="V5" i="5"/>
  <c r="X5" i="5" s="1"/>
  <c r="V6" i="5"/>
  <c r="X6" i="5" s="1"/>
  <c r="V7" i="5"/>
  <c r="X7" i="5" s="1"/>
  <c r="V8" i="5"/>
  <c r="X8" i="5" s="1"/>
  <c r="V9" i="5"/>
  <c r="X9" i="5" s="1"/>
  <c r="V10" i="5"/>
  <c r="X10" i="5" s="1"/>
  <c r="V11" i="5"/>
  <c r="X11" i="5" s="1"/>
  <c r="V12" i="5"/>
  <c r="X12" i="5" s="1"/>
  <c r="V13" i="5"/>
  <c r="X13" i="5" s="1"/>
  <c r="V14" i="5"/>
  <c r="X14" i="5" s="1"/>
  <c r="V15" i="5"/>
  <c r="X15" i="5" s="1"/>
  <c r="V16" i="5"/>
  <c r="X16" i="5" s="1"/>
  <c r="V17" i="5"/>
  <c r="X17" i="5" s="1"/>
  <c r="V18" i="5"/>
  <c r="X18" i="5" s="1"/>
  <c r="V19" i="5"/>
  <c r="X19" i="5" s="1"/>
  <c r="V20" i="5"/>
  <c r="X20" i="5" s="1"/>
  <c r="V21" i="5"/>
  <c r="X21" i="5" s="1"/>
  <c r="V22" i="5"/>
  <c r="X22" i="5" s="1"/>
  <c r="V23" i="5"/>
  <c r="X23" i="5" s="1"/>
  <c r="V24" i="5"/>
  <c r="X24" i="5" s="1"/>
  <c r="V25" i="5"/>
  <c r="X25" i="5" s="1"/>
  <c r="V26" i="5"/>
  <c r="X26" i="5" s="1"/>
  <c r="V27" i="5"/>
  <c r="X27" i="5" s="1"/>
  <c r="V28" i="5"/>
  <c r="X28" i="5" s="1"/>
  <c r="V29" i="5"/>
  <c r="X29" i="5" s="1"/>
  <c r="V30" i="5"/>
  <c r="X30" i="5" s="1"/>
  <c r="V31" i="5"/>
  <c r="X31" i="5" s="1"/>
  <c r="V32" i="5"/>
  <c r="X32" i="5" s="1"/>
  <c r="V33" i="5"/>
  <c r="X33" i="5" s="1"/>
  <c r="V34" i="5"/>
  <c r="X34" i="5" s="1"/>
  <c r="V35" i="5"/>
  <c r="X35" i="5" s="1"/>
  <c r="V36" i="5"/>
  <c r="X36" i="5" s="1"/>
  <c r="V37" i="5"/>
  <c r="X37" i="5" s="1"/>
  <c r="V38" i="5"/>
  <c r="X38" i="5" s="1"/>
  <c r="V39" i="5"/>
  <c r="X39" i="5" s="1"/>
  <c r="V40" i="5"/>
  <c r="X40" i="5" s="1"/>
  <c r="V41" i="5"/>
  <c r="X41" i="5" s="1"/>
  <c r="V42" i="5"/>
  <c r="X42" i="5" s="1"/>
  <c r="V43" i="5"/>
  <c r="X43" i="5" s="1"/>
  <c r="V44" i="5"/>
  <c r="X44" i="5" s="1"/>
  <c r="V45" i="5"/>
  <c r="X45" i="5" s="1"/>
  <c r="V46" i="5"/>
  <c r="X46" i="5" s="1"/>
  <c r="V47" i="5"/>
  <c r="X47" i="5" s="1"/>
  <c r="V48" i="5"/>
  <c r="X48" i="5" s="1"/>
  <c r="V49" i="5"/>
  <c r="X49" i="5" s="1"/>
  <c r="V50" i="5"/>
  <c r="X50" i="5" s="1"/>
  <c r="V51" i="5"/>
  <c r="X51" i="5" s="1"/>
  <c r="V52" i="5"/>
  <c r="X52" i="5" s="1"/>
  <c r="V53" i="5"/>
  <c r="X53" i="5" s="1"/>
  <c r="V54" i="5"/>
  <c r="X54" i="5" s="1"/>
  <c r="V55" i="5"/>
  <c r="X55" i="5" s="1"/>
  <c r="V56" i="5"/>
  <c r="X56" i="5" s="1"/>
  <c r="V57" i="5"/>
  <c r="X57" i="5" s="1"/>
  <c r="V58" i="5"/>
  <c r="X58" i="5" s="1"/>
  <c r="V59" i="5"/>
  <c r="X59" i="5" s="1"/>
  <c r="V60" i="5"/>
  <c r="X60" i="5" s="1"/>
  <c r="V61" i="5"/>
  <c r="X61" i="5" s="1"/>
  <c r="V62" i="5"/>
  <c r="X62" i="5" s="1"/>
  <c r="V63" i="5"/>
  <c r="X63" i="5" s="1"/>
  <c r="V64" i="5"/>
  <c r="X64" i="5" s="1"/>
  <c r="V65" i="5"/>
  <c r="X65" i="5" s="1"/>
  <c r="V66" i="5"/>
  <c r="X66" i="5" s="1"/>
  <c r="V67" i="5"/>
  <c r="X67" i="5" s="1"/>
  <c r="V68" i="5"/>
  <c r="X68" i="5" s="1"/>
  <c r="V69" i="5"/>
  <c r="X69" i="5" s="1"/>
  <c r="V70" i="5"/>
  <c r="X70" i="5" s="1"/>
  <c r="V71" i="5"/>
  <c r="X71" i="5" s="1"/>
  <c r="V72" i="5"/>
  <c r="X72" i="5" s="1"/>
  <c r="V73" i="5"/>
  <c r="X73" i="5" s="1"/>
  <c r="V74" i="5"/>
  <c r="X74" i="5" s="1"/>
  <c r="V75" i="5"/>
  <c r="X75" i="5" s="1"/>
  <c r="V76" i="5"/>
  <c r="X76" i="5" s="1"/>
  <c r="V77" i="5"/>
  <c r="X77" i="5" s="1"/>
  <c r="V78" i="5"/>
  <c r="X78" i="5" s="1"/>
  <c r="V79" i="5"/>
  <c r="X79" i="5" s="1"/>
  <c r="V80" i="5"/>
  <c r="X80" i="5" s="1"/>
  <c r="V81" i="5"/>
  <c r="X81" i="5" s="1"/>
  <c r="V82" i="5"/>
  <c r="X82" i="5" s="1"/>
  <c r="V83" i="5"/>
  <c r="X83" i="5" s="1"/>
  <c r="V84" i="5"/>
  <c r="X84" i="5" s="1"/>
  <c r="V85" i="5"/>
  <c r="X85" i="5" s="1"/>
  <c r="V86" i="5"/>
  <c r="X86" i="5" s="1"/>
  <c r="V87" i="5"/>
  <c r="X87" i="5" s="1"/>
  <c r="V88" i="5"/>
  <c r="X88" i="5" s="1"/>
  <c r="V89" i="5"/>
  <c r="X89" i="5" s="1"/>
  <c r="V90" i="5"/>
  <c r="X90" i="5" s="1"/>
  <c r="V91" i="5"/>
  <c r="X91" i="5" s="1"/>
  <c r="V92" i="5"/>
  <c r="X92" i="5" s="1"/>
  <c r="V93" i="5"/>
  <c r="X93" i="5" s="1"/>
  <c r="V94" i="5"/>
  <c r="X94" i="5" s="1"/>
  <c r="V95" i="5"/>
  <c r="X95" i="5" s="1"/>
  <c r="V96" i="5"/>
  <c r="X96" i="5" s="1"/>
  <c r="V97" i="5"/>
  <c r="X97" i="5" s="1"/>
  <c r="V98" i="5"/>
  <c r="V99" i="5"/>
  <c r="X99" i="5" s="1"/>
  <c r="V100" i="5"/>
  <c r="X100" i="5" s="1"/>
  <c r="V101" i="5"/>
  <c r="X101" i="5" s="1"/>
  <c r="V102" i="5"/>
  <c r="X102" i="5" s="1"/>
  <c r="V103" i="5"/>
  <c r="X103" i="5" s="1"/>
  <c r="V104" i="5"/>
  <c r="X104" i="5" s="1"/>
  <c r="V105" i="5"/>
  <c r="X105" i="5" s="1"/>
  <c r="V106" i="5"/>
  <c r="X106" i="5" s="1"/>
  <c r="V107" i="5"/>
  <c r="X107" i="5" s="1"/>
  <c r="V108" i="5"/>
  <c r="X108" i="5" s="1"/>
  <c r="V109" i="5"/>
  <c r="X109" i="5" s="1"/>
  <c r="V110" i="5"/>
  <c r="X110" i="5" s="1"/>
  <c r="V111" i="5"/>
  <c r="X111" i="5" s="1"/>
  <c r="V112" i="5"/>
  <c r="X112" i="5" s="1"/>
  <c r="V113" i="5"/>
  <c r="X113" i="5" s="1"/>
  <c r="V114" i="5"/>
  <c r="X114" i="5" s="1"/>
  <c r="V115" i="5"/>
  <c r="X115" i="5" s="1"/>
  <c r="V116" i="5"/>
  <c r="X116" i="5" s="1"/>
  <c r="V117" i="5"/>
  <c r="X117" i="5" s="1"/>
  <c r="V118" i="5"/>
  <c r="X118" i="5" s="1"/>
  <c r="V119" i="5"/>
  <c r="X119" i="5" s="1"/>
  <c r="V120" i="5"/>
  <c r="X120" i="5" s="1"/>
  <c r="V121" i="5"/>
  <c r="X121" i="5" s="1"/>
  <c r="V2" i="5"/>
  <c r="X2" i="5" s="1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C11" i="7" s="1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2" i="5"/>
  <c r="B11" i="7"/>
  <c r="C12" i="7"/>
  <c r="B12" i="7"/>
  <c r="C10" i="7"/>
  <c r="B10" i="7"/>
  <c r="X98" i="5" l="1"/>
  <c r="E6" i="7"/>
  <c r="E7" i="7"/>
  <c r="E4" i="7"/>
  <c r="E8" i="7" l="1"/>
  <c r="E5" i="7"/>
</calcChain>
</file>

<file path=xl/sharedStrings.xml><?xml version="1.0" encoding="utf-8"?>
<sst xmlns="http://schemas.openxmlformats.org/spreadsheetml/2006/main" count="9610" uniqueCount="3938">
  <si>
    <t>order_id</t>
  </si>
  <si>
    <t>trade_date</t>
  </si>
  <si>
    <t>ticker</t>
  </si>
  <si>
    <t>side</t>
  </si>
  <si>
    <t>parent_qty</t>
  </si>
  <si>
    <t>start_dt</t>
  </si>
  <si>
    <t>end_dt</t>
  </si>
  <si>
    <t>urgency</t>
  </si>
  <si>
    <t>benchmark_ticker</t>
  </si>
  <si>
    <t>arrival_price</t>
  </si>
  <si>
    <t>end_price</t>
  </si>
  <si>
    <t>bench_arrival_price</t>
  </si>
  <si>
    <t>bench_end_price</t>
  </si>
  <si>
    <t>O0001</t>
  </si>
  <si>
    <t>NVDA</t>
  </si>
  <si>
    <t>BUY</t>
  </si>
  <si>
    <t>Low</t>
  </si>
  <si>
    <t>XLK</t>
  </si>
  <si>
    <t>O0002</t>
  </si>
  <si>
    <t>AAPL</t>
  </si>
  <si>
    <t>SELL</t>
  </si>
  <si>
    <t>O0003</t>
  </si>
  <si>
    <t>High</t>
  </si>
  <si>
    <t>O0004</t>
  </si>
  <si>
    <t>TSLA</t>
  </si>
  <si>
    <t>Medium</t>
  </si>
  <si>
    <t>SPY</t>
  </si>
  <si>
    <t>O0005</t>
  </si>
  <si>
    <t>MSFT</t>
  </si>
  <si>
    <t>O0006</t>
  </si>
  <si>
    <t>O0007</t>
  </si>
  <si>
    <t>O0008</t>
  </si>
  <si>
    <t>AMZN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</si>
  <si>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</si>
  <si>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</si>
  <si>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</si>
  <si>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</si>
  <si>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</si>
  <si>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</si>
  <si>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</si>
  <si>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</si>
  <si>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</si>
  <si>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</si>
  <si>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</si>
  <si>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</si>
  <si>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</si>
  <si>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</si>
  <si>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</si>
  <si>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</si>
  <si>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</si>
  <si>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</si>
  <si>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</si>
  <si>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</si>
  <si>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</si>
  <si>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</si>
  <si>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</si>
  <si>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</si>
  <si>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</si>
  <si>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</si>
  <si>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</si>
  <si>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</si>
  <si>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</si>
  <si>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</si>
  <si>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</si>
  <si>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</si>
  <si>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</si>
  <si>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</si>
  <si>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</si>
  <si>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</si>
  <si>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</si>
  <si>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</si>
  <si>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</si>
  <si>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</si>
  <si>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</si>
  <si>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</si>
  <si>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</si>
  <si>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</si>
  <si>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</si>
  <si>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</si>
  <si>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</si>
  <si>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</si>
  <si>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</si>
  <si>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</si>
  <si>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</si>
  <si>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</si>
  <si>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</si>
  <si>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</si>
  <si>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</si>
  <si>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</si>
  <si>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</si>
  <si>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</si>
  <si>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</si>
  <si>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</si>
  <si>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</si>
  <si>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</si>
  <si>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</si>
  <si>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</si>
  <si>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</si>
  <si>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</si>
  <si>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</si>
  <si>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</si>
  <si>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</si>
  <si>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</si>
  <si>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</si>
  <si>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</si>
  <si>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</si>
  <si>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</si>
  <si>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</si>
  <si>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</si>
  <si>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</si>
  <si>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</si>
  <si>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</si>
  <si>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</si>
  <si>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</si>
  <si>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</si>
  <si>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</si>
  <si>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</si>
  <si>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</si>
  <si>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</si>
  <si>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</si>
  <si>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</si>
  <si>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</si>
  <si>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</si>
  <si>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</si>
  <si>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</si>
  <si>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</si>
  <si>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</si>
  <si>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</si>
  <si>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</si>
  <si>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</si>
  <si>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</si>
  <si>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</si>
  <si>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</si>
  <si>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</si>
  <si>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</si>
  <si>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</si>
  <si>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</si>
  <si>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</si>
  <si>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</si>
  <si>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</si>
  <si>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</si>
  <si>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</si>
  <si>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</si>
  <si>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</si>
  <si>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</si>
  <si>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fill_id</t>
  </si>
  <si>
    <t>fill_dt</t>
  </si>
  <si>
    <t>fill_qty</t>
  </si>
  <si>
    <t>fill_price</t>
  </si>
  <si>
    <t>venue_type</t>
  </si>
  <si>
    <t>fee_bps</t>
  </si>
  <si>
    <t>notional</t>
  </si>
  <si>
    <t>fee_cost</t>
  </si>
  <si>
    <t>F000001</t>
  </si>
  <si>
    <t>BLOCK</t>
  </si>
  <si>
    <t>F000002</t>
  </si>
  <si>
    <t>LIT</t>
  </si>
  <si>
    <t>F000003</t>
  </si>
  <si>
    <t>F000004</t>
  </si>
  <si>
    <t>DARK</t>
  </si>
  <si>
    <t>F000005</t>
  </si>
  <si>
    <t>F000006</t>
  </si>
  <si>
    <t>F000007</t>
  </si>
  <si>
    <t>F000008</t>
  </si>
  <si>
    <t>F000009</t>
  </si>
  <si>
    <t>F000010</t>
  </si>
  <si>
    <t>F000011</t>
  </si>
  <si>
    <t>F000012</t>
  </si>
  <si>
    <t>F000013</t>
  </si>
  <si>
    <t>F000014</t>
  </si>
  <si>
    <t>F000015</t>
  </si>
  <si>
    <t>F000016</t>
  </si>
  <si>
    <t>F000017</t>
  </si>
  <si>
    <t>F000018</t>
  </si>
  <si>
    <t>F000019</t>
  </si>
  <si>
    <t>F000020</t>
  </si>
  <si>
    <t>F000021</t>
  </si>
  <si>
    <t>F000022</t>
  </si>
  <si>
    <t>F000023</t>
  </si>
  <si>
    <t>F000024</t>
  </si>
  <si>
    <t>F000025</t>
  </si>
  <si>
    <t>F000026</t>
  </si>
  <si>
    <t>F000027</t>
  </si>
  <si>
    <t>F000028</t>
  </si>
  <si>
    <t>F000029</t>
  </si>
  <si>
    <t>F000030</t>
  </si>
  <si>
    <t>F000031</t>
  </si>
  <si>
    <t>F000032</t>
  </si>
  <si>
    <t>F000033</t>
  </si>
  <si>
    <t>F000034</t>
  </si>
  <si>
    <t>F000035</t>
  </si>
  <si>
    <t>F000036</t>
  </si>
  <si>
    <t>F000037</t>
  </si>
  <si>
    <t>F000038</t>
  </si>
  <si>
    <t>F000039</t>
  </si>
  <si>
    <t>F000040</t>
  </si>
  <si>
    <t>F000041</t>
  </si>
  <si>
    <t>F000042</t>
  </si>
  <si>
    <t>F000043</t>
  </si>
  <si>
    <t>F000044</t>
  </si>
  <si>
    <t>F000045</t>
  </si>
  <si>
    <t>F000046</t>
  </si>
  <si>
    <t>F000047</t>
  </si>
  <si>
    <t>F000048</t>
  </si>
  <si>
    <t>F000049</t>
  </si>
  <si>
    <t>F000050</t>
  </si>
  <si>
    <t>F000051</t>
  </si>
  <si>
    <t>F000052</t>
  </si>
  <si>
    <t>F000053</t>
  </si>
  <si>
    <t>F000054</t>
  </si>
  <si>
    <t>F000055</t>
  </si>
  <si>
    <t>F000056</t>
  </si>
  <si>
    <t>F000057</t>
  </si>
  <si>
    <t>F000058</t>
  </si>
  <si>
    <t>F000059</t>
  </si>
  <si>
    <t>F000060</t>
  </si>
  <si>
    <t>F000061</t>
  </si>
  <si>
    <t>F000062</t>
  </si>
  <si>
    <t>F000063</t>
  </si>
  <si>
    <t>F000064</t>
  </si>
  <si>
    <t>F000065</t>
  </si>
  <si>
    <t>F000066</t>
  </si>
  <si>
    <t>F000067</t>
  </si>
  <si>
    <t>F000068</t>
  </si>
  <si>
    <t>F000069</t>
  </si>
  <si>
    <t>F000070</t>
  </si>
  <si>
    <t>F000071</t>
  </si>
  <si>
    <t>F000072</t>
  </si>
  <si>
    <t>F000073</t>
  </si>
  <si>
    <t>F000074</t>
  </si>
  <si>
    <t>F000075</t>
  </si>
  <si>
    <t>F000076</t>
  </si>
  <si>
    <t>F000077</t>
  </si>
  <si>
    <t>F000078</t>
  </si>
  <si>
    <t>F000079</t>
  </si>
  <si>
    <t>F000080</t>
  </si>
  <si>
    <t>F000081</t>
  </si>
  <si>
    <t>F000082</t>
  </si>
  <si>
    <t>F000083</t>
  </si>
  <si>
    <t>F000084</t>
  </si>
  <si>
    <t>F000085</t>
  </si>
  <si>
    <t>F000086</t>
  </si>
  <si>
    <t>F000087</t>
  </si>
  <si>
    <t>F000088</t>
  </si>
  <si>
    <t>F000089</t>
  </si>
  <si>
    <t>F000090</t>
  </si>
  <si>
    <t>F000091</t>
  </si>
  <si>
    <t>F000092</t>
  </si>
  <si>
    <t>F000093</t>
  </si>
  <si>
    <t>F000094</t>
  </si>
  <si>
    <t>F000095</t>
  </si>
  <si>
    <t>F000096</t>
  </si>
  <si>
    <t>F000097</t>
  </si>
  <si>
    <t>F000098</t>
  </si>
  <si>
    <t>F000099</t>
  </si>
  <si>
    <t>F000100</t>
  </si>
  <si>
    <t>F000101</t>
  </si>
  <si>
    <t>F000102</t>
  </si>
  <si>
    <t>F000103</t>
  </si>
  <si>
    <t>F000104</t>
  </si>
  <si>
    <t>F000105</t>
  </si>
  <si>
    <t>F000106</t>
  </si>
  <si>
    <t>F000107</t>
  </si>
  <si>
    <t>F000108</t>
  </si>
  <si>
    <t>F000109</t>
  </si>
  <si>
    <t>F000110</t>
  </si>
  <si>
    <t>F000111</t>
  </si>
  <si>
    <t>F000112</t>
  </si>
  <si>
    <t>F000113</t>
  </si>
  <si>
    <t>F000114</t>
  </si>
  <si>
    <t>F000115</t>
  </si>
  <si>
    <t>F000116</t>
  </si>
  <si>
    <t>F000117</t>
  </si>
  <si>
    <t>F000118</t>
  </si>
  <si>
    <t>F000119</t>
  </si>
  <si>
    <t>F000120</t>
  </si>
  <si>
    <t>F000121</t>
  </si>
  <si>
    <t>F000122</t>
  </si>
  <si>
    <t>F000123</t>
  </si>
  <si>
    <t>F000124</t>
  </si>
  <si>
    <t>F000125</t>
  </si>
  <si>
    <t>F000126</t>
  </si>
  <si>
    <t>F000127</t>
  </si>
  <si>
    <t>F000128</t>
  </si>
  <si>
    <t>F000129</t>
  </si>
  <si>
    <t>F000130</t>
  </si>
  <si>
    <t>F000131</t>
  </si>
  <si>
    <t>F000132</t>
  </si>
  <si>
    <t>F000133</t>
  </si>
  <si>
    <t>F000134</t>
  </si>
  <si>
    <t>F000135</t>
  </si>
  <si>
    <t>F000136</t>
  </si>
  <si>
    <t>F000137</t>
  </si>
  <si>
    <t>F000138</t>
  </si>
  <si>
    <t>F000139</t>
  </si>
  <si>
    <t>F000140</t>
  </si>
  <si>
    <t>F000141</t>
  </si>
  <si>
    <t>F000142</t>
  </si>
  <si>
    <t>F000143</t>
  </si>
  <si>
    <t>F000144</t>
  </si>
  <si>
    <t>F000145</t>
  </si>
  <si>
    <t>F000146</t>
  </si>
  <si>
    <t>F000147</t>
  </si>
  <si>
    <t>F000148</t>
  </si>
  <si>
    <t>F000149</t>
  </si>
  <si>
    <t>F000150</t>
  </si>
  <si>
    <t>F000151</t>
  </si>
  <si>
    <t>F000152</t>
  </si>
  <si>
    <t>F000153</t>
  </si>
  <si>
    <t>F000154</t>
  </si>
  <si>
    <t>F000155</t>
  </si>
  <si>
    <t>F000156</t>
  </si>
  <si>
    <t>F000157</t>
  </si>
  <si>
    <t>F000158</t>
  </si>
  <si>
    <t>F000159</t>
  </si>
  <si>
    <t>F000160</t>
  </si>
  <si>
    <t>F000161</t>
  </si>
  <si>
    <t>F000162</t>
  </si>
  <si>
    <t>F000163</t>
  </si>
  <si>
    <t>F000164</t>
  </si>
  <si>
    <t>F000165</t>
  </si>
  <si>
    <t>F000166</t>
  </si>
  <si>
    <t>F000167</t>
  </si>
  <si>
    <t>F000168</t>
  </si>
  <si>
    <t>F000169</t>
  </si>
  <si>
    <t>F000170</t>
  </si>
  <si>
    <t>F000171</t>
  </si>
  <si>
    <t>F000172</t>
  </si>
  <si>
    <t>F000173</t>
  </si>
  <si>
    <t>F000174</t>
  </si>
  <si>
    <t>F000175</t>
  </si>
  <si>
    <t>F000176</t>
  </si>
  <si>
    <t>F000177</t>
  </si>
  <si>
    <t>F000178</t>
  </si>
  <si>
    <t>F000179</t>
  </si>
  <si>
    <t>F000180</t>
  </si>
  <si>
    <t>F000181</t>
  </si>
  <si>
    <t>F000182</t>
  </si>
  <si>
    <t>F000183</t>
  </si>
  <si>
    <t>F000184</t>
  </si>
  <si>
    <t>F000185</t>
  </si>
  <si>
    <t>F000186</t>
  </si>
  <si>
    <t>F000187</t>
  </si>
  <si>
    <t>F000188</t>
  </si>
  <si>
    <t>F000189</t>
  </si>
  <si>
    <t>F000190</t>
  </si>
  <si>
    <t>F000191</t>
  </si>
  <si>
    <t>F000192</t>
  </si>
  <si>
    <t>F000193</t>
  </si>
  <si>
    <t>F000194</t>
  </si>
  <si>
    <t>F000195</t>
  </si>
  <si>
    <t>F000196</t>
  </si>
  <si>
    <t>F000197</t>
  </si>
  <si>
    <t>F000198</t>
  </si>
  <si>
    <t>F000199</t>
  </si>
  <si>
    <t>F000200</t>
  </si>
  <si>
    <t>F000201</t>
  </si>
  <si>
    <t>F000202</t>
  </si>
  <si>
    <t>F000203</t>
  </si>
  <si>
    <t>F000204</t>
  </si>
  <si>
    <t>F000205</t>
  </si>
  <si>
    <t>F000206</t>
  </si>
  <si>
    <t>F000207</t>
  </si>
  <si>
    <t>F000208</t>
  </si>
  <si>
    <t>F000209</t>
  </si>
  <si>
    <t>F000210</t>
  </si>
  <si>
    <t>F000211</t>
  </si>
  <si>
    <t>F000212</t>
  </si>
  <si>
    <t>F000213</t>
  </si>
  <si>
    <t>F000214</t>
  </si>
  <si>
    <t>F000215</t>
  </si>
  <si>
    <t>F000216</t>
  </si>
  <si>
    <t>F000217</t>
  </si>
  <si>
    <t>F000218</t>
  </si>
  <si>
    <t>F000219</t>
  </si>
  <si>
    <t>F000220</t>
  </si>
  <si>
    <t>F000221</t>
  </si>
  <si>
    <t>F000222</t>
  </si>
  <si>
    <t>F000223</t>
  </si>
  <si>
    <t>F000224</t>
  </si>
  <si>
    <t>F000225</t>
  </si>
  <si>
    <t>F000226</t>
  </si>
  <si>
    <t>F000227</t>
  </si>
  <si>
    <t>F000228</t>
  </si>
  <si>
    <t>F000229</t>
  </si>
  <si>
    <t>F000230</t>
  </si>
  <si>
    <t>F000231</t>
  </si>
  <si>
    <t>F000232</t>
  </si>
  <si>
    <t>F000233</t>
  </si>
  <si>
    <t>F000234</t>
  </si>
  <si>
    <t>F000235</t>
  </si>
  <si>
    <t>F000236</t>
  </si>
  <si>
    <t>F000237</t>
  </si>
  <si>
    <t>F000238</t>
  </si>
  <si>
    <t>F000239</t>
  </si>
  <si>
    <t>F000240</t>
  </si>
  <si>
    <t>F000241</t>
  </si>
  <si>
    <t>F000242</t>
  </si>
  <si>
    <t>F000243</t>
  </si>
  <si>
    <t>F000244</t>
  </si>
  <si>
    <t>F000245</t>
  </si>
  <si>
    <t>F000246</t>
  </si>
  <si>
    <t>F000247</t>
  </si>
  <si>
    <t>F000248</t>
  </si>
  <si>
    <t>F000249</t>
  </si>
  <si>
    <t>F000250</t>
  </si>
  <si>
    <t>F000251</t>
  </si>
  <si>
    <t>F000252</t>
  </si>
  <si>
    <t>F000253</t>
  </si>
  <si>
    <t>F000254</t>
  </si>
  <si>
    <t>F000255</t>
  </si>
  <si>
    <t>F000256</t>
  </si>
  <si>
    <t>F000257</t>
  </si>
  <si>
    <t>F000258</t>
  </si>
  <si>
    <t>F000259</t>
  </si>
  <si>
    <t>F000260</t>
  </si>
  <si>
    <t>F000261</t>
  </si>
  <si>
    <t>F000262</t>
  </si>
  <si>
    <t>F000263</t>
  </si>
  <si>
    <t>F000264</t>
  </si>
  <si>
    <t>F000265</t>
  </si>
  <si>
    <t>F000266</t>
  </si>
  <si>
    <t>F000267</t>
  </si>
  <si>
    <t>F000268</t>
  </si>
  <si>
    <t>F000269</t>
  </si>
  <si>
    <t>F000270</t>
  </si>
  <si>
    <t>F000271</t>
  </si>
  <si>
    <t>F000272</t>
  </si>
  <si>
    <t>F000273</t>
  </si>
  <si>
    <t>F000274</t>
  </si>
  <si>
    <t>F000275</t>
  </si>
  <si>
    <t>F000276</t>
  </si>
  <si>
    <t>F000277</t>
  </si>
  <si>
    <t>F000278</t>
  </si>
  <si>
    <t>F000279</t>
  </si>
  <si>
    <t>F000280</t>
  </si>
  <si>
    <t>F000281</t>
  </si>
  <si>
    <t>F000282</t>
  </si>
  <si>
    <t>F000283</t>
  </si>
  <si>
    <t>F000284</t>
  </si>
  <si>
    <t>F000285</t>
  </si>
  <si>
    <t>F000286</t>
  </si>
  <si>
    <t>F000287</t>
  </si>
  <si>
    <t>F000288</t>
  </si>
  <si>
    <t>F000289</t>
  </si>
  <si>
    <t>F000290</t>
  </si>
  <si>
    <t>F000291</t>
  </si>
  <si>
    <t>F000292</t>
  </si>
  <si>
    <t>F000293</t>
  </si>
  <si>
    <t>F000294</t>
  </si>
  <si>
    <t>F000295</t>
  </si>
  <si>
    <t>F000296</t>
  </si>
  <si>
    <t>F000297</t>
  </si>
  <si>
    <t>F000298</t>
  </si>
  <si>
    <t>F000299</t>
  </si>
  <si>
    <t>F000300</t>
  </si>
  <si>
    <t>F000301</t>
  </si>
  <si>
    <t>F000302</t>
  </si>
  <si>
    <t>F000303</t>
  </si>
  <si>
    <t>F000304</t>
  </si>
  <si>
    <t>F000305</t>
  </si>
  <si>
    <t>F000306</t>
  </si>
  <si>
    <t>F000307</t>
  </si>
  <si>
    <t>F000308</t>
  </si>
  <si>
    <t>F000309</t>
  </si>
  <si>
    <t>F000310</t>
  </si>
  <si>
    <t>F000311</t>
  </si>
  <si>
    <t>F000312</t>
  </si>
  <si>
    <t>F000313</t>
  </si>
  <si>
    <t>F000314</t>
  </si>
  <si>
    <t>F000315</t>
  </si>
  <si>
    <t>F000316</t>
  </si>
  <si>
    <t>F000317</t>
  </si>
  <si>
    <t>F000318</t>
  </si>
  <si>
    <t>F000319</t>
  </si>
  <si>
    <t>F000320</t>
  </si>
  <si>
    <t>F000321</t>
  </si>
  <si>
    <t>F000322</t>
  </si>
  <si>
    <t>F000323</t>
  </si>
  <si>
    <t>F000324</t>
  </si>
  <si>
    <t>F000325</t>
  </si>
  <si>
    <t>F000326</t>
  </si>
  <si>
    <t>F000327</t>
  </si>
  <si>
    <t>F000328</t>
  </si>
  <si>
    <t>F000329</t>
  </si>
  <si>
    <t>F000330</t>
  </si>
  <si>
    <t>F000331</t>
  </si>
  <si>
    <t>F000332</t>
  </si>
  <si>
    <t>F000333</t>
  </si>
  <si>
    <t>F000334</t>
  </si>
  <si>
    <t>F000335</t>
  </si>
  <si>
    <t>F000336</t>
  </si>
  <si>
    <t>F000337</t>
  </si>
  <si>
    <t>F000338</t>
  </si>
  <si>
    <t>F000339</t>
  </si>
  <si>
    <t>F000340</t>
  </si>
  <si>
    <t>F000341</t>
  </si>
  <si>
    <t>F000342</t>
  </si>
  <si>
    <t>F000343</t>
  </si>
  <si>
    <t>F000344</t>
  </si>
  <si>
    <t>F000345</t>
  </si>
  <si>
    <t>F000346</t>
  </si>
  <si>
    <t>F000347</t>
  </si>
  <si>
    <t>F000348</t>
  </si>
  <si>
    <t>F000349</t>
  </si>
  <si>
    <t>F000350</t>
  </si>
  <si>
    <t>F000351</t>
  </si>
  <si>
    <t>F000352</t>
  </si>
  <si>
    <t>F000353</t>
  </si>
  <si>
    <t>F000354</t>
  </si>
  <si>
    <t>F000355</t>
  </si>
  <si>
    <t>F000356</t>
  </si>
  <si>
    <t>F000357</t>
  </si>
  <si>
    <t>F000358</t>
  </si>
  <si>
    <t>F000359</t>
  </si>
  <si>
    <t>F000360</t>
  </si>
  <si>
    <t>F000361</t>
  </si>
  <si>
    <t>F000362</t>
  </si>
  <si>
    <t>F000363</t>
  </si>
  <si>
    <t>F000364</t>
  </si>
  <si>
    <t>F000365</t>
  </si>
  <si>
    <t>F000366</t>
  </si>
  <si>
    <t>F000367</t>
  </si>
  <si>
    <t>F000368</t>
  </si>
  <si>
    <t>F000369</t>
  </si>
  <si>
    <t>F000370</t>
  </si>
  <si>
    <t>F000371</t>
  </si>
  <si>
    <t>F000372</t>
  </si>
  <si>
    <t>F000373</t>
  </si>
  <si>
    <t>F000374</t>
  </si>
  <si>
    <t>F000375</t>
  </si>
  <si>
    <t>F000376</t>
  </si>
  <si>
    <t>F000377</t>
  </si>
  <si>
    <t>F000378</t>
  </si>
  <si>
    <t>F000379</t>
  </si>
  <si>
    <t>F000380</t>
  </si>
  <si>
    <t>F000381</t>
  </si>
  <si>
    <t>F000382</t>
  </si>
  <si>
    <t>F000383</t>
  </si>
  <si>
    <t>F000384</t>
  </si>
  <si>
    <t>F000385</t>
  </si>
  <si>
    <t>F000386</t>
  </si>
  <si>
    <t>F000387</t>
  </si>
  <si>
    <t>F000388</t>
  </si>
  <si>
    <t>F000389</t>
  </si>
  <si>
    <t>F000390</t>
  </si>
  <si>
    <t>F000391</t>
  </si>
  <si>
    <t>F000392</t>
  </si>
  <si>
    <t>F000393</t>
  </si>
  <si>
    <t>F000394</t>
  </si>
  <si>
    <t>F000395</t>
  </si>
  <si>
    <t>F000396</t>
  </si>
  <si>
    <t>F000397</t>
  </si>
  <si>
    <t>F000398</t>
  </si>
  <si>
    <t>F000399</t>
  </si>
  <si>
    <t>F000400</t>
  </si>
  <si>
    <t>F000401</t>
  </si>
  <si>
    <t>F000402</t>
  </si>
  <si>
    <t>F000403</t>
  </si>
  <si>
    <t>F000404</t>
  </si>
  <si>
    <t>F000405</t>
  </si>
  <si>
    <t>F000406</t>
  </si>
  <si>
    <t>F000407</t>
  </si>
  <si>
    <t>F000408</t>
  </si>
  <si>
    <t>F000409</t>
  </si>
  <si>
    <t>F000410</t>
  </si>
  <si>
    <t>F000411</t>
  </si>
  <si>
    <t>F000412</t>
  </si>
  <si>
    <t>F000413</t>
  </si>
  <si>
    <t>F000414</t>
  </si>
  <si>
    <t>F000415</t>
  </si>
  <si>
    <t>F000416</t>
  </si>
  <si>
    <t>F000417</t>
  </si>
  <si>
    <t>F000418</t>
  </si>
  <si>
    <t>F000419</t>
  </si>
  <si>
    <t>F000420</t>
  </si>
  <si>
    <t>F000421</t>
  </si>
  <si>
    <t>F000422</t>
  </si>
  <si>
    <t>F000423</t>
  </si>
  <si>
    <t>F000424</t>
  </si>
  <si>
    <t>F000425</t>
  </si>
  <si>
    <t>F000426</t>
  </si>
  <si>
    <t>F000427</t>
  </si>
  <si>
    <t>F000428</t>
  </si>
  <si>
    <t>F000429</t>
  </si>
  <si>
    <t>F000430</t>
  </si>
  <si>
    <t>F000431</t>
  </si>
  <si>
    <t>F000432</t>
  </si>
  <si>
    <t>F000433</t>
  </si>
  <si>
    <t>F000434</t>
  </si>
  <si>
    <t>F000435</t>
  </si>
  <si>
    <t>F000436</t>
  </si>
  <si>
    <t>F000437</t>
  </si>
  <si>
    <t>F000438</t>
  </si>
  <si>
    <t>F000439</t>
  </si>
  <si>
    <t>F000440</t>
  </si>
  <si>
    <t>F000441</t>
  </si>
  <si>
    <t>F000442</t>
  </si>
  <si>
    <t>F000443</t>
  </si>
  <si>
    <t>F000444</t>
  </si>
  <si>
    <t>F000445</t>
  </si>
  <si>
    <t>F000446</t>
  </si>
  <si>
    <t>F000447</t>
  </si>
  <si>
    <t>F000448</t>
  </si>
  <si>
    <t>F000449</t>
  </si>
  <si>
    <t>F000450</t>
  </si>
  <si>
    <t>F000451</t>
  </si>
  <si>
    <t>F000452</t>
  </si>
  <si>
    <t>F000453</t>
  </si>
  <si>
    <t>F000454</t>
  </si>
  <si>
    <t>F000455</t>
  </si>
  <si>
    <t>F000456</t>
  </si>
  <si>
    <t>F000457</t>
  </si>
  <si>
    <t>F000458</t>
  </si>
  <si>
    <t>F000459</t>
  </si>
  <si>
    <t>F000460</t>
  </si>
  <si>
    <t>F000461</t>
  </si>
  <si>
    <t>F000462</t>
  </si>
  <si>
    <t>F000463</t>
  </si>
  <si>
    <t>F000464</t>
  </si>
  <si>
    <t>F000465</t>
  </si>
  <si>
    <t>F000466</t>
  </si>
  <si>
    <t>F000467</t>
  </si>
  <si>
    <t>F000468</t>
  </si>
  <si>
    <t>F000469</t>
  </si>
  <si>
    <t>F000470</t>
  </si>
  <si>
    <t>F000471</t>
  </si>
  <si>
    <t>F000472</t>
  </si>
  <si>
    <t>F000473</t>
  </si>
  <si>
    <t>F000474</t>
  </si>
  <si>
    <t>F000475</t>
  </si>
  <si>
    <t>F000476</t>
  </si>
  <si>
    <t>F000477</t>
  </si>
  <si>
    <t>F000478</t>
  </si>
  <si>
    <t>F000479</t>
  </si>
  <si>
    <t>F000480</t>
  </si>
  <si>
    <t>F000481</t>
  </si>
  <si>
    <t>F000482</t>
  </si>
  <si>
    <t>F000483</t>
  </si>
  <si>
    <t>F000484</t>
  </si>
  <si>
    <t>F000485</t>
  </si>
  <si>
    <t>F000486</t>
  </si>
  <si>
    <t>F000487</t>
  </si>
  <si>
    <t>F000488</t>
  </si>
  <si>
    <t>F000489</t>
  </si>
  <si>
    <t>F000490</t>
  </si>
  <si>
    <t>F000491</t>
  </si>
  <si>
    <t>F000492</t>
  </si>
  <si>
    <t>F000493</t>
  </si>
  <si>
    <t>F000494</t>
  </si>
  <si>
    <t>F000495</t>
  </si>
  <si>
    <t>F000496</t>
  </si>
  <si>
    <t>F000497</t>
  </si>
  <si>
    <t>F000498</t>
  </si>
  <si>
    <t>F000499</t>
  </si>
  <si>
    <t>F000500</t>
  </si>
  <si>
    <t>F000501</t>
  </si>
  <si>
    <t>F000502</t>
  </si>
  <si>
    <t>F000503</t>
  </si>
  <si>
    <t>F000504</t>
  </si>
  <si>
    <t>F000505</t>
  </si>
  <si>
    <t>F000506</t>
  </si>
  <si>
    <t>F000507</t>
  </si>
  <si>
    <t>F000508</t>
  </si>
  <si>
    <t>F000509</t>
  </si>
  <si>
    <t>F000510</t>
  </si>
  <si>
    <t>F000511</t>
  </si>
  <si>
    <t>F000512</t>
  </si>
  <si>
    <t>F000513</t>
  </si>
  <si>
    <t>F000514</t>
  </si>
  <si>
    <t>F000515</t>
  </si>
  <si>
    <t>F000516</t>
  </si>
  <si>
    <t>F000517</t>
  </si>
  <si>
    <t>F000518</t>
  </si>
  <si>
    <t>F000519</t>
  </si>
  <si>
    <t>F000520</t>
  </si>
  <si>
    <t>F000521</t>
  </si>
  <si>
    <t>F000522</t>
  </si>
  <si>
    <t>F000523</t>
  </si>
  <si>
    <t>F000524</t>
  </si>
  <si>
    <t>F000525</t>
  </si>
  <si>
    <t>F000526</t>
  </si>
  <si>
    <t>F000527</t>
  </si>
  <si>
    <t>F000528</t>
  </si>
  <si>
    <t>F000529</t>
  </si>
  <si>
    <t>F000530</t>
  </si>
  <si>
    <t>F000531</t>
  </si>
  <si>
    <t>F000532</t>
  </si>
  <si>
    <t>F000533</t>
  </si>
  <si>
    <t>F000534</t>
  </si>
  <si>
    <t>F000535</t>
  </si>
  <si>
    <t>F000536</t>
  </si>
  <si>
    <t>F000537</t>
  </si>
  <si>
    <t>F000538</t>
  </si>
  <si>
    <t>F000539</t>
  </si>
  <si>
    <t>F000540</t>
  </si>
  <si>
    <t>F000541</t>
  </si>
  <si>
    <t>F000542</t>
  </si>
  <si>
    <t>F000543</t>
  </si>
  <si>
    <t>F000544</t>
  </si>
  <si>
    <t>F000545</t>
  </si>
  <si>
    <t>F000546</t>
  </si>
  <si>
    <t>F000547</t>
  </si>
  <si>
    <t>F000548</t>
  </si>
  <si>
    <t>F000549</t>
  </si>
  <si>
    <t>F000550</t>
  </si>
  <si>
    <t>F000551</t>
  </si>
  <si>
    <t>F000552</t>
  </si>
  <si>
    <t>F000553</t>
  </si>
  <si>
    <t>F000554</t>
  </si>
  <si>
    <t>F000555</t>
  </si>
  <si>
    <t>F000556</t>
  </si>
  <si>
    <t>F000557</t>
  </si>
  <si>
    <t>F000558</t>
  </si>
  <si>
    <t>F000559</t>
  </si>
  <si>
    <t>F000560</t>
  </si>
  <si>
    <t>F000561</t>
  </si>
  <si>
    <t>F000562</t>
  </si>
  <si>
    <t>F000563</t>
  </si>
  <si>
    <t>F000564</t>
  </si>
  <si>
    <t>F000565</t>
  </si>
  <si>
    <t>F000566</t>
  </si>
  <si>
    <t>F000567</t>
  </si>
  <si>
    <t>F000568</t>
  </si>
  <si>
    <t>F000569</t>
  </si>
  <si>
    <t>F000570</t>
  </si>
  <si>
    <t>F000571</t>
  </si>
  <si>
    <t>F000572</t>
  </si>
  <si>
    <t>F000573</t>
  </si>
  <si>
    <t>F000574</t>
  </si>
  <si>
    <t>F000575</t>
  </si>
  <si>
    <t>F000576</t>
  </si>
  <si>
    <t>F000577</t>
  </si>
  <si>
    <t>F000578</t>
  </si>
  <si>
    <t>F000579</t>
  </si>
  <si>
    <t>F000580</t>
  </si>
  <si>
    <t>F000581</t>
  </si>
  <si>
    <t>F000582</t>
  </si>
  <si>
    <t>F000583</t>
  </si>
  <si>
    <t>F000584</t>
  </si>
  <si>
    <t>F000585</t>
  </si>
  <si>
    <t>F000586</t>
  </si>
  <si>
    <t>F000587</t>
  </si>
  <si>
    <t>F000588</t>
  </si>
  <si>
    <t>F000589</t>
  </si>
  <si>
    <t>F000590</t>
  </si>
  <si>
    <t>F000591</t>
  </si>
  <si>
    <t>F000592</t>
  </si>
  <si>
    <t>F000593</t>
  </si>
  <si>
    <t>F000594</t>
  </si>
  <si>
    <t>F000595</t>
  </si>
  <si>
    <t>F000596</t>
  </si>
  <si>
    <t>F000597</t>
  </si>
  <si>
    <t>F000598</t>
  </si>
  <si>
    <t>F000599</t>
  </si>
  <si>
    <t>F000600</t>
  </si>
  <si>
    <t>F000601</t>
  </si>
  <si>
    <t>F000602</t>
  </si>
  <si>
    <t>F000603</t>
  </si>
  <si>
    <t>F000604</t>
  </si>
  <si>
    <t>F000605</t>
  </si>
  <si>
    <t>F000606</t>
  </si>
  <si>
    <t>F000607</t>
  </si>
  <si>
    <t>F000608</t>
  </si>
  <si>
    <t>F000609</t>
  </si>
  <si>
    <t>F000610</t>
  </si>
  <si>
    <t>F000611</t>
  </si>
  <si>
    <t>F000612</t>
  </si>
  <si>
    <t>F000613</t>
  </si>
  <si>
    <t>F000614</t>
  </si>
  <si>
    <t>F000615</t>
  </si>
  <si>
    <t>F000616</t>
  </si>
  <si>
    <t>F000617</t>
  </si>
  <si>
    <t>F000618</t>
  </si>
  <si>
    <t>F000619</t>
  </si>
  <si>
    <t>F000620</t>
  </si>
  <si>
    <t>F000621</t>
  </si>
  <si>
    <t>F000622</t>
  </si>
  <si>
    <t>F000623</t>
  </si>
  <si>
    <t>F000624</t>
  </si>
  <si>
    <t>F000625</t>
  </si>
  <si>
    <t>F000626</t>
  </si>
  <si>
    <t>F000627</t>
  </si>
  <si>
    <t>F000628</t>
  </si>
  <si>
    <t>F000629</t>
  </si>
  <si>
    <t>F000630</t>
  </si>
  <si>
    <t>F000631</t>
  </si>
  <si>
    <t>F000632</t>
  </si>
  <si>
    <t>F000633</t>
  </si>
  <si>
    <t>F000634</t>
  </si>
  <si>
    <t>F000635</t>
  </si>
  <si>
    <t>F000636</t>
  </si>
  <si>
    <t>F000637</t>
  </si>
  <si>
    <t>F000638</t>
  </si>
  <si>
    <t>F000639</t>
  </si>
  <si>
    <t>F000640</t>
  </si>
  <si>
    <t>F000641</t>
  </si>
  <si>
    <t>F000642</t>
  </si>
  <si>
    <t>F000643</t>
  </si>
  <si>
    <t>F000644</t>
  </si>
  <si>
    <t>F000645</t>
  </si>
  <si>
    <t>F000646</t>
  </si>
  <si>
    <t>F000647</t>
  </si>
  <si>
    <t>F000648</t>
  </si>
  <si>
    <t>F000649</t>
  </si>
  <si>
    <t>F000650</t>
  </si>
  <si>
    <t>F000651</t>
  </si>
  <si>
    <t>F000652</t>
  </si>
  <si>
    <t>F000653</t>
  </si>
  <si>
    <t>F000654</t>
  </si>
  <si>
    <t>F000655</t>
  </si>
  <si>
    <t>F000656</t>
  </si>
  <si>
    <t>F000657</t>
  </si>
  <si>
    <t>F000658</t>
  </si>
  <si>
    <t>F000659</t>
  </si>
  <si>
    <t>F000660</t>
  </si>
  <si>
    <t>F000661</t>
  </si>
  <si>
    <t>F000662</t>
  </si>
  <si>
    <t>F000663</t>
  </si>
  <si>
    <t>F000664</t>
  </si>
  <si>
    <t>F000665</t>
  </si>
  <si>
    <t>F000666</t>
  </si>
  <si>
    <t>F000667</t>
  </si>
  <si>
    <t>F000668</t>
  </si>
  <si>
    <t>F000669</t>
  </si>
  <si>
    <t>F000670</t>
  </si>
  <si>
    <t>F000671</t>
  </si>
  <si>
    <t>F000672</t>
  </si>
  <si>
    <t>F000673</t>
  </si>
  <si>
    <t>F000674</t>
  </si>
  <si>
    <t>F000675</t>
  </si>
  <si>
    <t>F000676</t>
  </si>
  <si>
    <t>F000677</t>
  </si>
  <si>
    <t>F000678</t>
  </si>
  <si>
    <t>F000679</t>
  </si>
  <si>
    <t>F000680</t>
  </si>
  <si>
    <t>F000681</t>
  </si>
  <si>
    <t>F000682</t>
  </si>
  <si>
    <t>F000683</t>
  </si>
  <si>
    <t>F000684</t>
  </si>
  <si>
    <t>F000685</t>
  </si>
  <si>
    <t>F000686</t>
  </si>
  <si>
    <t>F000687</t>
  </si>
  <si>
    <t>F000688</t>
  </si>
  <si>
    <t>F000689</t>
  </si>
  <si>
    <t>F000690</t>
  </si>
  <si>
    <t>F000691</t>
  </si>
  <si>
    <t>F000692</t>
  </si>
  <si>
    <t>F000693</t>
  </si>
  <si>
    <t>F000694</t>
  </si>
  <si>
    <t>F000695</t>
  </si>
  <si>
    <t>F000696</t>
  </si>
  <si>
    <t>F000697</t>
  </si>
  <si>
    <t>F000698</t>
  </si>
  <si>
    <t>F000699</t>
  </si>
  <si>
    <t>F000700</t>
  </si>
  <si>
    <t>F000701</t>
  </si>
  <si>
    <t>F000702</t>
  </si>
  <si>
    <t>F000703</t>
  </si>
  <si>
    <t>F000704</t>
  </si>
  <si>
    <t>F000705</t>
  </si>
  <si>
    <t>F000706</t>
  </si>
  <si>
    <t>F000707</t>
  </si>
  <si>
    <t>F000708</t>
  </si>
  <si>
    <t>F000709</t>
  </si>
  <si>
    <t>F000710</t>
  </si>
  <si>
    <t>F000711</t>
  </si>
  <si>
    <t>F000712</t>
  </si>
  <si>
    <t>F000713</t>
  </si>
  <si>
    <t>F000714</t>
  </si>
  <si>
    <t>F000715</t>
  </si>
  <si>
    <t>F000716</t>
  </si>
  <si>
    <t>F000717</t>
  </si>
  <si>
    <t>F000718</t>
  </si>
  <si>
    <t>F000719</t>
  </si>
  <si>
    <t>F000720</t>
  </si>
  <si>
    <t>F000721</t>
  </si>
  <si>
    <t>F000722</t>
  </si>
  <si>
    <t>F000723</t>
  </si>
  <si>
    <t>F000724</t>
  </si>
  <si>
    <t>F000725</t>
  </si>
  <si>
    <t>F000726</t>
  </si>
  <si>
    <t>F000727</t>
  </si>
  <si>
    <t>F000728</t>
  </si>
  <si>
    <t>F000729</t>
  </si>
  <si>
    <t>F000730</t>
  </si>
  <si>
    <t>F000731</t>
  </si>
  <si>
    <t>F000732</t>
  </si>
  <si>
    <t>F000733</t>
  </si>
  <si>
    <t>F000734</t>
  </si>
  <si>
    <t>F000735</t>
  </si>
  <si>
    <t>F000736</t>
  </si>
  <si>
    <t>F000737</t>
  </si>
  <si>
    <t>F000738</t>
  </si>
  <si>
    <t>F000739</t>
  </si>
  <si>
    <t>F000740</t>
  </si>
  <si>
    <t>F000741</t>
  </si>
  <si>
    <t>F000742</t>
  </si>
  <si>
    <t>F000743</t>
  </si>
  <si>
    <t>F000744</t>
  </si>
  <si>
    <t>F000745</t>
  </si>
  <si>
    <t>F000746</t>
  </si>
  <si>
    <t>F000747</t>
  </si>
  <si>
    <t>F000748</t>
  </si>
  <si>
    <t>F000749</t>
  </si>
  <si>
    <t>F000750</t>
  </si>
  <si>
    <t>F000751</t>
  </si>
  <si>
    <t>F000752</t>
  </si>
  <si>
    <t>F000753</t>
  </si>
  <si>
    <t>F000754</t>
  </si>
  <si>
    <t>F000755</t>
  </si>
  <si>
    <t>F000756</t>
  </si>
  <si>
    <t>F000757</t>
  </si>
  <si>
    <t>F000758</t>
  </si>
  <si>
    <t>F000759</t>
  </si>
  <si>
    <t>F000760</t>
  </si>
  <si>
    <t>F000761</t>
  </si>
  <si>
    <t>F000762</t>
  </si>
  <si>
    <t>F000763</t>
  </si>
  <si>
    <t>F000764</t>
  </si>
  <si>
    <t>F000765</t>
  </si>
  <si>
    <t>F000766</t>
  </si>
  <si>
    <t>F000767</t>
  </si>
  <si>
    <t>F000768</t>
  </si>
  <si>
    <t>F000769</t>
  </si>
  <si>
    <t>F000770</t>
  </si>
  <si>
    <t>F000771</t>
  </si>
  <si>
    <t>F000772</t>
  </si>
  <si>
    <t>F000773</t>
  </si>
  <si>
    <t>F000774</t>
  </si>
  <si>
    <t>F000775</t>
  </si>
  <si>
    <t>F000776</t>
  </si>
  <si>
    <t>F000777</t>
  </si>
  <si>
    <t>F000778</t>
  </si>
  <si>
    <t>F000779</t>
  </si>
  <si>
    <t>F000780</t>
  </si>
  <si>
    <t>F000781</t>
  </si>
  <si>
    <t>F000782</t>
  </si>
  <si>
    <t>F000783</t>
  </si>
  <si>
    <t>F000784</t>
  </si>
  <si>
    <t>F000785</t>
  </si>
  <si>
    <t>F000786</t>
  </si>
  <si>
    <t>F000787</t>
  </si>
  <si>
    <t>F000788</t>
  </si>
  <si>
    <t>F000789</t>
  </si>
  <si>
    <t>F000790</t>
  </si>
  <si>
    <t>F000791</t>
  </si>
  <si>
    <t>F000792</t>
  </si>
  <si>
    <t>F000793</t>
  </si>
  <si>
    <t>F000794</t>
  </si>
  <si>
    <t>F000795</t>
  </si>
  <si>
    <t>F000796</t>
  </si>
  <si>
    <t>F000797</t>
  </si>
  <si>
    <t>F000798</t>
  </si>
  <si>
    <t>F000799</t>
  </si>
  <si>
    <t>F000800</t>
  </si>
  <si>
    <t>F000801</t>
  </si>
  <si>
    <t>F000802</t>
  </si>
  <si>
    <t>F000803</t>
  </si>
  <si>
    <t>F000804</t>
  </si>
  <si>
    <t>F000805</t>
  </si>
  <si>
    <t>F000806</t>
  </si>
  <si>
    <t>F000807</t>
  </si>
  <si>
    <t>F000808</t>
  </si>
  <si>
    <t>F000809</t>
  </si>
  <si>
    <t>F000810</t>
  </si>
  <si>
    <t>F000811</t>
  </si>
  <si>
    <t>F000812</t>
  </si>
  <si>
    <t>F000813</t>
  </si>
  <si>
    <t>F000814</t>
  </si>
  <si>
    <t>F000815</t>
  </si>
  <si>
    <t>F000816</t>
  </si>
  <si>
    <t>F000817</t>
  </si>
  <si>
    <t>F000818</t>
  </si>
  <si>
    <t>F000819</t>
  </si>
  <si>
    <t>F000820</t>
  </si>
  <si>
    <t>F000821</t>
  </si>
  <si>
    <t>F000822</t>
  </si>
  <si>
    <t>F000823</t>
  </si>
  <si>
    <t>F000824</t>
  </si>
  <si>
    <t>F000825</t>
  </si>
  <si>
    <t>F000826</t>
  </si>
  <si>
    <t>F000827</t>
  </si>
  <si>
    <t>F000828</t>
  </si>
  <si>
    <t>F000829</t>
  </si>
  <si>
    <t>F000830</t>
  </si>
  <si>
    <t>F000831</t>
  </si>
  <si>
    <t>F000832</t>
  </si>
  <si>
    <t>F000833</t>
  </si>
  <si>
    <t>F000834</t>
  </si>
  <si>
    <t>F000835</t>
  </si>
  <si>
    <t>F000836</t>
  </si>
  <si>
    <t>F000837</t>
  </si>
  <si>
    <t>F000838</t>
  </si>
  <si>
    <t>F000839</t>
  </si>
  <si>
    <t>F000840</t>
  </si>
  <si>
    <t>F000841</t>
  </si>
  <si>
    <t>F000842</t>
  </si>
  <si>
    <t>F000843</t>
  </si>
  <si>
    <t>F000844</t>
  </si>
  <si>
    <t>F000845</t>
  </si>
  <si>
    <t>F000846</t>
  </si>
  <si>
    <t>F000847</t>
  </si>
  <si>
    <t>F000848</t>
  </si>
  <si>
    <t>F000849</t>
  </si>
  <si>
    <t>F000850</t>
  </si>
  <si>
    <t>F000851</t>
  </si>
  <si>
    <t>F000852</t>
  </si>
  <si>
    <t>F000853</t>
  </si>
  <si>
    <t>F000854</t>
  </si>
  <si>
    <t>F000855</t>
  </si>
  <si>
    <t>F000856</t>
  </si>
  <si>
    <t>F000857</t>
  </si>
  <si>
    <t>F000858</t>
  </si>
  <si>
    <t>F000859</t>
  </si>
  <si>
    <t>F000860</t>
  </si>
  <si>
    <t>F000861</t>
  </si>
  <si>
    <t>F000862</t>
  </si>
  <si>
    <t>F000863</t>
  </si>
  <si>
    <t>F000864</t>
  </si>
  <si>
    <t>F000865</t>
  </si>
  <si>
    <t>F000866</t>
  </si>
  <si>
    <t>F000867</t>
  </si>
  <si>
    <t>F000868</t>
  </si>
  <si>
    <t>F000869</t>
  </si>
  <si>
    <t>F000870</t>
  </si>
  <si>
    <t>F000871</t>
  </si>
  <si>
    <t>F000872</t>
  </si>
  <si>
    <t>F000873</t>
  </si>
  <si>
    <t>F000874</t>
  </si>
  <si>
    <t>F000875</t>
  </si>
  <si>
    <t>F000876</t>
  </si>
  <si>
    <t>F000877</t>
  </si>
  <si>
    <t>F000878</t>
  </si>
  <si>
    <t>F000879</t>
  </si>
  <si>
    <t>F000880</t>
  </si>
  <si>
    <t>F000881</t>
  </si>
  <si>
    <t>F000882</t>
  </si>
  <si>
    <t>F000883</t>
  </si>
  <si>
    <t>F000884</t>
  </si>
  <si>
    <t>F000885</t>
  </si>
  <si>
    <t>F000886</t>
  </si>
  <si>
    <t>F000887</t>
  </si>
  <si>
    <t>F000888</t>
  </si>
  <si>
    <t>F000889</t>
  </si>
  <si>
    <t>F000890</t>
  </si>
  <si>
    <t>F000891</t>
  </si>
  <si>
    <t>F000892</t>
  </si>
  <si>
    <t>F000893</t>
  </si>
  <si>
    <t>F000894</t>
  </si>
  <si>
    <t>F000895</t>
  </si>
  <si>
    <t>F000896</t>
  </si>
  <si>
    <t>F000897</t>
  </si>
  <si>
    <t>F000898</t>
  </si>
  <si>
    <t>F000899</t>
  </si>
  <si>
    <t>F000900</t>
  </si>
  <si>
    <t>F000901</t>
  </si>
  <si>
    <t>F000902</t>
  </si>
  <si>
    <t>F000903</t>
  </si>
  <si>
    <t>F000904</t>
  </si>
  <si>
    <t>F000905</t>
  </si>
  <si>
    <t>F000906</t>
  </si>
  <si>
    <t>F000907</t>
  </si>
  <si>
    <t>F000908</t>
  </si>
  <si>
    <t>F000909</t>
  </si>
  <si>
    <t>F000910</t>
  </si>
  <si>
    <t>F000911</t>
  </si>
  <si>
    <t>F000912</t>
  </si>
  <si>
    <t>F000913</t>
  </si>
  <si>
    <t>F000914</t>
  </si>
  <si>
    <t>F000915</t>
  </si>
  <si>
    <t>F000916</t>
  </si>
  <si>
    <t>F000917</t>
  </si>
  <si>
    <t>F000918</t>
  </si>
  <si>
    <t>F000919</t>
  </si>
  <si>
    <t>F000920</t>
  </si>
  <si>
    <t>F000921</t>
  </si>
  <si>
    <t>F000922</t>
  </si>
  <si>
    <t>F000923</t>
  </si>
  <si>
    <t>F000924</t>
  </si>
  <si>
    <t>F000925</t>
  </si>
  <si>
    <t>F000926</t>
  </si>
  <si>
    <t>F000927</t>
  </si>
  <si>
    <t>F000928</t>
  </si>
  <si>
    <t>F000929</t>
  </si>
  <si>
    <t>F000930</t>
  </si>
  <si>
    <t>F000931</t>
  </si>
  <si>
    <t>F000932</t>
  </si>
  <si>
    <t>F000933</t>
  </si>
  <si>
    <t>F000934</t>
  </si>
  <si>
    <t>F000935</t>
  </si>
  <si>
    <t>F000936</t>
  </si>
  <si>
    <t>F000937</t>
  </si>
  <si>
    <t>F000938</t>
  </si>
  <si>
    <t>F000939</t>
  </si>
  <si>
    <t>F000940</t>
  </si>
  <si>
    <t>F000941</t>
  </si>
  <si>
    <t>F000942</t>
  </si>
  <si>
    <t>F000943</t>
  </si>
  <si>
    <t>F000944</t>
  </si>
  <si>
    <t>F000945</t>
  </si>
  <si>
    <t>F000946</t>
  </si>
  <si>
    <t>F000947</t>
  </si>
  <si>
    <t>F000948</t>
  </si>
  <si>
    <t>F000949</t>
  </si>
  <si>
    <t>F000950</t>
  </si>
  <si>
    <t>F000951</t>
  </si>
  <si>
    <t>F000952</t>
  </si>
  <si>
    <t>F000953</t>
  </si>
  <si>
    <t>F000954</t>
  </si>
  <si>
    <t>F000955</t>
  </si>
  <si>
    <t>F000956</t>
  </si>
  <si>
    <t>F000957</t>
  </si>
  <si>
    <t>F000958</t>
  </si>
  <si>
    <t>F000959</t>
  </si>
  <si>
    <t>F000960</t>
  </si>
  <si>
    <t>F000961</t>
  </si>
  <si>
    <t>F000962</t>
  </si>
  <si>
    <t>F000963</t>
  </si>
  <si>
    <t>F000964</t>
  </si>
  <si>
    <t>F000965</t>
  </si>
  <si>
    <t>F000966</t>
  </si>
  <si>
    <t>F000967</t>
  </si>
  <si>
    <t>dt</t>
  </si>
  <si>
    <t>open</t>
  </si>
  <si>
    <t>high</t>
  </si>
  <si>
    <t>low</t>
  </si>
  <si>
    <t>close</t>
  </si>
  <si>
    <t>volume</t>
  </si>
  <si>
    <t>pv</t>
  </si>
  <si>
    <t>key</t>
  </si>
  <si>
    <t>20251201 1430|AAPL</t>
  </si>
  <si>
    <t>20251201 1435|AAPL</t>
  </si>
  <si>
    <t>20251201 1440|AAPL</t>
  </si>
  <si>
    <t>20251201 1445|AAPL</t>
  </si>
  <si>
    <t>20251201 1450|AAPL</t>
  </si>
  <si>
    <t>20251201 1455|AAPL</t>
  </si>
  <si>
    <t>20251201 1500|AAPL</t>
  </si>
  <si>
    <t>20251201 1505|AAPL</t>
  </si>
  <si>
    <t>20251201 1510|AAPL</t>
  </si>
  <si>
    <t>20251201 1515|AAPL</t>
  </si>
  <si>
    <t>20251201 1520|AAPL</t>
  </si>
  <si>
    <t>20251201 1525|AAPL</t>
  </si>
  <si>
    <t>20251201 1530|AAPL</t>
  </si>
  <si>
    <t>20251201 1535|AAPL</t>
  </si>
  <si>
    <t>20251201 1540|AAPL</t>
  </si>
  <si>
    <t>20251201 1545|AAPL</t>
  </si>
  <si>
    <t>20251201 1550|AAPL</t>
  </si>
  <si>
    <t>20251201 1555|AAPL</t>
  </si>
  <si>
    <t>20251201 1600|AAPL</t>
  </si>
  <si>
    <t>20251201 1605|AAPL</t>
  </si>
  <si>
    <t>20251201 1610|AAPL</t>
  </si>
  <si>
    <t>20251201 1615|AAPL</t>
  </si>
  <si>
    <t>20251201 1620|AAPL</t>
  </si>
  <si>
    <t>20251201 1625|AAPL</t>
  </si>
  <si>
    <t>20251201 1630|AAPL</t>
  </si>
  <si>
    <t>20251201 1635|AAPL</t>
  </si>
  <si>
    <t>20251201 1640|AAPL</t>
  </si>
  <si>
    <t>20251201 1645|AAPL</t>
  </si>
  <si>
    <t>20251201 1650|AAPL</t>
  </si>
  <si>
    <t>20251201 1655|AAPL</t>
  </si>
  <si>
    <t>20251201 1700|AAPL</t>
  </si>
  <si>
    <t>20251201 1705|AAPL</t>
  </si>
  <si>
    <t>20251201 1710|AAPL</t>
  </si>
  <si>
    <t>20251201 1715|AAPL</t>
  </si>
  <si>
    <t>20251201 1720|AAPL</t>
  </si>
  <si>
    <t>20251201 1725|AAPL</t>
  </si>
  <si>
    <t>20251201 1730|AAPL</t>
  </si>
  <si>
    <t>20251201 1735|AAPL</t>
  </si>
  <si>
    <t>20251201 1740|AAPL</t>
  </si>
  <si>
    <t>20251201 1745|AAPL</t>
  </si>
  <si>
    <t>20251201 1750|AAPL</t>
  </si>
  <si>
    <t>20251201 1755|AAPL</t>
  </si>
  <si>
    <t>20251201 1800|AAPL</t>
  </si>
  <si>
    <t>20251201 1805|AAPL</t>
  </si>
  <si>
    <t>20251201 1810|AAPL</t>
  </si>
  <si>
    <t>20251201 1815|AAPL</t>
  </si>
  <si>
    <t>20251201 1820|AAPL</t>
  </si>
  <si>
    <t>20251201 1825|AAPL</t>
  </si>
  <si>
    <t>20251201 1830|AAPL</t>
  </si>
  <si>
    <t>20251201 1835|AAPL</t>
  </si>
  <si>
    <t>20251201 1840|AAPL</t>
  </si>
  <si>
    <t>20251201 1845|AAPL</t>
  </si>
  <si>
    <t>20251201 1850|AAPL</t>
  </si>
  <si>
    <t>20251201 1855|AAPL</t>
  </si>
  <si>
    <t>20251201 1900|AAPL</t>
  </si>
  <si>
    <t>20251201 1905|AAPL</t>
  </si>
  <si>
    <t>20251201 1910|AAPL</t>
  </si>
  <si>
    <t>20251201 1915|AAPL</t>
  </si>
  <si>
    <t>20251201 1920|AAPL</t>
  </si>
  <si>
    <t>20251201 1925|AAPL</t>
  </si>
  <si>
    <t>20251201 1930|AAPL</t>
  </si>
  <si>
    <t>20251201 1935|AAPL</t>
  </si>
  <si>
    <t>20251201 1940|AAPL</t>
  </si>
  <si>
    <t>20251201 1945|AAPL</t>
  </si>
  <si>
    <t>20251201 1950|AAPL</t>
  </si>
  <si>
    <t>20251201 1955|AAPL</t>
  </si>
  <si>
    <t>20251201 2000|AAPL</t>
  </si>
  <si>
    <t>20251201 2005|AAPL</t>
  </si>
  <si>
    <t>20251201 2010|AAPL</t>
  </si>
  <si>
    <t>20251201 2015|AAPL</t>
  </si>
  <si>
    <t>20251201 2020|AAPL</t>
  </si>
  <si>
    <t>20251201 2025|AAPL</t>
  </si>
  <si>
    <t>20251201 2030|AAPL</t>
  </si>
  <si>
    <t>20251201 2035|AAPL</t>
  </si>
  <si>
    <t>20251201 2040|AAPL</t>
  </si>
  <si>
    <t>20251201 2045|AAPL</t>
  </si>
  <si>
    <t>20251201 2050|AAPL</t>
  </si>
  <si>
    <t>20251201 2055|AAPL</t>
  </si>
  <si>
    <t>20251201 2100|AAPL</t>
  </si>
  <si>
    <t>20251202 1430|AAPL</t>
  </si>
  <si>
    <t>20251202 1435|AAPL</t>
  </si>
  <si>
    <t>20251202 1440|AAPL</t>
  </si>
  <si>
    <t>20251202 1445|AAPL</t>
  </si>
  <si>
    <t>20251202 1450|AAPL</t>
  </si>
  <si>
    <t>20251202 1455|AAPL</t>
  </si>
  <si>
    <t>20251202 1500|AAPL</t>
  </si>
  <si>
    <t>20251202 1505|AAPL</t>
  </si>
  <si>
    <t>20251202 1510|AAPL</t>
  </si>
  <si>
    <t>20251202 1515|AAPL</t>
  </si>
  <si>
    <t>20251202 1520|AAPL</t>
  </si>
  <si>
    <t>20251202 1525|AAPL</t>
  </si>
  <si>
    <t>20251202 1530|AAPL</t>
  </si>
  <si>
    <t>20251202 1535|AAPL</t>
  </si>
  <si>
    <t>20251202 1540|AAPL</t>
  </si>
  <si>
    <t>20251202 1545|AAPL</t>
  </si>
  <si>
    <t>20251202 1550|AAPL</t>
  </si>
  <si>
    <t>20251202 1555|AAPL</t>
  </si>
  <si>
    <t>20251202 1600|AAPL</t>
  </si>
  <si>
    <t>20251202 1605|AAPL</t>
  </si>
  <si>
    <t>20251202 1610|AAPL</t>
  </si>
  <si>
    <t>20251202 1615|AAPL</t>
  </si>
  <si>
    <t>20251202 1620|AAPL</t>
  </si>
  <si>
    <t>20251202 1625|AAPL</t>
  </si>
  <si>
    <t>20251202 1630|AAPL</t>
  </si>
  <si>
    <t>20251202 1635|AAPL</t>
  </si>
  <si>
    <t>20251202 1640|AAPL</t>
  </si>
  <si>
    <t>20251202 1645|AAPL</t>
  </si>
  <si>
    <t>20251202 1650|AAPL</t>
  </si>
  <si>
    <t>20251202 1655|AAPL</t>
  </si>
  <si>
    <t>20251202 1700|AAPL</t>
  </si>
  <si>
    <t>20251202 1705|AAPL</t>
  </si>
  <si>
    <t>20251202 1710|AAPL</t>
  </si>
  <si>
    <t>20251202 1715|AAPL</t>
  </si>
  <si>
    <t>20251202 1720|AAPL</t>
  </si>
  <si>
    <t>20251202 1725|AAPL</t>
  </si>
  <si>
    <t>20251202 1730|AAPL</t>
  </si>
  <si>
    <t>20251202 1735|AAPL</t>
  </si>
  <si>
    <t>20251202 1740|AAPL</t>
  </si>
  <si>
    <t>20251202 1745|AAPL</t>
  </si>
  <si>
    <t>20251202 1750|AAPL</t>
  </si>
  <si>
    <t>20251202 1755|AAPL</t>
  </si>
  <si>
    <t>20251202 1800|AAPL</t>
  </si>
  <si>
    <t>20251202 1805|AAPL</t>
  </si>
  <si>
    <t>20251202 1810|AAPL</t>
  </si>
  <si>
    <t>20251202 1815|AAPL</t>
  </si>
  <si>
    <t>20251202 1820|AAPL</t>
  </si>
  <si>
    <t>20251202 1825|AAPL</t>
  </si>
  <si>
    <t>20251202 1830|AAPL</t>
  </si>
  <si>
    <t>20251202 1835|AAPL</t>
  </si>
  <si>
    <t>20251202 1840|AAPL</t>
  </si>
  <si>
    <t>20251202 1845|AAPL</t>
  </si>
  <si>
    <t>20251202 1850|AAPL</t>
  </si>
  <si>
    <t>20251202 1855|AAPL</t>
  </si>
  <si>
    <t>20251202 1900|AAPL</t>
  </si>
  <si>
    <t>20251202 1905|AAPL</t>
  </si>
  <si>
    <t>20251202 1910|AAPL</t>
  </si>
  <si>
    <t>20251202 1915|AAPL</t>
  </si>
  <si>
    <t>20251202 1920|AAPL</t>
  </si>
  <si>
    <t>20251202 1925|AAPL</t>
  </si>
  <si>
    <t>20251202 1930|AAPL</t>
  </si>
  <si>
    <t>20251202 1935|AAPL</t>
  </si>
  <si>
    <t>20251202 1940|AAPL</t>
  </si>
  <si>
    <t>20251202 1945|AAPL</t>
  </si>
  <si>
    <t>20251202 1950|AAPL</t>
  </si>
  <si>
    <t>20251202 1955|AAPL</t>
  </si>
  <si>
    <t>20251202 2000|AAPL</t>
  </si>
  <si>
    <t>20251202 2005|AAPL</t>
  </si>
  <si>
    <t>20251202 2010|AAPL</t>
  </si>
  <si>
    <t>20251202 2015|AAPL</t>
  </si>
  <si>
    <t>20251202 2020|AAPL</t>
  </si>
  <si>
    <t>20251202 2025|AAPL</t>
  </si>
  <si>
    <t>20251202 2030|AAPL</t>
  </si>
  <si>
    <t>20251202 2035|AAPL</t>
  </si>
  <si>
    <t>20251202 2040|AAPL</t>
  </si>
  <si>
    <t>20251202 2045|AAPL</t>
  </si>
  <si>
    <t>20251202 2050|AAPL</t>
  </si>
  <si>
    <t>20251202 2055|AAPL</t>
  </si>
  <si>
    <t>20251202 2100|AAPL</t>
  </si>
  <si>
    <t>20251203 1430|AAPL</t>
  </si>
  <si>
    <t>20251203 1435|AAPL</t>
  </si>
  <si>
    <t>20251203 1440|AAPL</t>
  </si>
  <si>
    <t>20251203 1445|AAPL</t>
  </si>
  <si>
    <t>20251203 1450|AAPL</t>
  </si>
  <si>
    <t>20251203 1455|AAPL</t>
  </si>
  <si>
    <t>20251203 1500|AAPL</t>
  </si>
  <si>
    <t>20251203 1505|AAPL</t>
  </si>
  <si>
    <t>20251203 1510|AAPL</t>
  </si>
  <si>
    <t>20251203 1515|AAPL</t>
  </si>
  <si>
    <t>20251203 1520|AAPL</t>
  </si>
  <si>
    <t>20251203 1525|AAPL</t>
  </si>
  <si>
    <t>20251203 1530|AAPL</t>
  </si>
  <si>
    <t>20251203 1535|AAPL</t>
  </si>
  <si>
    <t>20251203 1540|AAPL</t>
  </si>
  <si>
    <t>20251203 1545|AAPL</t>
  </si>
  <si>
    <t>20251203 1550|AAPL</t>
  </si>
  <si>
    <t>20251203 1555|AAPL</t>
  </si>
  <si>
    <t>20251203 1600|AAPL</t>
  </si>
  <si>
    <t>20251203 1605|AAPL</t>
  </si>
  <si>
    <t>20251203 1610|AAPL</t>
  </si>
  <si>
    <t>20251203 1615|AAPL</t>
  </si>
  <si>
    <t>20251203 1620|AAPL</t>
  </si>
  <si>
    <t>20251203 1625|AAPL</t>
  </si>
  <si>
    <t>20251203 1630|AAPL</t>
  </si>
  <si>
    <t>20251203 1635|AAPL</t>
  </si>
  <si>
    <t>20251203 1640|AAPL</t>
  </si>
  <si>
    <t>20251203 1645|AAPL</t>
  </si>
  <si>
    <t>20251203 1650|AAPL</t>
  </si>
  <si>
    <t>20251203 1655|AAPL</t>
  </si>
  <si>
    <t>20251203 1700|AAPL</t>
  </si>
  <si>
    <t>20251203 1705|AAPL</t>
  </si>
  <si>
    <t>20251203 1710|AAPL</t>
  </si>
  <si>
    <t>20251203 1715|AAPL</t>
  </si>
  <si>
    <t>20251203 1720|AAPL</t>
  </si>
  <si>
    <t>20251203 1725|AAPL</t>
  </si>
  <si>
    <t>20251203 1730|AAPL</t>
  </si>
  <si>
    <t>20251203 1735|AAPL</t>
  </si>
  <si>
    <t>20251203 1740|AAPL</t>
  </si>
  <si>
    <t>20251203 1745|AAPL</t>
  </si>
  <si>
    <t>20251203 1750|AAPL</t>
  </si>
  <si>
    <t>20251203 1755|AAPL</t>
  </si>
  <si>
    <t>20251203 1800|AAPL</t>
  </si>
  <si>
    <t>20251203 1805|AAPL</t>
  </si>
  <si>
    <t>20251203 1810|AAPL</t>
  </si>
  <si>
    <t>20251203 1815|AAPL</t>
  </si>
  <si>
    <t>20251203 1820|AAPL</t>
  </si>
  <si>
    <t>20251203 1825|AAPL</t>
  </si>
  <si>
    <t>20251203 1830|AAPL</t>
  </si>
  <si>
    <t>20251203 1835|AAPL</t>
  </si>
  <si>
    <t>20251203 1840|AAPL</t>
  </si>
  <si>
    <t>20251203 1845|AAPL</t>
  </si>
  <si>
    <t>20251203 1850|AAPL</t>
  </si>
  <si>
    <t>20251203 1855|AAPL</t>
  </si>
  <si>
    <t>20251203 1900|AAPL</t>
  </si>
  <si>
    <t>20251203 1905|AAPL</t>
  </si>
  <si>
    <t>20251203 1910|AAPL</t>
  </si>
  <si>
    <t>20251203 1915|AAPL</t>
  </si>
  <si>
    <t>20251203 1920|AAPL</t>
  </si>
  <si>
    <t>20251203 1925|AAPL</t>
  </si>
  <si>
    <t>20251203 1930|AAPL</t>
  </si>
  <si>
    <t>20251203 1935|AAPL</t>
  </si>
  <si>
    <t>20251203 1940|AAPL</t>
  </si>
  <si>
    <t>20251203 1945|AAPL</t>
  </si>
  <si>
    <t>20251203 1950|AAPL</t>
  </si>
  <si>
    <t>20251203 1955|AAPL</t>
  </si>
  <si>
    <t>20251203 2000|AAPL</t>
  </si>
  <si>
    <t>20251203 2005|AAPL</t>
  </si>
  <si>
    <t>20251203 2010|AAPL</t>
  </si>
  <si>
    <t>20251203 2015|AAPL</t>
  </si>
  <si>
    <t>20251203 2020|AAPL</t>
  </si>
  <si>
    <t>20251203 2025|AAPL</t>
  </si>
  <si>
    <t>20251203 2030|AAPL</t>
  </si>
  <si>
    <t>20251203 2035|AAPL</t>
  </si>
  <si>
    <t>20251203 2040|AAPL</t>
  </si>
  <si>
    <t>20251203 2045|AAPL</t>
  </si>
  <si>
    <t>20251203 2050|AAPL</t>
  </si>
  <si>
    <t>20251203 2055|AAPL</t>
  </si>
  <si>
    <t>20251203 2100|AAPL</t>
  </si>
  <si>
    <t>20251204 1430|AAPL</t>
  </si>
  <si>
    <t>20251204 1435|AAPL</t>
  </si>
  <si>
    <t>20251204 1440|AAPL</t>
  </si>
  <si>
    <t>20251204 1445|AAPL</t>
  </si>
  <si>
    <t>20251204 1450|AAPL</t>
  </si>
  <si>
    <t>20251204 1455|AAPL</t>
  </si>
  <si>
    <t>20251204 1500|AAPL</t>
  </si>
  <si>
    <t>20251204 1505|AAPL</t>
  </si>
  <si>
    <t>20251204 1510|AAPL</t>
  </si>
  <si>
    <t>20251204 1515|AAPL</t>
  </si>
  <si>
    <t>20251204 1520|AAPL</t>
  </si>
  <si>
    <t>20251204 1525|AAPL</t>
  </si>
  <si>
    <t>20251204 1530|AAPL</t>
  </si>
  <si>
    <t>20251204 1535|AAPL</t>
  </si>
  <si>
    <t>20251204 1540|AAPL</t>
  </si>
  <si>
    <t>20251204 1545|AAPL</t>
  </si>
  <si>
    <t>20251204 1550|AAPL</t>
  </si>
  <si>
    <t>20251204 1555|AAPL</t>
  </si>
  <si>
    <t>20251204 1600|AAPL</t>
  </si>
  <si>
    <t>20251204 1605|AAPL</t>
  </si>
  <si>
    <t>20251204 1610|AAPL</t>
  </si>
  <si>
    <t>20251204 1615|AAPL</t>
  </si>
  <si>
    <t>20251204 1620|AAPL</t>
  </si>
  <si>
    <t>20251204 1625|AAPL</t>
  </si>
  <si>
    <t>20251204 1630|AAPL</t>
  </si>
  <si>
    <t>20251204 1635|AAPL</t>
  </si>
  <si>
    <t>20251204 1640|AAPL</t>
  </si>
  <si>
    <t>20251204 1645|AAPL</t>
  </si>
  <si>
    <t>20251204 1650|AAPL</t>
  </si>
  <si>
    <t>20251204 1655|AAPL</t>
  </si>
  <si>
    <t>20251204 1700|AAPL</t>
  </si>
  <si>
    <t>20251204 1705|AAPL</t>
  </si>
  <si>
    <t>20251204 1710|AAPL</t>
  </si>
  <si>
    <t>20251204 1715|AAPL</t>
  </si>
  <si>
    <t>20251204 1720|AAPL</t>
  </si>
  <si>
    <t>20251204 1725|AAPL</t>
  </si>
  <si>
    <t>20251204 1730|AAPL</t>
  </si>
  <si>
    <t>20251204 1735|AAPL</t>
  </si>
  <si>
    <t>20251204 1740|AAPL</t>
  </si>
  <si>
    <t>20251204 1745|AAPL</t>
  </si>
  <si>
    <t>20251204 1750|AAPL</t>
  </si>
  <si>
    <t>20251204 1755|AAPL</t>
  </si>
  <si>
    <t>20251204 1800|AAPL</t>
  </si>
  <si>
    <t>20251204 1805|AAPL</t>
  </si>
  <si>
    <t>20251204 1810|AAPL</t>
  </si>
  <si>
    <t>20251204 1815|AAPL</t>
  </si>
  <si>
    <t>20251204 1820|AAPL</t>
  </si>
  <si>
    <t>20251204 1825|AAPL</t>
  </si>
  <si>
    <t>20251204 1830|AAPL</t>
  </si>
  <si>
    <t>20251204 1835|AAPL</t>
  </si>
  <si>
    <t>20251204 1840|AAPL</t>
  </si>
  <si>
    <t>20251204 1845|AAPL</t>
  </si>
  <si>
    <t>20251204 1850|AAPL</t>
  </si>
  <si>
    <t>20251204 1855|AAPL</t>
  </si>
  <si>
    <t>20251204 1900|AAPL</t>
  </si>
  <si>
    <t>20251204 1905|AAPL</t>
  </si>
  <si>
    <t>20251204 1910|AAPL</t>
  </si>
  <si>
    <t>20251204 1915|AAPL</t>
  </si>
  <si>
    <t>20251204 1920|AAPL</t>
  </si>
  <si>
    <t>20251204 1925|AAPL</t>
  </si>
  <si>
    <t>20251204 1930|AAPL</t>
  </si>
  <si>
    <t>20251204 1935|AAPL</t>
  </si>
  <si>
    <t>20251204 1940|AAPL</t>
  </si>
  <si>
    <t>20251204 1945|AAPL</t>
  </si>
  <si>
    <t>20251204 1950|AAPL</t>
  </si>
  <si>
    <t>20251204 1955|AAPL</t>
  </si>
  <si>
    <t>20251204 2000|AAPL</t>
  </si>
  <si>
    <t>20251204 2005|AAPL</t>
  </si>
  <si>
    <t>20251204 2010|AAPL</t>
  </si>
  <si>
    <t>20251204 2015|AAPL</t>
  </si>
  <si>
    <t>20251204 2020|AAPL</t>
  </si>
  <si>
    <t>20251204 2025|AAPL</t>
  </si>
  <si>
    <t>20251204 2030|AAPL</t>
  </si>
  <si>
    <t>20251204 2035|AAPL</t>
  </si>
  <si>
    <t>20251204 2040|AAPL</t>
  </si>
  <si>
    <t>20251204 2045|AAPL</t>
  </si>
  <si>
    <t>20251204 2050|AAPL</t>
  </si>
  <si>
    <t>20251204 2055|AAPL</t>
  </si>
  <si>
    <t>20251204 2100|AAPL</t>
  </si>
  <si>
    <t>20251205 1430|AAPL</t>
  </si>
  <si>
    <t>20251205 1435|AAPL</t>
  </si>
  <si>
    <t>20251205 1440|AAPL</t>
  </si>
  <si>
    <t>20251205 1445|AAPL</t>
  </si>
  <si>
    <t>20251205 1450|AAPL</t>
  </si>
  <si>
    <t>20251205 1455|AAPL</t>
  </si>
  <si>
    <t>20251205 1500|AAPL</t>
  </si>
  <si>
    <t>20251205 1505|AAPL</t>
  </si>
  <si>
    <t>20251205 1510|AAPL</t>
  </si>
  <si>
    <t>20251205 1515|AAPL</t>
  </si>
  <si>
    <t>20251205 1520|AAPL</t>
  </si>
  <si>
    <t>20251205 1525|AAPL</t>
  </si>
  <si>
    <t>20251205 1530|AAPL</t>
  </si>
  <si>
    <t>20251205 1535|AAPL</t>
  </si>
  <si>
    <t>20251205 1540|AAPL</t>
  </si>
  <si>
    <t>20251205 1545|AAPL</t>
  </si>
  <si>
    <t>20251205 1550|AAPL</t>
  </si>
  <si>
    <t>20251205 1555|AAPL</t>
  </si>
  <si>
    <t>20251205 1600|AAPL</t>
  </si>
  <si>
    <t>20251205 1605|AAPL</t>
  </si>
  <si>
    <t>20251205 1610|AAPL</t>
  </si>
  <si>
    <t>20251205 1615|AAPL</t>
  </si>
  <si>
    <t>20251205 1620|AAPL</t>
  </si>
  <si>
    <t>20251205 1625|AAPL</t>
  </si>
  <si>
    <t>20251205 1630|AAPL</t>
  </si>
  <si>
    <t>20251205 1635|AAPL</t>
  </si>
  <si>
    <t>20251205 1640|AAPL</t>
  </si>
  <si>
    <t>20251205 1645|AAPL</t>
  </si>
  <si>
    <t>20251205 1650|AAPL</t>
  </si>
  <si>
    <t>20251205 1655|AAPL</t>
  </si>
  <si>
    <t>20251205 1700|AAPL</t>
  </si>
  <si>
    <t>20251205 1705|AAPL</t>
  </si>
  <si>
    <t>20251205 1710|AAPL</t>
  </si>
  <si>
    <t>20251205 1715|AAPL</t>
  </si>
  <si>
    <t>20251205 1720|AAPL</t>
  </si>
  <si>
    <t>20251205 1725|AAPL</t>
  </si>
  <si>
    <t>20251205 1730|AAPL</t>
  </si>
  <si>
    <t>20251205 1735|AAPL</t>
  </si>
  <si>
    <t>20251205 1740|AAPL</t>
  </si>
  <si>
    <t>20251205 1745|AAPL</t>
  </si>
  <si>
    <t>20251205 1750|AAPL</t>
  </si>
  <si>
    <t>20251205 1755|AAPL</t>
  </si>
  <si>
    <t>20251205 1800|AAPL</t>
  </si>
  <si>
    <t>20251205 1805|AAPL</t>
  </si>
  <si>
    <t>20251205 1810|AAPL</t>
  </si>
  <si>
    <t>20251205 1815|AAPL</t>
  </si>
  <si>
    <t>20251205 1820|AAPL</t>
  </si>
  <si>
    <t>20251205 1825|AAPL</t>
  </si>
  <si>
    <t>20251205 1830|AAPL</t>
  </si>
  <si>
    <t>20251205 1835|AAPL</t>
  </si>
  <si>
    <t>20251205 1840|AAPL</t>
  </si>
  <si>
    <t>20251205 1845|AAPL</t>
  </si>
  <si>
    <t>20251205 1850|AAPL</t>
  </si>
  <si>
    <t>20251205 1855|AAPL</t>
  </si>
  <si>
    <t>20251205 1900|AAPL</t>
  </si>
  <si>
    <t>20251205 1905|AAPL</t>
  </si>
  <si>
    <t>20251205 1910|AAPL</t>
  </si>
  <si>
    <t>20251205 1915|AAPL</t>
  </si>
  <si>
    <t>20251205 1920|AAPL</t>
  </si>
  <si>
    <t>20251205 1925|AAPL</t>
  </si>
  <si>
    <t>20251205 1930|AAPL</t>
  </si>
  <si>
    <t>20251205 1935|AAPL</t>
  </si>
  <si>
    <t>20251205 1940|AAPL</t>
  </si>
  <si>
    <t>20251205 1945|AAPL</t>
  </si>
  <si>
    <t>20251205 1950|AAPL</t>
  </si>
  <si>
    <t>20251205 1955|AAPL</t>
  </si>
  <si>
    <t>20251205 2000|AAPL</t>
  </si>
  <si>
    <t>20251205 2005|AAPL</t>
  </si>
  <si>
    <t>20251205 2010|AAPL</t>
  </si>
  <si>
    <t>20251205 2015|AAPL</t>
  </si>
  <si>
    <t>20251205 2020|AAPL</t>
  </si>
  <si>
    <t>20251205 2025|AAPL</t>
  </si>
  <si>
    <t>20251205 2030|AAPL</t>
  </si>
  <si>
    <t>20251205 2035|AAPL</t>
  </si>
  <si>
    <t>20251205 2040|AAPL</t>
  </si>
  <si>
    <t>20251205 2045|AAPL</t>
  </si>
  <si>
    <t>20251205 2050|AAPL</t>
  </si>
  <si>
    <t>20251205 2055|AAPL</t>
  </si>
  <si>
    <t>20251205 2100|AAPL</t>
  </si>
  <si>
    <t>20251201 1430|MSFT</t>
  </si>
  <si>
    <t>20251201 1435|MSFT</t>
  </si>
  <si>
    <t>20251201 1440|MSFT</t>
  </si>
  <si>
    <t>20251201 1445|MSFT</t>
  </si>
  <si>
    <t>20251201 1450|MSFT</t>
  </si>
  <si>
    <t>20251201 1455|MSFT</t>
  </si>
  <si>
    <t>20251201 1500|MSFT</t>
  </si>
  <si>
    <t>20251201 1505|MSFT</t>
  </si>
  <si>
    <t>20251201 1510|MSFT</t>
  </si>
  <si>
    <t>20251201 1515|MSFT</t>
  </si>
  <si>
    <t>20251201 1520|MSFT</t>
  </si>
  <si>
    <t>20251201 1525|MSFT</t>
  </si>
  <si>
    <t>20251201 1530|MSFT</t>
  </si>
  <si>
    <t>20251201 1535|MSFT</t>
  </si>
  <si>
    <t>20251201 1540|MSFT</t>
  </si>
  <si>
    <t>20251201 1545|MSFT</t>
  </si>
  <si>
    <t>20251201 1550|MSFT</t>
  </si>
  <si>
    <t>20251201 1555|MSFT</t>
  </si>
  <si>
    <t>20251201 1600|MSFT</t>
  </si>
  <si>
    <t>20251201 1605|MSFT</t>
  </si>
  <si>
    <t>20251201 1610|MSFT</t>
  </si>
  <si>
    <t>20251201 1615|MSFT</t>
  </si>
  <si>
    <t>20251201 1620|MSFT</t>
  </si>
  <si>
    <t>20251201 1625|MSFT</t>
  </si>
  <si>
    <t>20251201 1630|MSFT</t>
  </si>
  <si>
    <t>20251201 1635|MSFT</t>
  </si>
  <si>
    <t>20251201 1640|MSFT</t>
  </si>
  <si>
    <t>20251201 1645|MSFT</t>
  </si>
  <si>
    <t>20251201 1650|MSFT</t>
  </si>
  <si>
    <t>20251201 1655|MSFT</t>
  </si>
  <si>
    <t>20251201 1700|MSFT</t>
  </si>
  <si>
    <t>20251201 1705|MSFT</t>
  </si>
  <si>
    <t>20251201 1710|MSFT</t>
  </si>
  <si>
    <t>20251201 1715|MSFT</t>
  </si>
  <si>
    <t>20251201 1720|MSFT</t>
  </si>
  <si>
    <t>20251201 1725|MSFT</t>
  </si>
  <si>
    <t>20251201 1730|MSFT</t>
  </si>
  <si>
    <t>20251201 1735|MSFT</t>
  </si>
  <si>
    <t>20251201 1740|MSFT</t>
  </si>
  <si>
    <t>20251201 1745|MSFT</t>
  </si>
  <si>
    <t>20251201 1750|MSFT</t>
  </si>
  <si>
    <t>20251201 1755|MSFT</t>
  </si>
  <si>
    <t>20251201 1800|MSFT</t>
  </si>
  <si>
    <t>20251201 1805|MSFT</t>
  </si>
  <si>
    <t>20251201 1810|MSFT</t>
  </si>
  <si>
    <t>20251201 1815|MSFT</t>
  </si>
  <si>
    <t>20251201 1820|MSFT</t>
  </si>
  <si>
    <t>20251201 1825|MSFT</t>
  </si>
  <si>
    <t>20251201 1830|MSFT</t>
  </si>
  <si>
    <t>20251201 1835|MSFT</t>
  </si>
  <si>
    <t>20251201 1840|MSFT</t>
  </si>
  <si>
    <t>20251201 1845|MSFT</t>
  </si>
  <si>
    <t>20251201 1850|MSFT</t>
  </si>
  <si>
    <t>20251201 1855|MSFT</t>
  </si>
  <si>
    <t>20251201 1900|MSFT</t>
  </si>
  <si>
    <t>20251201 1905|MSFT</t>
  </si>
  <si>
    <t>20251201 1910|MSFT</t>
  </si>
  <si>
    <t>20251201 1915|MSFT</t>
  </si>
  <si>
    <t>20251201 1920|MSFT</t>
  </si>
  <si>
    <t>20251201 1925|MSFT</t>
  </si>
  <si>
    <t>20251201 1930|MSFT</t>
  </si>
  <si>
    <t>20251201 1935|MSFT</t>
  </si>
  <si>
    <t>20251201 1940|MSFT</t>
  </si>
  <si>
    <t>20251201 1945|MSFT</t>
  </si>
  <si>
    <t>20251201 1950|MSFT</t>
  </si>
  <si>
    <t>20251201 1955|MSFT</t>
  </si>
  <si>
    <t>20251201 2000|MSFT</t>
  </si>
  <si>
    <t>20251201 2005|MSFT</t>
  </si>
  <si>
    <t>20251201 2010|MSFT</t>
  </si>
  <si>
    <t>20251201 2015|MSFT</t>
  </si>
  <si>
    <t>20251201 2020|MSFT</t>
  </si>
  <si>
    <t>20251201 2025|MSFT</t>
  </si>
  <si>
    <t>20251201 2030|MSFT</t>
  </si>
  <si>
    <t>20251201 2035|MSFT</t>
  </si>
  <si>
    <t>20251201 2040|MSFT</t>
  </si>
  <si>
    <t>20251201 2045|MSFT</t>
  </si>
  <si>
    <t>20251201 2050|MSFT</t>
  </si>
  <si>
    <t>20251201 2055|MSFT</t>
  </si>
  <si>
    <t>20251201 2100|MSFT</t>
  </si>
  <si>
    <t>20251202 1430|MSFT</t>
  </si>
  <si>
    <t>20251202 1435|MSFT</t>
  </si>
  <si>
    <t>20251202 1440|MSFT</t>
  </si>
  <si>
    <t>20251202 1445|MSFT</t>
  </si>
  <si>
    <t>20251202 1450|MSFT</t>
  </si>
  <si>
    <t>20251202 1455|MSFT</t>
  </si>
  <si>
    <t>20251202 1500|MSFT</t>
  </si>
  <si>
    <t>20251202 1505|MSFT</t>
  </si>
  <si>
    <t>20251202 1510|MSFT</t>
  </si>
  <si>
    <t>20251202 1515|MSFT</t>
  </si>
  <si>
    <t>20251202 1520|MSFT</t>
  </si>
  <si>
    <t>20251202 1525|MSFT</t>
  </si>
  <si>
    <t>20251202 1530|MSFT</t>
  </si>
  <si>
    <t>20251202 1535|MSFT</t>
  </si>
  <si>
    <t>20251202 1540|MSFT</t>
  </si>
  <si>
    <t>20251202 1545|MSFT</t>
  </si>
  <si>
    <t>20251202 1550|MSFT</t>
  </si>
  <si>
    <t>20251202 1555|MSFT</t>
  </si>
  <si>
    <t>20251202 1600|MSFT</t>
  </si>
  <si>
    <t>20251202 1605|MSFT</t>
  </si>
  <si>
    <t>20251202 1610|MSFT</t>
  </si>
  <si>
    <t>20251202 1615|MSFT</t>
  </si>
  <si>
    <t>20251202 1620|MSFT</t>
  </si>
  <si>
    <t>20251202 1625|MSFT</t>
  </si>
  <si>
    <t>20251202 1630|MSFT</t>
  </si>
  <si>
    <t>20251202 1635|MSFT</t>
  </si>
  <si>
    <t>20251202 1640|MSFT</t>
  </si>
  <si>
    <t>20251202 1645|MSFT</t>
  </si>
  <si>
    <t>20251202 1650|MSFT</t>
  </si>
  <si>
    <t>20251202 1655|MSFT</t>
  </si>
  <si>
    <t>20251202 1700|MSFT</t>
  </si>
  <si>
    <t>20251202 1705|MSFT</t>
  </si>
  <si>
    <t>20251202 1710|MSFT</t>
  </si>
  <si>
    <t>20251202 1715|MSFT</t>
  </si>
  <si>
    <t>20251202 1720|MSFT</t>
  </si>
  <si>
    <t>20251202 1725|MSFT</t>
  </si>
  <si>
    <t>20251202 1730|MSFT</t>
  </si>
  <si>
    <t>20251202 1735|MSFT</t>
  </si>
  <si>
    <t>20251202 1740|MSFT</t>
  </si>
  <si>
    <t>20251202 1745|MSFT</t>
  </si>
  <si>
    <t>20251202 1750|MSFT</t>
  </si>
  <si>
    <t>20251202 1755|MSFT</t>
  </si>
  <si>
    <t>20251202 1800|MSFT</t>
  </si>
  <si>
    <t>20251202 1805|MSFT</t>
  </si>
  <si>
    <t>20251202 1810|MSFT</t>
  </si>
  <si>
    <t>20251202 1815|MSFT</t>
  </si>
  <si>
    <t>20251202 1820|MSFT</t>
  </si>
  <si>
    <t>20251202 1825|MSFT</t>
  </si>
  <si>
    <t>20251202 1830|MSFT</t>
  </si>
  <si>
    <t>20251202 1835|MSFT</t>
  </si>
  <si>
    <t>20251202 1840|MSFT</t>
  </si>
  <si>
    <t>20251202 1845|MSFT</t>
  </si>
  <si>
    <t>20251202 1850|MSFT</t>
  </si>
  <si>
    <t>20251202 1855|MSFT</t>
  </si>
  <si>
    <t>20251202 1900|MSFT</t>
  </si>
  <si>
    <t>20251202 1905|MSFT</t>
  </si>
  <si>
    <t>20251202 1910|MSFT</t>
  </si>
  <si>
    <t>20251202 1915|MSFT</t>
  </si>
  <si>
    <t>20251202 1920|MSFT</t>
  </si>
  <si>
    <t>20251202 1925|MSFT</t>
  </si>
  <si>
    <t>20251202 1930|MSFT</t>
  </si>
  <si>
    <t>20251202 1935|MSFT</t>
  </si>
  <si>
    <t>20251202 1940|MSFT</t>
  </si>
  <si>
    <t>20251202 1945|MSFT</t>
  </si>
  <si>
    <t>20251202 1950|MSFT</t>
  </si>
  <si>
    <t>20251202 1955|MSFT</t>
  </si>
  <si>
    <t>20251202 2000|MSFT</t>
  </si>
  <si>
    <t>20251202 2005|MSFT</t>
  </si>
  <si>
    <t>20251202 2010|MSFT</t>
  </si>
  <si>
    <t>20251202 2015|MSFT</t>
  </si>
  <si>
    <t>20251202 2020|MSFT</t>
  </si>
  <si>
    <t>20251202 2025|MSFT</t>
  </si>
  <si>
    <t>20251202 2030|MSFT</t>
  </si>
  <si>
    <t>20251202 2035|MSFT</t>
  </si>
  <si>
    <t>20251202 2040|MSFT</t>
  </si>
  <si>
    <t>20251202 2045|MSFT</t>
  </si>
  <si>
    <t>20251202 2050|MSFT</t>
  </si>
  <si>
    <t>20251202 2055|MSFT</t>
  </si>
  <si>
    <t>20251202 2100|MSFT</t>
  </si>
  <si>
    <t>20251203 1430|MSFT</t>
  </si>
  <si>
    <t>20251203 1435|MSFT</t>
  </si>
  <si>
    <t>20251203 1440|MSFT</t>
  </si>
  <si>
    <t>20251203 1445|MSFT</t>
  </si>
  <si>
    <t>20251203 1450|MSFT</t>
  </si>
  <si>
    <t>20251203 1455|MSFT</t>
  </si>
  <si>
    <t>20251203 1500|MSFT</t>
  </si>
  <si>
    <t>20251203 1505|MSFT</t>
  </si>
  <si>
    <t>20251203 1510|MSFT</t>
  </si>
  <si>
    <t>20251203 1515|MSFT</t>
  </si>
  <si>
    <t>20251203 1520|MSFT</t>
  </si>
  <si>
    <t>20251203 1525|MSFT</t>
  </si>
  <si>
    <t>20251203 1530|MSFT</t>
  </si>
  <si>
    <t>20251203 1535|MSFT</t>
  </si>
  <si>
    <t>20251203 1540|MSFT</t>
  </si>
  <si>
    <t>20251203 1545|MSFT</t>
  </si>
  <si>
    <t>20251203 1550|MSFT</t>
  </si>
  <si>
    <t>20251203 1555|MSFT</t>
  </si>
  <si>
    <t>20251203 1600|MSFT</t>
  </si>
  <si>
    <t>20251203 1605|MSFT</t>
  </si>
  <si>
    <t>20251203 1610|MSFT</t>
  </si>
  <si>
    <t>20251203 1615|MSFT</t>
  </si>
  <si>
    <t>20251203 1620|MSFT</t>
  </si>
  <si>
    <t>20251203 1625|MSFT</t>
  </si>
  <si>
    <t>20251203 1630|MSFT</t>
  </si>
  <si>
    <t>20251203 1635|MSFT</t>
  </si>
  <si>
    <t>20251203 1640|MSFT</t>
  </si>
  <si>
    <t>20251203 1645|MSFT</t>
  </si>
  <si>
    <t>20251203 1650|MSFT</t>
  </si>
  <si>
    <t>20251203 1655|MSFT</t>
  </si>
  <si>
    <t>20251203 1700|MSFT</t>
  </si>
  <si>
    <t>20251203 1705|MSFT</t>
  </si>
  <si>
    <t>20251203 1710|MSFT</t>
  </si>
  <si>
    <t>20251203 1715|MSFT</t>
  </si>
  <si>
    <t>20251203 1720|MSFT</t>
  </si>
  <si>
    <t>20251203 1725|MSFT</t>
  </si>
  <si>
    <t>20251203 1730|MSFT</t>
  </si>
  <si>
    <t>20251203 1735|MSFT</t>
  </si>
  <si>
    <t>20251203 1740|MSFT</t>
  </si>
  <si>
    <t>20251203 1745|MSFT</t>
  </si>
  <si>
    <t>20251203 1750|MSFT</t>
  </si>
  <si>
    <t>20251203 1755|MSFT</t>
  </si>
  <si>
    <t>20251203 1800|MSFT</t>
  </si>
  <si>
    <t>20251203 1805|MSFT</t>
  </si>
  <si>
    <t>20251203 1810|MSFT</t>
  </si>
  <si>
    <t>20251203 1815|MSFT</t>
  </si>
  <si>
    <t>20251203 1820|MSFT</t>
  </si>
  <si>
    <t>20251203 1825|MSFT</t>
  </si>
  <si>
    <t>20251203 1830|MSFT</t>
  </si>
  <si>
    <t>20251203 1835|MSFT</t>
  </si>
  <si>
    <t>20251203 1840|MSFT</t>
  </si>
  <si>
    <t>20251203 1845|MSFT</t>
  </si>
  <si>
    <t>20251203 1850|MSFT</t>
  </si>
  <si>
    <t>20251203 1855|MSFT</t>
  </si>
  <si>
    <t>20251203 1900|MSFT</t>
  </si>
  <si>
    <t>20251203 1905|MSFT</t>
  </si>
  <si>
    <t>20251203 1910|MSFT</t>
  </si>
  <si>
    <t>20251203 1915|MSFT</t>
  </si>
  <si>
    <t>20251203 1920|MSFT</t>
  </si>
  <si>
    <t>20251203 1925|MSFT</t>
  </si>
  <si>
    <t>20251203 1930|MSFT</t>
  </si>
  <si>
    <t>20251203 1935|MSFT</t>
  </si>
  <si>
    <t>20251203 1940|MSFT</t>
  </si>
  <si>
    <t>20251203 1945|MSFT</t>
  </si>
  <si>
    <t>20251203 1950|MSFT</t>
  </si>
  <si>
    <t>20251203 1955|MSFT</t>
  </si>
  <si>
    <t>20251203 2000|MSFT</t>
  </si>
  <si>
    <t>20251203 2005|MSFT</t>
  </si>
  <si>
    <t>20251203 2010|MSFT</t>
  </si>
  <si>
    <t>20251203 2015|MSFT</t>
  </si>
  <si>
    <t>20251203 2020|MSFT</t>
  </si>
  <si>
    <t>20251203 2025|MSFT</t>
  </si>
  <si>
    <t>20251203 2030|MSFT</t>
  </si>
  <si>
    <t>20251203 2035|MSFT</t>
  </si>
  <si>
    <t>20251203 2040|MSFT</t>
  </si>
  <si>
    <t>20251203 2045|MSFT</t>
  </si>
  <si>
    <t>20251203 2050|MSFT</t>
  </si>
  <si>
    <t>20251203 2055|MSFT</t>
  </si>
  <si>
    <t>20251203 2100|MSFT</t>
  </si>
  <si>
    <t>20251204 1430|MSFT</t>
  </si>
  <si>
    <t>20251204 1435|MSFT</t>
  </si>
  <si>
    <t>20251204 1440|MSFT</t>
  </si>
  <si>
    <t>20251204 1445|MSFT</t>
  </si>
  <si>
    <t>20251204 1450|MSFT</t>
  </si>
  <si>
    <t>20251204 1455|MSFT</t>
  </si>
  <si>
    <t>20251204 1500|MSFT</t>
  </si>
  <si>
    <t>20251204 1505|MSFT</t>
  </si>
  <si>
    <t>20251204 1510|MSFT</t>
  </si>
  <si>
    <t>20251204 1515|MSFT</t>
  </si>
  <si>
    <t>20251204 1520|MSFT</t>
  </si>
  <si>
    <t>20251204 1525|MSFT</t>
  </si>
  <si>
    <t>20251204 1530|MSFT</t>
  </si>
  <si>
    <t>20251204 1535|MSFT</t>
  </si>
  <si>
    <t>20251204 1540|MSFT</t>
  </si>
  <si>
    <t>20251204 1545|MSFT</t>
  </si>
  <si>
    <t>20251204 1550|MSFT</t>
  </si>
  <si>
    <t>20251204 1555|MSFT</t>
  </si>
  <si>
    <t>20251204 1600|MSFT</t>
  </si>
  <si>
    <t>20251204 1605|MSFT</t>
  </si>
  <si>
    <t>20251204 1610|MSFT</t>
  </si>
  <si>
    <t>20251204 1615|MSFT</t>
  </si>
  <si>
    <t>20251204 1620|MSFT</t>
  </si>
  <si>
    <t>20251204 1625|MSFT</t>
  </si>
  <si>
    <t>20251204 1630|MSFT</t>
  </si>
  <si>
    <t>20251204 1635|MSFT</t>
  </si>
  <si>
    <t>20251204 1640|MSFT</t>
  </si>
  <si>
    <t>20251204 1645|MSFT</t>
  </si>
  <si>
    <t>20251204 1650|MSFT</t>
  </si>
  <si>
    <t>20251204 1655|MSFT</t>
  </si>
  <si>
    <t>20251204 1700|MSFT</t>
  </si>
  <si>
    <t>20251204 1705|MSFT</t>
  </si>
  <si>
    <t>20251204 1710|MSFT</t>
  </si>
  <si>
    <t>20251204 1715|MSFT</t>
  </si>
  <si>
    <t>20251204 1720|MSFT</t>
  </si>
  <si>
    <t>20251204 1725|MSFT</t>
  </si>
  <si>
    <t>20251204 1730|MSFT</t>
  </si>
  <si>
    <t>20251204 1735|MSFT</t>
  </si>
  <si>
    <t>20251204 1740|MSFT</t>
  </si>
  <si>
    <t>20251204 1745|MSFT</t>
  </si>
  <si>
    <t>20251204 1750|MSFT</t>
  </si>
  <si>
    <t>20251204 1755|MSFT</t>
  </si>
  <si>
    <t>20251204 1800|MSFT</t>
  </si>
  <si>
    <t>20251204 1805|MSFT</t>
  </si>
  <si>
    <t>20251204 1810|MSFT</t>
  </si>
  <si>
    <t>20251204 1815|MSFT</t>
  </si>
  <si>
    <t>20251204 1820|MSFT</t>
  </si>
  <si>
    <t>20251204 1825|MSFT</t>
  </si>
  <si>
    <t>20251204 1830|MSFT</t>
  </si>
  <si>
    <t>20251204 1835|MSFT</t>
  </si>
  <si>
    <t>20251204 1840|MSFT</t>
  </si>
  <si>
    <t>20251204 1845|MSFT</t>
  </si>
  <si>
    <t>20251204 1850|MSFT</t>
  </si>
  <si>
    <t>20251204 1855|MSFT</t>
  </si>
  <si>
    <t>20251204 1900|MSFT</t>
  </si>
  <si>
    <t>20251204 1905|MSFT</t>
  </si>
  <si>
    <t>20251204 1910|MSFT</t>
  </si>
  <si>
    <t>20251204 1915|MSFT</t>
  </si>
  <si>
    <t>20251204 1920|MSFT</t>
  </si>
  <si>
    <t>20251204 1925|MSFT</t>
  </si>
  <si>
    <t>20251204 1930|MSFT</t>
  </si>
  <si>
    <t>20251204 1935|MSFT</t>
  </si>
  <si>
    <t>20251204 1940|MSFT</t>
  </si>
  <si>
    <t>20251204 1945|MSFT</t>
  </si>
  <si>
    <t>20251204 1950|MSFT</t>
  </si>
  <si>
    <t>20251204 1955|MSFT</t>
  </si>
  <si>
    <t>20251204 2000|MSFT</t>
  </si>
  <si>
    <t>20251204 2005|MSFT</t>
  </si>
  <si>
    <t>20251204 2010|MSFT</t>
  </si>
  <si>
    <t>20251204 2015|MSFT</t>
  </si>
  <si>
    <t>20251204 2020|MSFT</t>
  </si>
  <si>
    <t>20251204 2025|MSFT</t>
  </si>
  <si>
    <t>20251204 2030|MSFT</t>
  </si>
  <si>
    <t>20251204 2035|MSFT</t>
  </si>
  <si>
    <t>20251204 2040|MSFT</t>
  </si>
  <si>
    <t>20251204 2045|MSFT</t>
  </si>
  <si>
    <t>20251204 2050|MSFT</t>
  </si>
  <si>
    <t>20251204 2055|MSFT</t>
  </si>
  <si>
    <t>20251204 2100|MSFT</t>
  </si>
  <si>
    <t>20251205 1430|MSFT</t>
  </si>
  <si>
    <t>20251205 1435|MSFT</t>
  </si>
  <si>
    <t>20251205 1440|MSFT</t>
  </si>
  <si>
    <t>20251205 1445|MSFT</t>
  </si>
  <si>
    <t>20251205 1450|MSFT</t>
  </si>
  <si>
    <t>20251205 1455|MSFT</t>
  </si>
  <si>
    <t>20251205 1500|MSFT</t>
  </si>
  <si>
    <t>20251205 1505|MSFT</t>
  </si>
  <si>
    <t>20251205 1510|MSFT</t>
  </si>
  <si>
    <t>20251205 1515|MSFT</t>
  </si>
  <si>
    <t>20251205 1520|MSFT</t>
  </si>
  <si>
    <t>20251205 1525|MSFT</t>
  </si>
  <si>
    <t>20251205 1530|MSFT</t>
  </si>
  <si>
    <t>20251205 1535|MSFT</t>
  </si>
  <si>
    <t>20251205 1540|MSFT</t>
  </si>
  <si>
    <t>20251205 1545|MSFT</t>
  </si>
  <si>
    <t>20251205 1550|MSFT</t>
  </si>
  <si>
    <t>20251205 1555|MSFT</t>
  </si>
  <si>
    <t>20251205 1600|MSFT</t>
  </si>
  <si>
    <t>20251205 1605|MSFT</t>
  </si>
  <si>
    <t>20251205 1610|MSFT</t>
  </si>
  <si>
    <t>20251205 1615|MSFT</t>
  </si>
  <si>
    <t>20251205 1620|MSFT</t>
  </si>
  <si>
    <t>20251205 1625|MSFT</t>
  </si>
  <si>
    <t>20251205 1630|MSFT</t>
  </si>
  <si>
    <t>20251205 1635|MSFT</t>
  </si>
  <si>
    <t>20251205 1640|MSFT</t>
  </si>
  <si>
    <t>20251205 1645|MSFT</t>
  </si>
  <si>
    <t>20251205 1650|MSFT</t>
  </si>
  <si>
    <t>20251205 1655|MSFT</t>
  </si>
  <si>
    <t>20251205 1700|MSFT</t>
  </si>
  <si>
    <t>20251205 1705|MSFT</t>
  </si>
  <si>
    <t>20251205 1710|MSFT</t>
  </si>
  <si>
    <t>20251205 1715|MSFT</t>
  </si>
  <si>
    <t>20251205 1720|MSFT</t>
  </si>
  <si>
    <t>20251205 1725|MSFT</t>
  </si>
  <si>
    <t>20251205 1730|MSFT</t>
  </si>
  <si>
    <t>20251205 1735|MSFT</t>
  </si>
  <si>
    <t>20251205 1740|MSFT</t>
  </si>
  <si>
    <t>20251205 1745|MSFT</t>
  </si>
  <si>
    <t>20251205 1750|MSFT</t>
  </si>
  <si>
    <t>20251205 1755|MSFT</t>
  </si>
  <si>
    <t>20251205 1800|MSFT</t>
  </si>
  <si>
    <t>20251205 1805|MSFT</t>
  </si>
  <si>
    <t>20251205 1810|MSFT</t>
  </si>
  <si>
    <t>20251205 1815|MSFT</t>
  </si>
  <si>
    <t>20251205 1820|MSFT</t>
  </si>
  <si>
    <t>20251205 1825|MSFT</t>
  </si>
  <si>
    <t>20251205 1830|MSFT</t>
  </si>
  <si>
    <t>20251205 1835|MSFT</t>
  </si>
  <si>
    <t>20251205 1840|MSFT</t>
  </si>
  <si>
    <t>20251205 1845|MSFT</t>
  </si>
  <si>
    <t>20251205 1850|MSFT</t>
  </si>
  <si>
    <t>20251205 1855|MSFT</t>
  </si>
  <si>
    <t>20251205 1900|MSFT</t>
  </si>
  <si>
    <t>20251205 1905|MSFT</t>
  </si>
  <si>
    <t>20251205 1910|MSFT</t>
  </si>
  <si>
    <t>20251205 1915|MSFT</t>
  </si>
  <si>
    <t>20251205 1920|MSFT</t>
  </si>
  <si>
    <t>20251205 1925|MSFT</t>
  </si>
  <si>
    <t>20251205 1930|MSFT</t>
  </si>
  <si>
    <t>20251205 1935|MSFT</t>
  </si>
  <si>
    <t>20251205 1940|MSFT</t>
  </si>
  <si>
    <t>20251205 1945|MSFT</t>
  </si>
  <si>
    <t>20251205 1950|MSFT</t>
  </si>
  <si>
    <t>20251205 1955|MSFT</t>
  </si>
  <si>
    <t>20251205 2000|MSFT</t>
  </si>
  <si>
    <t>20251205 2005|MSFT</t>
  </si>
  <si>
    <t>20251205 2010|MSFT</t>
  </si>
  <si>
    <t>20251205 2015|MSFT</t>
  </si>
  <si>
    <t>20251205 2020|MSFT</t>
  </si>
  <si>
    <t>20251205 2025|MSFT</t>
  </si>
  <si>
    <t>20251205 2030|MSFT</t>
  </si>
  <si>
    <t>20251205 2035|MSFT</t>
  </si>
  <si>
    <t>20251205 2040|MSFT</t>
  </si>
  <si>
    <t>20251205 2045|MSFT</t>
  </si>
  <si>
    <t>20251205 2050|MSFT</t>
  </si>
  <si>
    <t>20251205 2055|MSFT</t>
  </si>
  <si>
    <t>20251205 2100|MSFT</t>
  </si>
  <si>
    <t>20251201 1430|NVDA</t>
  </si>
  <si>
    <t>20251201 1435|NVDA</t>
  </si>
  <si>
    <t>20251201 1440|NVDA</t>
  </si>
  <si>
    <t>20251201 1445|NVDA</t>
  </si>
  <si>
    <t>20251201 1450|NVDA</t>
  </si>
  <si>
    <t>20251201 1455|NVDA</t>
  </si>
  <si>
    <t>20251201 1500|NVDA</t>
  </si>
  <si>
    <t>20251201 1505|NVDA</t>
  </si>
  <si>
    <t>20251201 1510|NVDA</t>
  </si>
  <si>
    <t>20251201 1515|NVDA</t>
  </si>
  <si>
    <t>20251201 1520|NVDA</t>
  </si>
  <si>
    <t>20251201 1525|NVDA</t>
  </si>
  <si>
    <t>20251201 1530|NVDA</t>
  </si>
  <si>
    <t>20251201 1535|NVDA</t>
  </si>
  <si>
    <t>20251201 1540|NVDA</t>
  </si>
  <si>
    <t>20251201 1545|NVDA</t>
  </si>
  <si>
    <t>20251201 1550|NVDA</t>
  </si>
  <si>
    <t>20251201 1555|NVDA</t>
  </si>
  <si>
    <t>20251201 1600|NVDA</t>
  </si>
  <si>
    <t>20251201 1605|NVDA</t>
  </si>
  <si>
    <t>20251201 1610|NVDA</t>
  </si>
  <si>
    <t>20251201 1615|NVDA</t>
  </si>
  <si>
    <t>20251201 1620|NVDA</t>
  </si>
  <si>
    <t>20251201 1625|NVDA</t>
  </si>
  <si>
    <t>20251201 1630|NVDA</t>
  </si>
  <si>
    <t>20251201 1635|NVDA</t>
  </si>
  <si>
    <t>20251201 1640|NVDA</t>
  </si>
  <si>
    <t>20251201 1645|NVDA</t>
  </si>
  <si>
    <t>20251201 1650|NVDA</t>
  </si>
  <si>
    <t>20251201 1655|NVDA</t>
  </si>
  <si>
    <t>20251201 1700|NVDA</t>
  </si>
  <si>
    <t>20251201 1705|NVDA</t>
  </si>
  <si>
    <t>20251201 1710|NVDA</t>
  </si>
  <si>
    <t>20251201 1715|NVDA</t>
  </si>
  <si>
    <t>20251201 1720|NVDA</t>
  </si>
  <si>
    <t>20251201 1725|NVDA</t>
  </si>
  <si>
    <t>20251201 1730|NVDA</t>
  </si>
  <si>
    <t>20251201 1735|NVDA</t>
  </si>
  <si>
    <t>20251201 1740|NVDA</t>
  </si>
  <si>
    <t>20251201 1745|NVDA</t>
  </si>
  <si>
    <t>20251201 1750|NVDA</t>
  </si>
  <si>
    <t>20251201 1755|NVDA</t>
  </si>
  <si>
    <t>20251201 1800|NVDA</t>
  </si>
  <si>
    <t>20251201 1805|NVDA</t>
  </si>
  <si>
    <t>20251201 1810|NVDA</t>
  </si>
  <si>
    <t>20251201 1815|NVDA</t>
  </si>
  <si>
    <t>20251201 1820|NVDA</t>
  </si>
  <si>
    <t>20251201 1825|NVDA</t>
  </si>
  <si>
    <t>20251201 1830|NVDA</t>
  </si>
  <si>
    <t>20251201 1835|NVDA</t>
  </si>
  <si>
    <t>20251201 1840|NVDA</t>
  </si>
  <si>
    <t>20251201 1845|NVDA</t>
  </si>
  <si>
    <t>20251201 1850|NVDA</t>
  </si>
  <si>
    <t>20251201 1855|NVDA</t>
  </si>
  <si>
    <t>20251201 1900|NVDA</t>
  </si>
  <si>
    <t>20251201 1905|NVDA</t>
  </si>
  <si>
    <t>20251201 1910|NVDA</t>
  </si>
  <si>
    <t>20251201 1915|NVDA</t>
  </si>
  <si>
    <t>20251201 1920|NVDA</t>
  </si>
  <si>
    <t>20251201 1925|NVDA</t>
  </si>
  <si>
    <t>20251201 1930|NVDA</t>
  </si>
  <si>
    <t>20251201 1935|NVDA</t>
  </si>
  <si>
    <t>20251201 1940|NVDA</t>
  </si>
  <si>
    <t>20251201 1945|NVDA</t>
  </si>
  <si>
    <t>20251201 1950|NVDA</t>
  </si>
  <si>
    <t>20251201 1955|NVDA</t>
  </si>
  <si>
    <t>20251201 2000|NVDA</t>
  </si>
  <si>
    <t>20251201 2005|NVDA</t>
  </si>
  <si>
    <t>20251201 2010|NVDA</t>
  </si>
  <si>
    <t>20251201 2015|NVDA</t>
  </si>
  <si>
    <t>20251201 2020|NVDA</t>
  </si>
  <si>
    <t>20251201 2025|NVDA</t>
  </si>
  <si>
    <t>20251201 2030|NVDA</t>
  </si>
  <si>
    <t>20251201 2035|NVDA</t>
  </si>
  <si>
    <t>20251201 2040|NVDA</t>
  </si>
  <si>
    <t>20251201 2045|NVDA</t>
  </si>
  <si>
    <t>20251201 2050|NVDA</t>
  </si>
  <si>
    <t>20251201 2055|NVDA</t>
  </si>
  <si>
    <t>20251201 2100|NVDA</t>
  </si>
  <si>
    <t>20251202 1430|NVDA</t>
  </si>
  <si>
    <t>20251202 1435|NVDA</t>
  </si>
  <si>
    <t>20251202 1440|NVDA</t>
  </si>
  <si>
    <t>20251202 1445|NVDA</t>
  </si>
  <si>
    <t>20251202 1450|NVDA</t>
  </si>
  <si>
    <t>20251202 1455|NVDA</t>
  </si>
  <si>
    <t>20251202 1500|NVDA</t>
  </si>
  <si>
    <t>20251202 1505|NVDA</t>
  </si>
  <si>
    <t>20251202 1510|NVDA</t>
  </si>
  <si>
    <t>20251202 1515|NVDA</t>
  </si>
  <si>
    <t>20251202 1520|NVDA</t>
  </si>
  <si>
    <t>20251202 1525|NVDA</t>
  </si>
  <si>
    <t>20251202 1530|NVDA</t>
  </si>
  <si>
    <t>20251202 1535|NVDA</t>
  </si>
  <si>
    <t>20251202 1540|NVDA</t>
  </si>
  <si>
    <t>20251202 1545|NVDA</t>
  </si>
  <si>
    <t>20251202 1550|NVDA</t>
  </si>
  <si>
    <t>20251202 1555|NVDA</t>
  </si>
  <si>
    <t>20251202 1600|NVDA</t>
  </si>
  <si>
    <t>20251202 1605|NVDA</t>
  </si>
  <si>
    <t>20251202 1610|NVDA</t>
  </si>
  <si>
    <t>20251202 1615|NVDA</t>
  </si>
  <si>
    <t>20251202 1620|NVDA</t>
  </si>
  <si>
    <t>20251202 1625|NVDA</t>
  </si>
  <si>
    <t>20251202 1630|NVDA</t>
  </si>
  <si>
    <t>20251202 1635|NVDA</t>
  </si>
  <si>
    <t>20251202 1640|NVDA</t>
  </si>
  <si>
    <t>20251202 1645|NVDA</t>
  </si>
  <si>
    <t>20251202 1650|NVDA</t>
  </si>
  <si>
    <t>20251202 1655|NVDA</t>
  </si>
  <si>
    <t>20251202 1700|NVDA</t>
  </si>
  <si>
    <t>20251202 1705|NVDA</t>
  </si>
  <si>
    <t>20251202 1710|NVDA</t>
  </si>
  <si>
    <t>20251202 1715|NVDA</t>
  </si>
  <si>
    <t>20251202 1720|NVDA</t>
  </si>
  <si>
    <t>20251202 1725|NVDA</t>
  </si>
  <si>
    <t>20251202 1730|NVDA</t>
  </si>
  <si>
    <t>20251202 1735|NVDA</t>
  </si>
  <si>
    <t>20251202 1740|NVDA</t>
  </si>
  <si>
    <t>20251202 1745|NVDA</t>
  </si>
  <si>
    <t>20251202 1750|NVDA</t>
  </si>
  <si>
    <t>20251202 1755|NVDA</t>
  </si>
  <si>
    <t>20251202 1800|NVDA</t>
  </si>
  <si>
    <t>20251202 1805|NVDA</t>
  </si>
  <si>
    <t>20251202 1810|NVDA</t>
  </si>
  <si>
    <t>20251202 1815|NVDA</t>
  </si>
  <si>
    <t>20251202 1820|NVDA</t>
  </si>
  <si>
    <t>20251202 1825|NVDA</t>
  </si>
  <si>
    <t>20251202 1830|NVDA</t>
  </si>
  <si>
    <t>20251202 1835|NVDA</t>
  </si>
  <si>
    <t>20251202 1840|NVDA</t>
  </si>
  <si>
    <t>20251202 1845|NVDA</t>
  </si>
  <si>
    <t>20251202 1850|NVDA</t>
  </si>
  <si>
    <t>20251202 1855|NVDA</t>
  </si>
  <si>
    <t>20251202 1900|NVDA</t>
  </si>
  <si>
    <t>20251202 1905|NVDA</t>
  </si>
  <si>
    <t>20251202 1910|NVDA</t>
  </si>
  <si>
    <t>20251202 1915|NVDA</t>
  </si>
  <si>
    <t>20251202 1920|NVDA</t>
  </si>
  <si>
    <t>20251202 1925|NVDA</t>
  </si>
  <si>
    <t>20251202 1930|NVDA</t>
  </si>
  <si>
    <t>20251202 1935|NVDA</t>
  </si>
  <si>
    <t>20251202 1940|NVDA</t>
  </si>
  <si>
    <t>20251202 1945|NVDA</t>
  </si>
  <si>
    <t>20251202 1950|NVDA</t>
  </si>
  <si>
    <t>20251202 1955|NVDA</t>
  </si>
  <si>
    <t>20251202 2000|NVDA</t>
  </si>
  <si>
    <t>20251202 2005|NVDA</t>
  </si>
  <si>
    <t>20251202 2010|NVDA</t>
  </si>
  <si>
    <t>20251202 2015|NVDA</t>
  </si>
  <si>
    <t>20251202 2020|NVDA</t>
  </si>
  <si>
    <t>20251202 2025|NVDA</t>
  </si>
  <si>
    <t>20251202 2030|NVDA</t>
  </si>
  <si>
    <t>20251202 2035|NVDA</t>
  </si>
  <si>
    <t>20251202 2040|NVDA</t>
  </si>
  <si>
    <t>20251202 2045|NVDA</t>
  </si>
  <si>
    <t>20251202 2050|NVDA</t>
  </si>
  <si>
    <t>20251202 2055|NVDA</t>
  </si>
  <si>
    <t>20251202 2100|NVDA</t>
  </si>
  <si>
    <t>20251203 1430|NVDA</t>
  </si>
  <si>
    <t>20251203 1435|NVDA</t>
  </si>
  <si>
    <t>20251203 1440|NVDA</t>
  </si>
  <si>
    <t>20251203 1445|NVDA</t>
  </si>
  <si>
    <t>20251203 1450|NVDA</t>
  </si>
  <si>
    <t>20251203 1455|NVDA</t>
  </si>
  <si>
    <t>20251203 1500|NVDA</t>
  </si>
  <si>
    <t>20251203 1505|NVDA</t>
  </si>
  <si>
    <t>20251203 1510|NVDA</t>
  </si>
  <si>
    <t>20251203 1515|NVDA</t>
  </si>
  <si>
    <t>20251203 1520|NVDA</t>
  </si>
  <si>
    <t>20251203 1525|NVDA</t>
  </si>
  <si>
    <t>20251203 1530|NVDA</t>
  </si>
  <si>
    <t>20251203 1535|NVDA</t>
  </si>
  <si>
    <t>20251203 1540|NVDA</t>
  </si>
  <si>
    <t>20251203 1545|NVDA</t>
  </si>
  <si>
    <t>20251203 1550|NVDA</t>
  </si>
  <si>
    <t>20251203 1555|NVDA</t>
  </si>
  <si>
    <t>20251203 1600|NVDA</t>
  </si>
  <si>
    <t>20251203 1605|NVDA</t>
  </si>
  <si>
    <t>20251203 1610|NVDA</t>
  </si>
  <si>
    <t>20251203 1615|NVDA</t>
  </si>
  <si>
    <t>20251203 1620|NVDA</t>
  </si>
  <si>
    <t>20251203 1625|NVDA</t>
  </si>
  <si>
    <t>20251203 1630|NVDA</t>
  </si>
  <si>
    <t>20251203 1635|NVDA</t>
  </si>
  <si>
    <t>20251203 1640|NVDA</t>
  </si>
  <si>
    <t>20251203 1645|NVDA</t>
  </si>
  <si>
    <t>20251203 1650|NVDA</t>
  </si>
  <si>
    <t>20251203 1655|NVDA</t>
  </si>
  <si>
    <t>20251203 1700|NVDA</t>
  </si>
  <si>
    <t>20251203 1705|NVDA</t>
  </si>
  <si>
    <t>20251203 1710|NVDA</t>
  </si>
  <si>
    <t>20251203 1715|NVDA</t>
  </si>
  <si>
    <t>20251203 1720|NVDA</t>
  </si>
  <si>
    <t>20251203 1725|NVDA</t>
  </si>
  <si>
    <t>20251203 1730|NVDA</t>
  </si>
  <si>
    <t>20251203 1735|NVDA</t>
  </si>
  <si>
    <t>20251203 1740|NVDA</t>
  </si>
  <si>
    <t>20251203 1745|NVDA</t>
  </si>
  <si>
    <t>20251203 1750|NVDA</t>
  </si>
  <si>
    <t>20251203 1755|NVDA</t>
  </si>
  <si>
    <t>20251203 1800|NVDA</t>
  </si>
  <si>
    <t>20251203 1805|NVDA</t>
  </si>
  <si>
    <t>20251203 1810|NVDA</t>
  </si>
  <si>
    <t>20251203 1815|NVDA</t>
  </si>
  <si>
    <t>20251203 1820|NVDA</t>
  </si>
  <si>
    <t>20251203 1825|NVDA</t>
  </si>
  <si>
    <t>20251203 1830|NVDA</t>
  </si>
  <si>
    <t>20251203 1835|NVDA</t>
  </si>
  <si>
    <t>20251203 1840|NVDA</t>
  </si>
  <si>
    <t>20251203 1845|NVDA</t>
  </si>
  <si>
    <t>20251203 1850|NVDA</t>
  </si>
  <si>
    <t>20251203 1855|NVDA</t>
  </si>
  <si>
    <t>20251203 1900|NVDA</t>
  </si>
  <si>
    <t>20251203 1905|NVDA</t>
  </si>
  <si>
    <t>20251203 1910|NVDA</t>
  </si>
  <si>
    <t>20251203 1915|NVDA</t>
  </si>
  <si>
    <t>20251203 1920|NVDA</t>
  </si>
  <si>
    <t>20251203 1925|NVDA</t>
  </si>
  <si>
    <t>20251203 1930|NVDA</t>
  </si>
  <si>
    <t>20251203 1935|NVDA</t>
  </si>
  <si>
    <t>20251203 1940|NVDA</t>
  </si>
  <si>
    <t>20251203 1945|NVDA</t>
  </si>
  <si>
    <t>20251203 1950|NVDA</t>
  </si>
  <si>
    <t>20251203 1955|NVDA</t>
  </si>
  <si>
    <t>20251203 2000|NVDA</t>
  </si>
  <si>
    <t>20251203 2005|NVDA</t>
  </si>
  <si>
    <t>20251203 2010|NVDA</t>
  </si>
  <si>
    <t>20251203 2015|NVDA</t>
  </si>
  <si>
    <t>20251203 2020|NVDA</t>
  </si>
  <si>
    <t>20251203 2025|NVDA</t>
  </si>
  <si>
    <t>20251203 2030|NVDA</t>
  </si>
  <si>
    <t>20251203 2035|NVDA</t>
  </si>
  <si>
    <t>20251203 2040|NVDA</t>
  </si>
  <si>
    <t>20251203 2045|NVDA</t>
  </si>
  <si>
    <t>20251203 2050|NVDA</t>
  </si>
  <si>
    <t>20251203 2055|NVDA</t>
  </si>
  <si>
    <t>20251203 2100|NVDA</t>
  </si>
  <si>
    <t>20251204 1430|NVDA</t>
  </si>
  <si>
    <t>20251204 1435|NVDA</t>
  </si>
  <si>
    <t>20251204 1440|NVDA</t>
  </si>
  <si>
    <t>20251204 1445|NVDA</t>
  </si>
  <si>
    <t>20251204 1450|NVDA</t>
  </si>
  <si>
    <t>20251204 1455|NVDA</t>
  </si>
  <si>
    <t>20251204 1500|NVDA</t>
  </si>
  <si>
    <t>20251204 1505|NVDA</t>
  </si>
  <si>
    <t>20251204 1510|NVDA</t>
  </si>
  <si>
    <t>20251204 1515|NVDA</t>
  </si>
  <si>
    <t>20251204 1520|NVDA</t>
  </si>
  <si>
    <t>20251204 1525|NVDA</t>
  </si>
  <si>
    <t>20251204 1530|NVDA</t>
  </si>
  <si>
    <t>20251204 1535|NVDA</t>
  </si>
  <si>
    <t>20251204 1540|NVDA</t>
  </si>
  <si>
    <t>20251204 1545|NVDA</t>
  </si>
  <si>
    <t>20251204 1550|NVDA</t>
  </si>
  <si>
    <t>20251204 1555|NVDA</t>
  </si>
  <si>
    <t>20251204 1600|NVDA</t>
  </si>
  <si>
    <t>20251204 1605|NVDA</t>
  </si>
  <si>
    <t>20251204 1610|NVDA</t>
  </si>
  <si>
    <t>20251204 1615|NVDA</t>
  </si>
  <si>
    <t>20251204 1620|NVDA</t>
  </si>
  <si>
    <t>20251204 1625|NVDA</t>
  </si>
  <si>
    <t>20251204 1630|NVDA</t>
  </si>
  <si>
    <t>20251204 1635|NVDA</t>
  </si>
  <si>
    <t>20251204 1640|NVDA</t>
  </si>
  <si>
    <t>20251204 1645|NVDA</t>
  </si>
  <si>
    <t>20251204 1650|NVDA</t>
  </si>
  <si>
    <t>20251204 1655|NVDA</t>
  </si>
  <si>
    <t>20251204 1700|NVDA</t>
  </si>
  <si>
    <t>20251204 1705|NVDA</t>
  </si>
  <si>
    <t>20251204 1710|NVDA</t>
  </si>
  <si>
    <t>20251204 1715|NVDA</t>
  </si>
  <si>
    <t>20251204 1720|NVDA</t>
  </si>
  <si>
    <t>20251204 1725|NVDA</t>
  </si>
  <si>
    <t>20251204 1730|NVDA</t>
  </si>
  <si>
    <t>20251204 1735|NVDA</t>
  </si>
  <si>
    <t>20251204 1740|NVDA</t>
  </si>
  <si>
    <t>20251204 1745|NVDA</t>
  </si>
  <si>
    <t>20251204 1750|NVDA</t>
  </si>
  <si>
    <t>20251204 1755|NVDA</t>
  </si>
  <si>
    <t>20251204 1800|NVDA</t>
  </si>
  <si>
    <t>20251204 1805|NVDA</t>
  </si>
  <si>
    <t>20251204 1810|NVDA</t>
  </si>
  <si>
    <t>20251204 1815|NVDA</t>
  </si>
  <si>
    <t>20251204 1820|NVDA</t>
  </si>
  <si>
    <t>20251204 1825|NVDA</t>
  </si>
  <si>
    <t>20251204 1830|NVDA</t>
  </si>
  <si>
    <t>20251204 1835|NVDA</t>
  </si>
  <si>
    <t>20251204 1840|NVDA</t>
  </si>
  <si>
    <t>20251204 1845|NVDA</t>
  </si>
  <si>
    <t>20251204 1850|NVDA</t>
  </si>
  <si>
    <t>20251204 1855|NVDA</t>
  </si>
  <si>
    <t>20251204 1900|NVDA</t>
  </si>
  <si>
    <t>20251204 1905|NVDA</t>
  </si>
  <si>
    <t>20251204 1910|NVDA</t>
  </si>
  <si>
    <t>20251204 1915|NVDA</t>
  </si>
  <si>
    <t>20251204 1920|NVDA</t>
  </si>
  <si>
    <t>20251204 1925|NVDA</t>
  </si>
  <si>
    <t>20251204 1930|NVDA</t>
  </si>
  <si>
    <t>20251204 1935|NVDA</t>
  </si>
  <si>
    <t>20251204 1940|NVDA</t>
  </si>
  <si>
    <t>20251204 1945|NVDA</t>
  </si>
  <si>
    <t>20251204 1950|NVDA</t>
  </si>
  <si>
    <t>20251204 1955|NVDA</t>
  </si>
  <si>
    <t>20251204 2000|NVDA</t>
  </si>
  <si>
    <t>20251204 2005|NVDA</t>
  </si>
  <si>
    <t>20251204 2010|NVDA</t>
  </si>
  <si>
    <t>20251204 2015|NVDA</t>
  </si>
  <si>
    <t>20251204 2020|NVDA</t>
  </si>
  <si>
    <t>20251204 2025|NVDA</t>
  </si>
  <si>
    <t>20251204 2030|NVDA</t>
  </si>
  <si>
    <t>20251204 2035|NVDA</t>
  </si>
  <si>
    <t>20251204 2040|NVDA</t>
  </si>
  <si>
    <t>20251204 2045|NVDA</t>
  </si>
  <si>
    <t>20251204 2050|NVDA</t>
  </si>
  <si>
    <t>20251204 2055|NVDA</t>
  </si>
  <si>
    <t>20251204 2100|NVDA</t>
  </si>
  <si>
    <t>20251205 1430|NVDA</t>
  </si>
  <si>
    <t>20251205 1435|NVDA</t>
  </si>
  <si>
    <t>20251205 1440|NVDA</t>
  </si>
  <si>
    <t>20251205 1445|NVDA</t>
  </si>
  <si>
    <t>20251205 1450|NVDA</t>
  </si>
  <si>
    <t>20251205 1455|NVDA</t>
  </si>
  <si>
    <t>20251205 1500|NVDA</t>
  </si>
  <si>
    <t>20251205 1505|NVDA</t>
  </si>
  <si>
    <t>20251205 1510|NVDA</t>
  </si>
  <si>
    <t>20251205 1515|NVDA</t>
  </si>
  <si>
    <t>20251205 1520|NVDA</t>
  </si>
  <si>
    <t>20251205 1525|NVDA</t>
  </si>
  <si>
    <t>20251205 1530|NVDA</t>
  </si>
  <si>
    <t>20251205 1535|NVDA</t>
  </si>
  <si>
    <t>20251205 1540|NVDA</t>
  </si>
  <si>
    <t>20251205 1545|NVDA</t>
  </si>
  <si>
    <t>20251205 1550|NVDA</t>
  </si>
  <si>
    <t>20251205 1555|NVDA</t>
  </si>
  <si>
    <t>20251205 1600|NVDA</t>
  </si>
  <si>
    <t>20251205 1605|NVDA</t>
  </si>
  <si>
    <t>20251205 1610|NVDA</t>
  </si>
  <si>
    <t>20251205 1615|NVDA</t>
  </si>
  <si>
    <t>20251205 1620|NVDA</t>
  </si>
  <si>
    <t>20251205 1625|NVDA</t>
  </si>
  <si>
    <t>20251205 1630|NVDA</t>
  </si>
  <si>
    <t>20251205 1635|NVDA</t>
  </si>
  <si>
    <t>20251205 1640|NVDA</t>
  </si>
  <si>
    <t>20251205 1645|NVDA</t>
  </si>
  <si>
    <t>20251205 1650|NVDA</t>
  </si>
  <si>
    <t>20251205 1655|NVDA</t>
  </si>
  <si>
    <t>20251205 1700|NVDA</t>
  </si>
  <si>
    <t>20251205 1705|NVDA</t>
  </si>
  <si>
    <t>20251205 1710|NVDA</t>
  </si>
  <si>
    <t>20251205 1715|NVDA</t>
  </si>
  <si>
    <t>20251205 1720|NVDA</t>
  </si>
  <si>
    <t>20251205 1725|NVDA</t>
  </si>
  <si>
    <t>20251205 1730|NVDA</t>
  </si>
  <si>
    <t>20251205 1735|NVDA</t>
  </si>
  <si>
    <t>20251205 1740|NVDA</t>
  </si>
  <si>
    <t>20251205 1745|NVDA</t>
  </si>
  <si>
    <t>20251205 1750|NVDA</t>
  </si>
  <si>
    <t>20251205 1755|NVDA</t>
  </si>
  <si>
    <t>20251205 1800|NVDA</t>
  </si>
  <si>
    <t>20251205 1805|NVDA</t>
  </si>
  <si>
    <t>20251205 1810|NVDA</t>
  </si>
  <si>
    <t>20251205 1815|NVDA</t>
  </si>
  <si>
    <t>20251205 1820|NVDA</t>
  </si>
  <si>
    <t>20251205 1825|NVDA</t>
  </si>
  <si>
    <t>20251205 1830|NVDA</t>
  </si>
  <si>
    <t>20251205 1835|NVDA</t>
  </si>
  <si>
    <t>20251205 1840|NVDA</t>
  </si>
  <si>
    <t>20251205 1845|NVDA</t>
  </si>
  <si>
    <t>20251205 1850|NVDA</t>
  </si>
  <si>
    <t>20251205 1855|NVDA</t>
  </si>
  <si>
    <t>20251205 1900|NVDA</t>
  </si>
  <si>
    <t>20251205 1905|NVDA</t>
  </si>
  <si>
    <t>20251205 1910|NVDA</t>
  </si>
  <si>
    <t>20251205 1915|NVDA</t>
  </si>
  <si>
    <t>20251205 1920|NVDA</t>
  </si>
  <si>
    <t>20251205 1925|NVDA</t>
  </si>
  <si>
    <t>20251205 1930|NVDA</t>
  </si>
  <si>
    <t>20251205 1935|NVDA</t>
  </si>
  <si>
    <t>20251205 1940|NVDA</t>
  </si>
  <si>
    <t>20251205 1945|NVDA</t>
  </si>
  <si>
    <t>20251205 1950|NVDA</t>
  </si>
  <si>
    <t>20251205 1955|NVDA</t>
  </si>
  <si>
    <t>20251205 2000|NVDA</t>
  </si>
  <si>
    <t>20251205 2005|NVDA</t>
  </si>
  <si>
    <t>20251205 2010|NVDA</t>
  </si>
  <si>
    <t>20251205 2015|NVDA</t>
  </si>
  <si>
    <t>20251205 2020|NVDA</t>
  </si>
  <si>
    <t>20251205 2025|NVDA</t>
  </si>
  <si>
    <t>20251205 2030|NVDA</t>
  </si>
  <si>
    <t>20251205 2035|NVDA</t>
  </si>
  <si>
    <t>20251205 2040|NVDA</t>
  </si>
  <si>
    <t>20251205 2045|NVDA</t>
  </si>
  <si>
    <t>20251205 2050|NVDA</t>
  </si>
  <si>
    <t>20251205 2055|NVDA</t>
  </si>
  <si>
    <t>20251205 2100|NVDA</t>
  </si>
  <si>
    <t>20251201 1430|AMZN</t>
  </si>
  <si>
    <t>20251201 1435|AMZN</t>
  </si>
  <si>
    <t>20251201 1440|AMZN</t>
  </si>
  <si>
    <t>20251201 1445|AMZN</t>
  </si>
  <si>
    <t>20251201 1450|AMZN</t>
  </si>
  <si>
    <t>20251201 1455|AMZN</t>
  </si>
  <si>
    <t>20251201 1500|AMZN</t>
  </si>
  <si>
    <t>20251201 1505|AMZN</t>
  </si>
  <si>
    <t>20251201 1510|AMZN</t>
  </si>
  <si>
    <t>20251201 1515|AMZN</t>
  </si>
  <si>
    <t>20251201 1520|AMZN</t>
  </si>
  <si>
    <t>20251201 1525|AMZN</t>
  </si>
  <si>
    <t>20251201 1530|AMZN</t>
  </si>
  <si>
    <t>20251201 1535|AMZN</t>
  </si>
  <si>
    <t>20251201 1540|AMZN</t>
  </si>
  <si>
    <t>20251201 1545|AMZN</t>
  </si>
  <si>
    <t>20251201 1550|AMZN</t>
  </si>
  <si>
    <t>20251201 1555|AMZN</t>
  </si>
  <si>
    <t>20251201 1600|AMZN</t>
  </si>
  <si>
    <t>20251201 1605|AMZN</t>
  </si>
  <si>
    <t>20251201 1610|AMZN</t>
  </si>
  <si>
    <t>20251201 1615|AMZN</t>
  </si>
  <si>
    <t>20251201 1620|AMZN</t>
  </si>
  <si>
    <t>20251201 1625|AMZN</t>
  </si>
  <si>
    <t>20251201 1630|AMZN</t>
  </si>
  <si>
    <t>20251201 1635|AMZN</t>
  </si>
  <si>
    <t>20251201 1640|AMZN</t>
  </si>
  <si>
    <t>20251201 1645|AMZN</t>
  </si>
  <si>
    <t>20251201 1650|AMZN</t>
  </si>
  <si>
    <t>20251201 1655|AMZN</t>
  </si>
  <si>
    <t>20251201 1700|AMZN</t>
  </si>
  <si>
    <t>20251201 1705|AMZN</t>
  </si>
  <si>
    <t>20251201 1710|AMZN</t>
  </si>
  <si>
    <t>20251201 1715|AMZN</t>
  </si>
  <si>
    <t>20251201 1720|AMZN</t>
  </si>
  <si>
    <t>20251201 1725|AMZN</t>
  </si>
  <si>
    <t>20251201 1730|AMZN</t>
  </si>
  <si>
    <t>20251201 1735|AMZN</t>
  </si>
  <si>
    <t>20251201 1740|AMZN</t>
  </si>
  <si>
    <t>20251201 1745|AMZN</t>
  </si>
  <si>
    <t>20251201 1750|AMZN</t>
  </si>
  <si>
    <t>20251201 1755|AMZN</t>
  </si>
  <si>
    <t>20251201 1800|AMZN</t>
  </si>
  <si>
    <t>20251201 1805|AMZN</t>
  </si>
  <si>
    <t>20251201 1810|AMZN</t>
  </si>
  <si>
    <t>20251201 1815|AMZN</t>
  </si>
  <si>
    <t>20251201 1820|AMZN</t>
  </si>
  <si>
    <t>20251201 1825|AMZN</t>
  </si>
  <si>
    <t>20251201 1830|AMZN</t>
  </si>
  <si>
    <t>20251201 1835|AMZN</t>
  </si>
  <si>
    <t>20251201 1840|AMZN</t>
  </si>
  <si>
    <t>20251201 1845|AMZN</t>
  </si>
  <si>
    <t>20251201 1850|AMZN</t>
  </si>
  <si>
    <t>20251201 1855|AMZN</t>
  </si>
  <si>
    <t>20251201 1900|AMZN</t>
  </si>
  <si>
    <t>20251201 1905|AMZN</t>
  </si>
  <si>
    <t>20251201 1910|AMZN</t>
  </si>
  <si>
    <t>20251201 1915|AMZN</t>
  </si>
  <si>
    <t>20251201 1920|AMZN</t>
  </si>
  <si>
    <t>20251201 1925|AMZN</t>
  </si>
  <si>
    <t>20251201 1930|AMZN</t>
  </si>
  <si>
    <t>20251201 1935|AMZN</t>
  </si>
  <si>
    <t>20251201 1940|AMZN</t>
  </si>
  <si>
    <t>20251201 1945|AMZN</t>
  </si>
  <si>
    <t>20251201 1950|AMZN</t>
  </si>
  <si>
    <t>20251201 1955|AMZN</t>
  </si>
  <si>
    <t>20251201 2000|AMZN</t>
  </si>
  <si>
    <t>20251201 2005|AMZN</t>
  </si>
  <si>
    <t>20251201 2010|AMZN</t>
  </si>
  <si>
    <t>20251201 2015|AMZN</t>
  </si>
  <si>
    <t>20251201 2020|AMZN</t>
  </si>
  <si>
    <t>20251201 2025|AMZN</t>
  </si>
  <si>
    <t>20251201 2030|AMZN</t>
  </si>
  <si>
    <t>20251201 2035|AMZN</t>
  </si>
  <si>
    <t>20251201 2040|AMZN</t>
  </si>
  <si>
    <t>20251201 2045|AMZN</t>
  </si>
  <si>
    <t>20251201 2050|AMZN</t>
  </si>
  <si>
    <t>20251201 2055|AMZN</t>
  </si>
  <si>
    <t>20251201 2100|AMZN</t>
  </si>
  <si>
    <t>20251202 1430|AMZN</t>
  </si>
  <si>
    <t>20251202 1435|AMZN</t>
  </si>
  <si>
    <t>20251202 1440|AMZN</t>
  </si>
  <si>
    <t>20251202 1445|AMZN</t>
  </si>
  <si>
    <t>20251202 1450|AMZN</t>
  </si>
  <si>
    <t>20251202 1455|AMZN</t>
  </si>
  <si>
    <t>20251202 1500|AMZN</t>
  </si>
  <si>
    <t>20251202 1505|AMZN</t>
  </si>
  <si>
    <t>20251202 1510|AMZN</t>
  </si>
  <si>
    <t>20251202 1515|AMZN</t>
  </si>
  <si>
    <t>20251202 1520|AMZN</t>
  </si>
  <si>
    <t>20251202 1525|AMZN</t>
  </si>
  <si>
    <t>20251202 1530|AMZN</t>
  </si>
  <si>
    <t>20251202 1535|AMZN</t>
  </si>
  <si>
    <t>20251202 1540|AMZN</t>
  </si>
  <si>
    <t>20251202 1545|AMZN</t>
  </si>
  <si>
    <t>20251202 1550|AMZN</t>
  </si>
  <si>
    <t>20251202 1555|AMZN</t>
  </si>
  <si>
    <t>20251202 1600|AMZN</t>
  </si>
  <si>
    <t>20251202 1605|AMZN</t>
  </si>
  <si>
    <t>20251202 1610|AMZN</t>
  </si>
  <si>
    <t>20251202 1615|AMZN</t>
  </si>
  <si>
    <t>20251202 1620|AMZN</t>
  </si>
  <si>
    <t>20251202 1625|AMZN</t>
  </si>
  <si>
    <t>20251202 1630|AMZN</t>
  </si>
  <si>
    <t>20251202 1635|AMZN</t>
  </si>
  <si>
    <t>20251202 1640|AMZN</t>
  </si>
  <si>
    <t>20251202 1645|AMZN</t>
  </si>
  <si>
    <t>20251202 1650|AMZN</t>
  </si>
  <si>
    <t>20251202 1655|AMZN</t>
  </si>
  <si>
    <t>20251202 1700|AMZN</t>
  </si>
  <si>
    <t>20251202 1705|AMZN</t>
  </si>
  <si>
    <t>20251202 1710|AMZN</t>
  </si>
  <si>
    <t>20251202 1715|AMZN</t>
  </si>
  <si>
    <t>20251202 1720|AMZN</t>
  </si>
  <si>
    <t>20251202 1725|AMZN</t>
  </si>
  <si>
    <t>20251202 1730|AMZN</t>
  </si>
  <si>
    <t>20251202 1735|AMZN</t>
  </si>
  <si>
    <t>20251202 1740|AMZN</t>
  </si>
  <si>
    <t>20251202 1745|AMZN</t>
  </si>
  <si>
    <t>20251202 1750|AMZN</t>
  </si>
  <si>
    <t>20251202 1755|AMZN</t>
  </si>
  <si>
    <t>20251202 1800|AMZN</t>
  </si>
  <si>
    <t>20251202 1805|AMZN</t>
  </si>
  <si>
    <t>20251202 1810|AMZN</t>
  </si>
  <si>
    <t>20251202 1815|AMZN</t>
  </si>
  <si>
    <t>20251202 1820|AMZN</t>
  </si>
  <si>
    <t>20251202 1825|AMZN</t>
  </si>
  <si>
    <t>20251202 1830|AMZN</t>
  </si>
  <si>
    <t>20251202 1835|AMZN</t>
  </si>
  <si>
    <t>20251202 1840|AMZN</t>
  </si>
  <si>
    <t>20251202 1845|AMZN</t>
  </si>
  <si>
    <t>20251202 1850|AMZN</t>
  </si>
  <si>
    <t>20251202 1855|AMZN</t>
  </si>
  <si>
    <t>20251202 1900|AMZN</t>
  </si>
  <si>
    <t>20251202 1905|AMZN</t>
  </si>
  <si>
    <t>20251202 1910|AMZN</t>
  </si>
  <si>
    <t>20251202 1915|AMZN</t>
  </si>
  <si>
    <t>20251202 1920|AMZN</t>
  </si>
  <si>
    <t>20251202 1925|AMZN</t>
  </si>
  <si>
    <t>20251202 1930|AMZN</t>
  </si>
  <si>
    <t>20251202 1935|AMZN</t>
  </si>
  <si>
    <t>20251202 1940|AMZN</t>
  </si>
  <si>
    <t>20251202 1945|AMZN</t>
  </si>
  <si>
    <t>20251202 1950|AMZN</t>
  </si>
  <si>
    <t>20251202 1955|AMZN</t>
  </si>
  <si>
    <t>20251202 2000|AMZN</t>
  </si>
  <si>
    <t>20251202 2005|AMZN</t>
  </si>
  <si>
    <t>20251202 2010|AMZN</t>
  </si>
  <si>
    <t>20251202 2015|AMZN</t>
  </si>
  <si>
    <t>20251202 2020|AMZN</t>
  </si>
  <si>
    <t>20251202 2025|AMZN</t>
  </si>
  <si>
    <t>20251202 2030|AMZN</t>
  </si>
  <si>
    <t>20251202 2035|AMZN</t>
  </si>
  <si>
    <t>20251202 2040|AMZN</t>
  </si>
  <si>
    <t>20251202 2045|AMZN</t>
  </si>
  <si>
    <t>20251202 2050|AMZN</t>
  </si>
  <si>
    <t>20251202 2055|AMZN</t>
  </si>
  <si>
    <t>20251202 2100|AMZN</t>
  </si>
  <si>
    <t>20251203 1430|AMZN</t>
  </si>
  <si>
    <t>20251203 1435|AMZN</t>
  </si>
  <si>
    <t>20251203 1440|AMZN</t>
  </si>
  <si>
    <t>20251203 1445|AMZN</t>
  </si>
  <si>
    <t>20251203 1450|AMZN</t>
  </si>
  <si>
    <t>20251203 1455|AMZN</t>
  </si>
  <si>
    <t>20251203 1500|AMZN</t>
  </si>
  <si>
    <t>20251203 1505|AMZN</t>
  </si>
  <si>
    <t>20251203 1510|AMZN</t>
  </si>
  <si>
    <t>20251203 1515|AMZN</t>
  </si>
  <si>
    <t>20251203 1520|AMZN</t>
  </si>
  <si>
    <t>20251203 1525|AMZN</t>
  </si>
  <si>
    <t>20251203 1530|AMZN</t>
  </si>
  <si>
    <t>20251203 1535|AMZN</t>
  </si>
  <si>
    <t>20251203 1540|AMZN</t>
  </si>
  <si>
    <t>20251203 1545|AMZN</t>
  </si>
  <si>
    <t>20251203 1550|AMZN</t>
  </si>
  <si>
    <t>20251203 1555|AMZN</t>
  </si>
  <si>
    <t>20251203 1600|AMZN</t>
  </si>
  <si>
    <t>20251203 1605|AMZN</t>
  </si>
  <si>
    <t>20251203 1610|AMZN</t>
  </si>
  <si>
    <t>20251203 1615|AMZN</t>
  </si>
  <si>
    <t>20251203 1620|AMZN</t>
  </si>
  <si>
    <t>20251203 1625|AMZN</t>
  </si>
  <si>
    <t>20251203 1630|AMZN</t>
  </si>
  <si>
    <t>20251203 1635|AMZN</t>
  </si>
  <si>
    <t>20251203 1640|AMZN</t>
  </si>
  <si>
    <t>20251203 1645|AMZN</t>
  </si>
  <si>
    <t>20251203 1650|AMZN</t>
  </si>
  <si>
    <t>20251203 1655|AMZN</t>
  </si>
  <si>
    <t>20251203 1700|AMZN</t>
  </si>
  <si>
    <t>20251203 1705|AMZN</t>
  </si>
  <si>
    <t>20251203 1710|AMZN</t>
  </si>
  <si>
    <t>20251203 1715|AMZN</t>
  </si>
  <si>
    <t>20251203 1720|AMZN</t>
  </si>
  <si>
    <t>20251203 1725|AMZN</t>
  </si>
  <si>
    <t>20251203 1730|AMZN</t>
  </si>
  <si>
    <t>20251203 1735|AMZN</t>
  </si>
  <si>
    <t>20251203 1740|AMZN</t>
  </si>
  <si>
    <t>20251203 1745|AMZN</t>
  </si>
  <si>
    <t>20251203 1750|AMZN</t>
  </si>
  <si>
    <t>20251203 1755|AMZN</t>
  </si>
  <si>
    <t>20251203 1800|AMZN</t>
  </si>
  <si>
    <t>20251203 1805|AMZN</t>
  </si>
  <si>
    <t>20251203 1810|AMZN</t>
  </si>
  <si>
    <t>20251203 1815|AMZN</t>
  </si>
  <si>
    <t>20251203 1820|AMZN</t>
  </si>
  <si>
    <t>20251203 1825|AMZN</t>
  </si>
  <si>
    <t>20251203 1830|AMZN</t>
  </si>
  <si>
    <t>20251203 1835|AMZN</t>
  </si>
  <si>
    <t>20251203 1840|AMZN</t>
  </si>
  <si>
    <t>20251203 1845|AMZN</t>
  </si>
  <si>
    <t>20251203 1850|AMZN</t>
  </si>
  <si>
    <t>20251203 1855|AMZN</t>
  </si>
  <si>
    <t>20251203 1900|AMZN</t>
  </si>
  <si>
    <t>20251203 1905|AMZN</t>
  </si>
  <si>
    <t>20251203 1910|AMZN</t>
  </si>
  <si>
    <t>20251203 1915|AMZN</t>
  </si>
  <si>
    <t>20251203 1920|AMZN</t>
  </si>
  <si>
    <t>20251203 1925|AMZN</t>
  </si>
  <si>
    <t>20251203 1930|AMZN</t>
  </si>
  <si>
    <t>20251203 1935|AMZN</t>
  </si>
  <si>
    <t>20251203 1940|AMZN</t>
  </si>
  <si>
    <t>20251203 1945|AMZN</t>
  </si>
  <si>
    <t>20251203 1950|AMZN</t>
  </si>
  <si>
    <t>20251203 1955|AMZN</t>
  </si>
  <si>
    <t>20251203 2000|AMZN</t>
  </si>
  <si>
    <t>20251203 2005|AMZN</t>
  </si>
  <si>
    <t>20251203 2010|AMZN</t>
  </si>
  <si>
    <t>20251203 2015|AMZN</t>
  </si>
  <si>
    <t>20251203 2020|AMZN</t>
  </si>
  <si>
    <t>20251203 2025|AMZN</t>
  </si>
  <si>
    <t>20251203 2030|AMZN</t>
  </si>
  <si>
    <t>20251203 2035|AMZN</t>
  </si>
  <si>
    <t>20251203 2040|AMZN</t>
  </si>
  <si>
    <t>20251203 2045|AMZN</t>
  </si>
  <si>
    <t>20251203 2050|AMZN</t>
  </si>
  <si>
    <t>20251203 2055|AMZN</t>
  </si>
  <si>
    <t>20251203 2100|AMZN</t>
  </si>
  <si>
    <t>20251204 1430|AMZN</t>
  </si>
  <si>
    <t>20251204 1435|AMZN</t>
  </si>
  <si>
    <t>20251204 1440|AMZN</t>
  </si>
  <si>
    <t>20251204 1445|AMZN</t>
  </si>
  <si>
    <t>20251204 1450|AMZN</t>
  </si>
  <si>
    <t>20251204 1455|AMZN</t>
  </si>
  <si>
    <t>20251204 1500|AMZN</t>
  </si>
  <si>
    <t>20251204 1505|AMZN</t>
  </si>
  <si>
    <t>20251204 1510|AMZN</t>
  </si>
  <si>
    <t>20251204 1515|AMZN</t>
  </si>
  <si>
    <t>20251204 1520|AMZN</t>
  </si>
  <si>
    <t>20251204 1525|AMZN</t>
  </si>
  <si>
    <t>20251204 1530|AMZN</t>
  </si>
  <si>
    <t>20251204 1535|AMZN</t>
  </si>
  <si>
    <t>20251204 1540|AMZN</t>
  </si>
  <si>
    <t>20251204 1545|AMZN</t>
  </si>
  <si>
    <t>20251204 1550|AMZN</t>
  </si>
  <si>
    <t>20251204 1555|AMZN</t>
  </si>
  <si>
    <t>20251204 1600|AMZN</t>
  </si>
  <si>
    <t>20251204 1605|AMZN</t>
  </si>
  <si>
    <t>20251204 1610|AMZN</t>
  </si>
  <si>
    <t>20251204 1615|AMZN</t>
  </si>
  <si>
    <t>20251204 1620|AMZN</t>
  </si>
  <si>
    <t>20251204 1625|AMZN</t>
  </si>
  <si>
    <t>20251204 1630|AMZN</t>
  </si>
  <si>
    <t>20251204 1635|AMZN</t>
  </si>
  <si>
    <t>20251204 1640|AMZN</t>
  </si>
  <si>
    <t>20251204 1645|AMZN</t>
  </si>
  <si>
    <t>20251204 1650|AMZN</t>
  </si>
  <si>
    <t>20251204 1655|AMZN</t>
  </si>
  <si>
    <t>20251204 1700|AMZN</t>
  </si>
  <si>
    <t>20251204 1705|AMZN</t>
  </si>
  <si>
    <t>20251204 1710|AMZN</t>
  </si>
  <si>
    <t>20251204 1715|AMZN</t>
  </si>
  <si>
    <t>20251204 1720|AMZN</t>
  </si>
  <si>
    <t>20251204 1725|AMZN</t>
  </si>
  <si>
    <t>20251204 1730|AMZN</t>
  </si>
  <si>
    <t>20251204 1735|AMZN</t>
  </si>
  <si>
    <t>20251204 1740|AMZN</t>
  </si>
  <si>
    <t>20251204 1745|AMZN</t>
  </si>
  <si>
    <t>20251204 1750|AMZN</t>
  </si>
  <si>
    <t>20251204 1755|AMZN</t>
  </si>
  <si>
    <t>20251204 1800|AMZN</t>
  </si>
  <si>
    <t>20251204 1805|AMZN</t>
  </si>
  <si>
    <t>20251204 1810|AMZN</t>
  </si>
  <si>
    <t>20251204 1815|AMZN</t>
  </si>
  <si>
    <t>20251204 1820|AMZN</t>
  </si>
  <si>
    <t>20251204 1825|AMZN</t>
  </si>
  <si>
    <t>20251204 1830|AMZN</t>
  </si>
  <si>
    <t>20251204 1835|AMZN</t>
  </si>
  <si>
    <t>20251204 1840|AMZN</t>
  </si>
  <si>
    <t>20251204 1845|AMZN</t>
  </si>
  <si>
    <t>20251204 1850|AMZN</t>
  </si>
  <si>
    <t>20251204 1855|AMZN</t>
  </si>
  <si>
    <t>20251204 1900|AMZN</t>
  </si>
  <si>
    <t>20251204 1905|AMZN</t>
  </si>
  <si>
    <t>20251204 1910|AMZN</t>
  </si>
  <si>
    <t>20251204 1915|AMZN</t>
  </si>
  <si>
    <t>20251204 1920|AMZN</t>
  </si>
  <si>
    <t>20251204 1925|AMZN</t>
  </si>
  <si>
    <t>20251204 1930|AMZN</t>
  </si>
  <si>
    <t>20251204 1935|AMZN</t>
  </si>
  <si>
    <t>20251204 1940|AMZN</t>
  </si>
  <si>
    <t>20251204 1945|AMZN</t>
  </si>
  <si>
    <t>20251204 1950|AMZN</t>
  </si>
  <si>
    <t>20251204 1955|AMZN</t>
  </si>
  <si>
    <t>20251204 2000|AMZN</t>
  </si>
  <si>
    <t>20251204 2005|AMZN</t>
  </si>
  <si>
    <t>20251204 2010|AMZN</t>
  </si>
  <si>
    <t>20251204 2015|AMZN</t>
  </si>
  <si>
    <t>20251204 2020|AMZN</t>
  </si>
  <si>
    <t>20251204 2025|AMZN</t>
  </si>
  <si>
    <t>20251204 2030|AMZN</t>
  </si>
  <si>
    <t>20251204 2035|AMZN</t>
  </si>
  <si>
    <t>20251204 2040|AMZN</t>
  </si>
  <si>
    <t>20251204 2045|AMZN</t>
  </si>
  <si>
    <t>20251204 2050|AMZN</t>
  </si>
  <si>
    <t>20251204 2055|AMZN</t>
  </si>
  <si>
    <t>20251204 2100|AMZN</t>
  </si>
  <si>
    <t>20251205 1430|AMZN</t>
  </si>
  <si>
    <t>20251205 1435|AMZN</t>
  </si>
  <si>
    <t>20251205 1440|AMZN</t>
  </si>
  <si>
    <t>20251205 1445|AMZN</t>
  </si>
  <si>
    <t>20251205 1450|AMZN</t>
  </si>
  <si>
    <t>20251205 1455|AMZN</t>
  </si>
  <si>
    <t>20251205 1500|AMZN</t>
  </si>
  <si>
    <t>20251205 1505|AMZN</t>
  </si>
  <si>
    <t>20251205 1510|AMZN</t>
  </si>
  <si>
    <t>20251205 1515|AMZN</t>
  </si>
  <si>
    <t>20251205 1520|AMZN</t>
  </si>
  <si>
    <t>20251205 1525|AMZN</t>
  </si>
  <si>
    <t>20251205 1530|AMZN</t>
  </si>
  <si>
    <t>20251205 1535|AMZN</t>
  </si>
  <si>
    <t>20251205 1540|AMZN</t>
  </si>
  <si>
    <t>20251205 1545|AMZN</t>
  </si>
  <si>
    <t>20251205 1550|AMZN</t>
  </si>
  <si>
    <t>20251205 1555|AMZN</t>
  </si>
  <si>
    <t>20251205 1600|AMZN</t>
  </si>
  <si>
    <t>20251205 1605|AMZN</t>
  </si>
  <si>
    <t>20251205 1610|AMZN</t>
  </si>
  <si>
    <t>20251205 1615|AMZN</t>
  </si>
  <si>
    <t>20251205 1620|AMZN</t>
  </si>
  <si>
    <t>20251205 1625|AMZN</t>
  </si>
  <si>
    <t>20251205 1630|AMZN</t>
  </si>
  <si>
    <t>20251205 1635|AMZN</t>
  </si>
  <si>
    <t>20251205 1640|AMZN</t>
  </si>
  <si>
    <t>20251205 1645|AMZN</t>
  </si>
  <si>
    <t>20251205 1650|AMZN</t>
  </si>
  <si>
    <t>20251205 1655|AMZN</t>
  </si>
  <si>
    <t>20251205 1700|AMZN</t>
  </si>
  <si>
    <t>20251205 1705|AMZN</t>
  </si>
  <si>
    <t>20251205 1710|AMZN</t>
  </si>
  <si>
    <t>20251205 1715|AMZN</t>
  </si>
  <si>
    <t>20251205 1720|AMZN</t>
  </si>
  <si>
    <t>20251205 1725|AMZN</t>
  </si>
  <si>
    <t>20251205 1730|AMZN</t>
  </si>
  <si>
    <t>20251205 1735|AMZN</t>
  </si>
  <si>
    <t>20251205 1740|AMZN</t>
  </si>
  <si>
    <t>20251205 1745|AMZN</t>
  </si>
  <si>
    <t>20251205 1750|AMZN</t>
  </si>
  <si>
    <t>20251205 1755|AMZN</t>
  </si>
  <si>
    <t>20251205 1800|AMZN</t>
  </si>
  <si>
    <t>20251205 1805|AMZN</t>
  </si>
  <si>
    <t>20251205 1810|AMZN</t>
  </si>
  <si>
    <t>20251205 1815|AMZN</t>
  </si>
  <si>
    <t>20251205 1820|AMZN</t>
  </si>
  <si>
    <t>20251205 1825|AMZN</t>
  </si>
  <si>
    <t>20251205 1830|AMZN</t>
  </si>
  <si>
    <t>20251205 1835|AMZN</t>
  </si>
  <si>
    <t>20251205 1840|AMZN</t>
  </si>
  <si>
    <t>20251205 1845|AMZN</t>
  </si>
  <si>
    <t>20251205 1850|AMZN</t>
  </si>
  <si>
    <t>20251205 1855|AMZN</t>
  </si>
  <si>
    <t>20251205 1900|AMZN</t>
  </si>
  <si>
    <t>20251205 1905|AMZN</t>
  </si>
  <si>
    <t>20251205 1910|AMZN</t>
  </si>
  <si>
    <t>20251205 1915|AMZN</t>
  </si>
  <si>
    <t>20251205 1920|AMZN</t>
  </si>
  <si>
    <t>20251205 1925|AMZN</t>
  </si>
  <si>
    <t>20251205 1930|AMZN</t>
  </si>
  <si>
    <t>20251205 1935|AMZN</t>
  </si>
  <si>
    <t>20251205 1940|AMZN</t>
  </si>
  <si>
    <t>20251205 1945|AMZN</t>
  </si>
  <si>
    <t>20251205 1950|AMZN</t>
  </si>
  <si>
    <t>20251205 1955|AMZN</t>
  </si>
  <si>
    <t>20251205 2000|AMZN</t>
  </si>
  <si>
    <t>20251205 2005|AMZN</t>
  </si>
  <si>
    <t>20251205 2010|AMZN</t>
  </si>
  <si>
    <t>20251205 2015|AMZN</t>
  </si>
  <si>
    <t>20251205 2020|AMZN</t>
  </si>
  <si>
    <t>20251205 2025|AMZN</t>
  </si>
  <si>
    <t>20251205 2030|AMZN</t>
  </si>
  <si>
    <t>20251205 2035|AMZN</t>
  </si>
  <si>
    <t>20251205 2040|AMZN</t>
  </si>
  <si>
    <t>20251205 2045|AMZN</t>
  </si>
  <si>
    <t>20251205 2050|AMZN</t>
  </si>
  <si>
    <t>20251205 2055|AMZN</t>
  </si>
  <si>
    <t>20251205 2100|AMZN</t>
  </si>
  <si>
    <t>20251201 1430|TSLA</t>
  </si>
  <si>
    <t>20251201 1435|TSLA</t>
  </si>
  <si>
    <t>20251201 1440|TSLA</t>
  </si>
  <si>
    <t>20251201 1445|TSLA</t>
  </si>
  <si>
    <t>20251201 1450|TSLA</t>
  </si>
  <si>
    <t>20251201 1455|TSLA</t>
  </si>
  <si>
    <t>20251201 1500|TSLA</t>
  </si>
  <si>
    <t>20251201 1505|TSLA</t>
  </si>
  <si>
    <t>20251201 1510|TSLA</t>
  </si>
  <si>
    <t>20251201 1515|TSLA</t>
  </si>
  <si>
    <t>20251201 1520|TSLA</t>
  </si>
  <si>
    <t>20251201 1525|TSLA</t>
  </si>
  <si>
    <t>20251201 1530|TSLA</t>
  </si>
  <si>
    <t>20251201 1535|TSLA</t>
  </si>
  <si>
    <t>20251201 1540|TSLA</t>
  </si>
  <si>
    <t>20251201 1545|TSLA</t>
  </si>
  <si>
    <t>20251201 1550|TSLA</t>
  </si>
  <si>
    <t>20251201 1555|TSLA</t>
  </si>
  <si>
    <t>20251201 1600|TSLA</t>
  </si>
  <si>
    <t>20251201 1605|TSLA</t>
  </si>
  <si>
    <t>20251201 1610|TSLA</t>
  </si>
  <si>
    <t>20251201 1615|TSLA</t>
  </si>
  <si>
    <t>20251201 1620|TSLA</t>
  </si>
  <si>
    <t>20251201 1625|TSLA</t>
  </si>
  <si>
    <t>20251201 1630|TSLA</t>
  </si>
  <si>
    <t>20251201 1635|TSLA</t>
  </si>
  <si>
    <t>20251201 1640|TSLA</t>
  </si>
  <si>
    <t>20251201 1645|TSLA</t>
  </si>
  <si>
    <t>20251201 1650|TSLA</t>
  </si>
  <si>
    <t>20251201 1655|TSLA</t>
  </si>
  <si>
    <t>20251201 1700|TSLA</t>
  </si>
  <si>
    <t>20251201 1705|TSLA</t>
  </si>
  <si>
    <t>20251201 1710|TSLA</t>
  </si>
  <si>
    <t>20251201 1715|TSLA</t>
  </si>
  <si>
    <t>20251201 1720|TSLA</t>
  </si>
  <si>
    <t>20251201 1725|TSLA</t>
  </si>
  <si>
    <t>20251201 1730|TSLA</t>
  </si>
  <si>
    <t>20251201 1735|TSLA</t>
  </si>
  <si>
    <t>20251201 1740|TSLA</t>
  </si>
  <si>
    <t>20251201 1745|TSLA</t>
  </si>
  <si>
    <t>20251201 1750|TSLA</t>
  </si>
  <si>
    <t>20251201 1755|TSLA</t>
  </si>
  <si>
    <t>20251201 1800|TSLA</t>
  </si>
  <si>
    <t>20251201 1805|TSLA</t>
  </si>
  <si>
    <t>20251201 1810|TSLA</t>
  </si>
  <si>
    <t>20251201 1815|TSLA</t>
  </si>
  <si>
    <t>20251201 1820|TSLA</t>
  </si>
  <si>
    <t>20251201 1825|TSLA</t>
  </si>
  <si>
    <t>20251201 1830|TSLA</t>
  </si>
  <si>
    <t>20251201 1835|TSLA</t>
  </si>
  <si>
    <t>20251201 1840|TSLA</t>
  </si>
  <si>
    <t>20251201 1845|TSLA</t>
  </si>
  <si>
    <t>20251201 1850|TSLA</t>
  </si>
  <si>
    <t>20251201 1855|TSLA</t>
  </si>
  <si>
    <t>20251201 1900|TSLA</t>
  </si>
  <si>
    <t>20251201 1905|TSLA</t>
  </si>
  <si>
    <t>20251201 1910|TSLA</t>
  </si>
  <si>
    <t>20251201 1915|TSLA</t>
  </si>
  <si>
    <t>20251201 1920|TSLA</t>
  </si>
  <si>
    <t>20251201 1925|TSLA</t>
  </si>
  <si>
    <t>20251201 1930|TSLA</t>
  </si>
  <si>
    <t>20251201 1935|TSLA</t>
  </si>
  <si>
    <t>20251201 1940|TSLA</t>
  </si>
  <si>
    <t>20251201 1945|TSLA</t>
  </si>
  <si>
    <t>20251201 1950|TSLA</t>
  </si>
  <si>
    <t>20251201 1955|TSLA</t>
  </si>
  <si>
    <t>20251201 2000|TSLA</t>
  </si>
  <si>
    <t>20251201 2005|TSLA</t>
  </si>
  <si>
    <t>20251201 2010|TSLA</t>
  </si>
  <si>
    <t>20251201 2015|TSLA</t>
  </si>
  <si>
    <t>20251201 2020|TSLA</t>
  </si>
  <si>
    <t>20251201 2025|TSLA</t>
  </si>
  <si>
    <t>20251201 2030|TSLA</t>
  </si>
  <si>
    <t>20251201 2035|TSLA</t>
  </si>
  <si>
    <t>20251201 2040|TSLA</t>
  </si>
  <si>
    <t>20251201 2045|TSLA</t>
  </si>
  <si>
    <t>20251201 2050|TSLA</t>
  </si>
  <si>
    <t>20251201 2055|TSLA</t>
  </si>
  <si>
    <t>20251201 2100|TSLA</t>
  </si>
  <si>
    <t>20251202 1430|TSLA</t>
  </si>
  <si>
    <t>20251202 1435|TSLA</t>
  </si>
  <si>
    <t>20251202 1440|TSLA</t>
  </si>
  <si>
    <t>20251202 1445|TSLA</t>
  </si>
  <si>
    <t>20251202 1450|TSLA</t>
  </si>
  <si>
    <t>20251202 1455|TSLA</t>
  </si>
  <si>
    <t>20251202 1500|TSLA</t>
  </si>
  <si>
    <t>20251202 1505|TSLA</t>
  </si>
  <si>
    <t>20251202 1510|TSLA</t>
  </si>
  <si>
    <t>20251202 1515|TSLA</t>
  </si>
  <si>
    <t>20251202 1520|TSLA</t>
  </si>
  <si>
    <t>20251202 1525|TSLA</t>
  </si>
  <si>
    <t>20251202 1530|TSLA</t>
  </si>
  <si>
    <t>20251202 1535|TSLA</t>
  </si>
  <si>
    <t>20251202 1540|TSLA</t>
  </si>
  <si>
    <t>20251202 1545|TSLA</t>
  </si>
  <si>
    <t>20251202 1550|TSLA</t>
  </si>
  <si>
    <t>20251202 1555|TSLA</t>
  </si>
  <si>
    <t>20251202 1600|TSLA</t>
  </si>
  <si>
    <t>20251202 1605|TSLA</t>
  </si>
  <si>
    <t>20251202 1610|TSLA</t>
  </si>
  <si>
    <t>20251202 1615|TSLA</t>
  </si>
  <si>
    <t>20251202 1620|TSLA</t>
  </si>
  <si>
    <t>20251202 1625|TSLA</t>
  </si>
  <si>
    <t>20251202 1630|TSLA</t>
  </si>
  <si>
    <t>20251202 1635|TSLA</t>
  </si>
  <si>
    <t>20251202 1640|TSLA</t>
  </si>
  <si>
    <t>20251202 1645|TSLA</t>
  </si>
  <si>
    <t>20251202 1650|TSLA</t>
  </si>
  <si>
    <t>20251202 1655|TSLA</t>
  </si>
  <si>
    <t>20251202 1700|TSLA</t>
  </si>
  <si>
    <t>20251202 1705|TSLA</t>
  </si>
  <si>
    <t>20251202 1710|TSLA</t>
  </si>
  <si>
    <t>20251202 1715|TSLA</t>
  </si>
  <si>
    <t>20251202 1720|TSLA</t>
  </si>
  <si>
    <t>20251202 1725|TSLA</t>
  </si>
  <si>
    <t>20251202 1730|TSLA</t>
  </si>
  <si>
    <t>20251202 1735|TSLA</t>
  </si>
  <si>
    <t>20251202 1740|TSLA</t>
  </si>
  <si>
    <t>20251202 1745|TSLA</t>
  </si>
  <si>
    <t>20251202 1750|TSLA</t>
  </si>
  <si>
    <t>20251202 1755|TSLA</t>
  </si>
  <si>
    <t>20251202 1800|TSLA</t>
  </si>
  <si>
    <t>20251202 1805|TSLA</t>
  </si>
  <si>
    <t>20251202 1810|TSLA</t>
  </si>
  <si>
    <t>20251202 1815|TSLA</t>
  </si>
  <si>
    <t>20251202 1820|TSLA</t>
  </si>
  <si>
    <t>20251202 1825|TSLA</t>
  </si>
  <si>
    <t>20251202 1830|TSLA</t>
  </si>
  <si>
    <t>20251202 1835|TSLA</t>
  </si>
  <si>
    <t>20251202 1840|TSLA</t>
  </si>
  <si>
    <t>20251202 1845|TSLA</t>
  </si>
  <si>
    <t>20251202 1850|TSLA</t>
  </si>
  <si>
    <t>20251202 1855|TSLA</t>
  </si>
  <si>
    <t>20251202 1900|TSLA</t>
  </si>
  <si>
    <t>20251202 1905|TSLA</t>
  </si>
  <si>
    <t>20251202 1910|TSLA</t>
  </si>
  <si>
    <t>20251202 1915|TSLA</t>
  </si>
  <si>
    <t>20251202 1920|TSLA</t>
  </si>
  <si>
    <t>20251202 1925|TSLA</t>
  </si>
  <si>
    <t>20251202 1930|TSLA</t>
  </si>
  <si>
    <t>20251202 1935|TSLA</t>
  </si>
  <si>
    <t>20251202 1940|TSLA</t>
  </si>
  <si>
    <t>20251202 1945|TSLA</t>
  </si>
  <si>
    <t>20251202 1950|TSLA</t>
  </si>
  <si>
    <t>20251202 1955|TSLA</t>
  </si>
  <si>
    <t>20251202 2000|TSLA</t>
  </si>
  <si>
    <t>20251202 2005|TSLA</t>
  </si>
  <si>
    <t>20251202 2010|TSLA</t>
  </si>
  <si>
    <t>20251202 2015|TSLA</t>
  </si>
  <si>
    <t>20251202 2020|TSLA</t>
  </si>
  <si>
    <t>20251202 2025|TSLA</t>
  </si>
  <si>
    <t>20251202 2030|TSLA</t>
  </si>
  <si>
    <t>20251202 2035|TSLA</t>
  </si>
  <si>
    <t>20251202 2040|TSLA</t>
  </si>
  <si>
    <t>20251202 2045|TSLA</t>
  </si>
  <si>
    <t>20251202 2050|TSLA</t>
  </si>
  <si>
    <t>20251202 2055|TSLA</t>
  </si>
  <si>
    <t>20251202 2100|TSLA</t>
  </si>
  <si>
    <t>20251203 1430|TSLA</t>
  </si>
  <si>
    <t>20251203 1435|TSLA</t>
  </si>
  <si>
    <t>20251203 1440|TSLA</t>
  </si>
  <si>
    <t>20251203 1445|TSLA</t>
  </si>
  <si>
    <t>20251203 1450|TSLA</t>
  </si>
  <si>
    <t>20251203 1455|TSLA</t>
  </si>
  <si>
    <t>20251203 1500|TSLA</t>
  </si>
  <si>
    <t>20251203 1505|TSLA</t>
  </si>
  <si>
    <t>20251203 1510|TSLA</t>
  </si>
  <si>
    <t>20251203 1515|TSLA</t>
  </si>
  <si>
    <t>20251203 1520|TSLA</t>
  </si>
  <si>
    <t>20251203 1525|TSLA</t>
  </si>
  <si>
    <t>20251203 1530|TSLA</t>
  </si>
  <si>
    <t>20251203 1535|TSLA</t>
  </si>
  <si>
    <t>20251203 1540|TSLA</t>
  </si>
  <si>
    <t>20251203 1545|TSLA</t>
  </si>
  <si>
    <t>20251203 1550|TSLA</t>
  </si>
  <si>
    <t>20251203 1555|TSLA</t>
  </si>
  <si>
    <t>20251203 1600|TSLA</t>
  </si>
  <si>
    <t>20251203 1605|TSLA</t>
  </si>
  <si>
    <t>20251203 1610|TSLA</t>
  </si>
  <si>
    <t>20251203 1615|TSLA</t>
  </si>
  <si>
    <t>20251203 1620|TSLA</t>
  </si>
  <si>
    <t>20251203 1625|TSLA</t>
  </si>
  <si>
    <t>20251203 1630|TSLA</t>
  </si>
  <si>
    <t>20251203 1635|TSLA</t>
  </si>
  <si>
    <t>20251203 1640|TSLA</t>
  </si>
  <si>
    <t>20251203 1645|TSLA</t>
  </si>
  <si>
    <t>20251203 1650|TSLA</t>
  </si>
  <si>
    <t>20251203 1655|TSLA</t>
  </si>
  <si>
    <t>20251203 1700|TSLA</t>
  </si>
  <si>
    <t>20251203 1705|TSLA</t>
  </si>
  <si>
    <t>20251203 1710|TSLA</t>
  </si>
  <si>
    <t>20251203 1715|TSLA</t>
  </si>
  <si>
    <t>20251203 1720|TSLA</t>
  </si>
  <si>
    <t>20251203 1725|TSLA</t>
  </si>
  <si>
    <t>20251203 1730|TSLA</t>
  </si>
  <si>
    <t>20251203 1735|TSLA</t>
  </si>
  <si>
    <t>20251203 1740|TSLA</t>
  </si>
  <si>
    <t>20251203 1745|TSLA</t>
  </si>
  <si>
    <t>20251203 1750|TSLA</t>
  </si>
  <si>
    <t>20251203 1755|TSLA</t>
  </si>
  <si>
    <t>20251203 1800|TSLA</t>
  </si>
  <si>
    <t>20251203 1805|TSLA</t>
  </si>
  <si>
    <t>20251203 1810|TSLA</t>
  </si>
  <si>
    <t>20251203 1815|TSLA</t>
  </si>
  <si>
    <t>20251203 1820|TSLA</t>
  </si>
  <si>
    <t>20251203 1825|TSLA</t>
  </si>
  <si>
    <t>20251203 1830|TSLA</t>
  </si>
  <si>
    <t>20251203 1835|TSLA</t>
  </si>
  <si>
    <t>20251203 1840|TSLA</t>
  </si>
  <si>
    <t>20251203 1845|TSLA</t>
  </si>
  <si>
    <t>20251203 1850|TSLA</t>
  </si>
  <si>
    <t>20251203 1855|TSLA</t>
  </si>
  <si>
    <t>20251203 1900|TSLA</t>
  </si>
  <si>
    <t>20251203 1905|TSLA</t>
  </si>
  <si>
    <t>20251203 1910|TSLA</t>
  </si>
  <si>
    <t>20251203 1915|TSLA</t>
  </si>
  <si>
    <t>20251203 1920|TSLA</t>
  </si>
  <si>
    <t>20251203 1925|TSLA</t>
  </si>
  <si>
    <t>20251203 1930|TSLA</t>
  </si>
  <si>
    <t>20251203 1935|TSLA</t>
  </si>
  <si>
    <t>20251203 1940|TSLA</t>
  </si>
  <si>
    <t>20251203 1945|TSLA</t>
  </si>
  <si>
    <t>20251203 1950|TSLA</t>
  </si>
  <si>
    <t>20251203 1955|TSLA</t>
  </si>
  <si>
    <t>20251203 2000|TSLA</t>
  </si>
  <si>
    <t>20251203 2005|TSLA</t>
  </si>
  <si>
    <t>20251203 2010|TSLA</t>
  </si>
  <si>
    <t>20251203 2015|TSLA</t>
  </si>
  <si>
    <t>20251203 2020|TSLA</t>
  </si>
  <si>
    <t>20251203 2025|TSLA</t>
  </si>
  <si>
    <t>20251203 2030|TSLA</t>
  </si>
  <si>
    <t>20251203 2035|TSLA</t>
  </si>
  <si>
    <t>20251203 2040|TSLA</t>
  </si>
  <si>
    <t>20251203 2045|TSLA</t>
  </si>
  <si>
    <t>20251203 2050|TSLA</t>
  </si>
  <si>
    <t>20251203 2055|TSLA</t>
  </si>
  <si>
    <t>20251203 2100|TSLA</t>
  </si>
  <si>
    <t>20251204 1430|TSLA</t>
  </si>
  <si>
    <t>20251204 1435|TSLA</t>
  </si>
  <si>
    <t>20251204 1440|TSLA</t>
  </si>
  <si>
    <t>20251204 1445|TSLA</t>
  </si>
  <si>
    <t>20251204 1450|TSLA</t>
  </si>
  <si>
    <t>20251204 1455|TSLA</t>
  </si>
  <si>
    <t>20251204 1500|TSLA</t>
  </si>
  <si>
    <t>20251204 1505|TSLA</t>
  </si>
  <si>
    <t>20251204 1510|TSLA</t>
  </si>
  <si>
    <t>20251204 1515|TSLA</t>
  </si>
  <si>
    <t>20251204 1520|TSLA</t>
  </si>
  <si>
    <t>20251204 1525|TSLA</t>
  </si>
  <si>
    <t>20251204 1530|TSLA</t>
  </si>
  <si>
    <t>20251204 1535|TSLA</t>
  </si>
  <si>
    <t>20251204 1540|TSLA</t>
  </si>
  <si>
    <t>20251204 1545|TSLA</t>
  </si>
  <si>
    <t>20251204 1550|TSLA</t>
  </si>
  <si>
    <t>20251204 1555|TSLA</t>
  </si>
  <si>
    <t>20251204 1600|TSLA</t>
  </si>
  <si>
    <t>20251204 1605|TSLA</t>
  </si>
  <si>
    <t>20251204 1610|TSLA</t>
  </si>
  <si>
    <t>20251204 1615|TSLA</t>
  </si>
  <si>
    <t>20251204 1620|TSLA</t>
  </si>
  <si>
    <t>20251204 1625|TSLA</t>
  </si>
  <si>
    <t>20251204 1630|TSLA</t>
  </si>
  <si>
    <t>20251204 1635|TSLA</t>
  </si>
  <si>
    <t>20251204 1640|TSLA</t>
  </si>
  <si>
    <t>20251204 1645|TSLA</t>
  </si>
  <si>
    <t>20251204 1650|TSLA</t>
  </si>
  <si>
    <t>20251204 1655|TSLA</t>
  </si>
  <si>
    <t>20251204 1700|TSLA</t>
  </si>
  <si>
    <t>20251204 1705|TSLA</t>
  </si>
  <si>
    <t>20251204 1710|TSLA</t>
  </si>
  <si>
    <t>20251204 1715|TSLA</t>
  </si>
  <si>
    <t>20251204 1720|TSLA</t>
  </si>
  <si>
    <t>20251204 1725|TSLA</t>
  </si>
  <si>
    <t>20251204 1730|TSLA</t>
  </si>
  <si>
    <t>20251204 1735|TSLA</t>
  </si>
  <si>
    <t>20251204 1740|TSLA</t>
  </si>
  <si>
    <t>20251204 1745|TSLA</t>
  </si>
  <si>
    <t>20251204 1750|TSLA</t>
  </si>
  <si>
    <t>20251204 1755|TSLA</t>
  </si>
  <si>
    <t>20251204 1800|TSLA</t>
  </si>
  <si>
    <t>20251204 1805|TSLA</t>
  </si>
  <si>
    <t>20251204 1810|TSLA</t>
  </si>
  <si>
    <t>20251204 1815|TSLA</t>
  </si>
  <si>
    <t>20251204 1820|TSLA</t>
  </si>
  <si>
    <t>20251204 1825|TSLA</t>
  </si>
  <si>
    <t>20251204 1830|TSLA</t>
  </si>
  <si>
    <t>20251204 1835|TSLA</t>
  </si>
  <si>
    <t>20251204 1840|TSLA</t>
  </si>
  <si>
    <t>20251204 1845|TSLA</t>
  </si>
  <si>
    <t>20251204 1850|TSLA</t>
  </si>
  <si>
    <t>20251204 1855|TSLA</t>
  </si>
  <si>
    <t>20251204 1900|TSLA</t>
  </si>
  <si>
    <t>20251204 1905|TSLA</t>
  </si>
  <si>
    <t>20251204 1910|TSLA</t>
  </si>
  <si>
    <t>20251204 1915|TSLA</t>
  </si>
  <si>
    <t>20251204 1920|TSLA</t>
  </si>
  <si>
    <t>20251204 1925|TSLA</t>
  </si>
  <si>
    <t>20251204 1930|TSLA</t>
  </si>
  <si>
    <t>20251204 1935|TSLA</t>
  </si>
  <si>
    <t>20251204 1940|TSLA</t>
  </si>
  <si>
    <t>20251204 1945|TSLA</t>
  </si>
  <si>
    <t>20251204 1950|TSLA</t>
  </si>
  <si>
    <t>20251204 1955|TSLA</t>
  </si>
  <si>
    <t>20251204 2000|TSLA</t>
  </si>
  <si>
    <t>20251204 2005|TSLA</t>
  </si>
  <si>
    <t>20251204 2010|TSLA</t>
  </si>
  <si>
    <t>20251204 2015|TSLA</t>
  </si>
  <si>
    <t>20251204 2020|TSLA</t>
  </si>
  <si>
    <t>20251204 2025|TSLA</t>
  </si>
  <si>
    <t>20251204 2030|TSLA</t>
  </si>
  <si>
    <t>20251204 2035|TSLA</t>
  </si>
  <si>
    <t>20251204 2040|TSLA</t>
  </si>
  <si>
    <t>20251204 2045|TSLA</t>
  </si>
  <si>
    <t>20251204 2050|TSLA</t>
  </si>
  <si>
    <t>20251204 2055|TSLA</t>
  </si>
  <si>
    <t>20251204 2100|TSLA</t>
  </si>
  <si>
    <t>20251205 1430|TSLA</t>
  </si>
  <si>
    <t>20251205 1435|TSLA</t>
  </si>
  <si>
    <t>20251205 1440|TSLA</t>
  </si>
  <si>
    <t>20251205 1445|TSLA</t>
  </si>
  <si>
    <t>20251205 1450|TSLA</t>
  </si>
  <si>
    <t>20251205 1455|TSLA</t>
  </si>
  <si>
    <t>20251205 1500|TSLA</t>
  </si>
  <si>
    <t>20251205 1505|TSLA</t>
  </si>
  <si>
    <t>20251205 1510|TSLA</t>
  </si>
  <si>
    <t>20251205 1515|TSLA</t>
  </si>
  <si>
    <t>20251205 1520|TSLA</t>
  </si>
  <si>
    <t>20251205 1525|TSLA</t>
  </si>
  <si>
    <t>20251205 1530|TSLA</t>
  </si>
  <si>
    <t>20251205 1535|TSLA</t>
  </si>
  <si>
    <t>20251205 1540|TSLA</t>
  </si>
  <si>
    <t>20251205 1545|TSLA</t>
  </si>
  <si>
    <t>20251205 1550|TSLA</t>
  </si>
  <si>
    <t>20251205 1555|TSLA</t>
  </si>
  <si>
    <t>20251205 1600|TSLA</t>
  </si>
  <si>
    <t>20251205 1605|TSLA</t>
  </si>
  <si>
    <t>20251205 1610|TSLA</t>
  </si>
  <si>
    <t>20251205 1615|TSLA</t>
  </si>
  <si>
    <t>20251205 1620|TSLA</t>
  </si>
  <si>
    <t>20251205 1625|TSLA</t>
  </si>
  <si>
    <t>20251205 1630|TSLA</t>
  </si>
  <si>
    <t>20251205 1635|TSLA</t>
  </si>
  <si>
    <t>20251205 1640|TSLA</t>
  </si>
  <si>
    <t>20251205 1645|TSLA</t>
  </si>
  <si>
    <t>20251205 1650|TSLA</t>
  </si>
  <si>
    <t>20251205 1655|TSLA</t>
  </si>
  <si>
    <t>20251205 1700|TSLA</t>
  </si>
  <si>
    <t>20251205 1705|TSLA</t>
  </si>
  <si>
    <t>20251205 1710|TSLA</t>
  </si>
  <si>
    <t>20251205 1715|TSLA</t>
  </si>
  <si>
    <t>20251205 1720|TSLA</t>
  </si>
  <si>
    <t>20251205 1725|TSLA</t>
  </si>
  <si>
    <t>20251205 1730|TSLA</t>
  </si>
  <si>
    <t>20251205 1735|TSLA</t>
  </si>
  <si>
    <t>20251205 1740|TSLA</t>
  </si>
  <si>
    <t>20251205 1745|TSLA</t>
  </si>
  <si>
    <t>20251205 1750|TSLA</t>
  </si>
  <si>
    <t>20251205 1755|TSLA</t>
  </si>
  <si>
    <t>20251205 1800|TSLA</t>
  </si>
  <si>
    <t>20251205 1805|TSLA</t>
  </si>
  <si>
    <t>20251205 1810|TSLA</t>
  </si>
  <si>
    <t>20251205 1815|TSLA</t>
  </si>
  <si>
    <t>20251205 1820|TSLA</t>
  </si>
  <si>
    <t>20251205 1825|TSLA</t>
  </si>
  <si>
    <t>20251205 1830|TSLA</t>
  </si>
  <si>
    <t>20251205 1835|TSLA</t>
  </si>
  <si>
    <t>20251205 1840|TSLA</t>
  </si>
  <si>
    <t>20251205 1845|TSLA</t>
  </si>
  <si>
    <t>20251205 1850|TSLA</t>
  </si>
  <si>
    <t>20251205 1855|TSLA</t>
  </si>
  <si>
    <t>20251205 1900|TSLA</t>
  </si>
  <si>
    <t>20251205 1905|TSLA</t>
  </si>
  <si>
    <t>20251205 1910|TSLA</t>
  </si>
  <si>
    <t>20251205 1915|TSLA</t>
  </si>
  <si>
    <t>20251205 1920|TSLA</t>
  </si>
  <si>
    <t>20251205 1925|TSLA</t>
  </si>
  <si>
    <t>20251205 1930|TSLA</t>
  </si>
  <si>
    <t>20251205 1935|TSLA</t>
  </si>
  <si>
    <t>20251205 1940|TSLA</t>
  </si>
  <si>
    <t>20251205 1945|TSLA</t>
  </si>
  <si>
    <t>20251205 1950|TSLA</t>
  </si>
  <si>
    <t>20251205 1955|TSLA</t>
  </si>
  <si>
    <t>20251205 2000|TSLA</t>
  </si>
  <si>
    <t>20251205 2005|TSLA</t>
  </si>
  <si>
    <t>20251205 2010|TSLA</t>
  </si>
  <si>
    <t>20251205 2015|TSLA</t>
  </si>
  <si>
    <t>20251205 2020|TSLA</t>
  </si>
  <si>
    <t>20251205 2025|TSLA</t>
  </si>
  <si>
    <t>20251205 2030|TSLA</t>
  </si>
  <si>
    <t>20251205 2035|TSLA</t>
  </si>
  <si>
    <t>20251205 2040|TSLA</t>
  </si>
  <si>
    <t>20251205 2045|TSLA</t>
  </si>
  <si>
    <t>20251205 2050|TSLA</t>
  </si>
  <si>
    <t>20251205 2055|TSLA</t>
  </si>
  <si>
    <t>20251205 2100|TSLA</t>
  </si>
  <si>
    <t>20251201 1430|SPY</t>
  </si>
  <si>
    <t>20251201 1435|SPY</t>
  </si>
  <si>
    <t>20251201 1440|SPY</t>
  </si>
  <si>
    <t>20251201 1445|SPY</t>
  </si>
  <si>
    <t>20251201 1450|SPY</t>
  </si>
  <si>
    <t>20251201 1455|SPY</t>
  </si>
  <si>
    <t>20251201 1500|SPY</t>
  </si>
  <si>
    <t>20251201 1505|SPY</t>
  </si>
  <si>
    <t>20251201 1510|SPY</t>
  </si>
  <si>
    <t>20251201 1515|SPY</t>
  </si>
  <si>
    <t>20251201 1520|SPY</t>
  </si>
  <si>
    <t>20251201 1525|SPY</t>
  </si>
  <si>
    <t>20251201 1530|SPY</t>
  </si>
  <si>
    <t>20251201 1535|SPY</t>
  </si>
  <si>
    <t>20251201 1540|SPY</t>
  </si>
  <si>
    <t>20251201 1545|SPY</t>
  </si>
  <si>
    <t>20251201 1550|SPY</t>
  </si>
  <si>
    <t>20251201 1555|SPY</t>
  </si>
  <si>
    <t>20251201 1600|SPY</t>
  </si>
  <si>
    <t>20251201 1605|SPY</t>
  </si>
  <si>
    <t>20251201 1610|SPY</t>
  </si>
  <si>
    <t>20251201 1615|SPY</t>
  </si>
  <si>
    <t>20251201 1620|SPY</t>
  </si>
  <si>
    <t>20251201 1625|SPY</t>
  </si>
  <si>
    <t>20251201 1630|SPY</t>
  </si>
  <si>
    <t>20251201 1635|SPY</t>
  </si>
  <si>
    <t>20251201 1640|SPY</t>
  </si>
  <si>
    <t>20251201 1645|SPY</t>
  </si>
  <si>
    <t>20251201 1650|SPY</t>
  </si>
  <si>
    <t>20251201 1655|SPY</t>
  </si>
  <si>
    <t>20251201 1700|SPY</t>
  </si>
  <si>
    <t>20251201 1705|SPY</t>
  </si>
  <si>
    <t>20251201 1710|SPY</t>
  </si>
  <si>
    <t>20251201 1715|SPY</t>
  </si>
  <si>
    <t>20251201 1720|SPY</t>
  </si>
  <si>
    <t>20251201 1725|SPY</t>
  </si>
  <si>
    <t>20251201 1730|SPY</t>
  </si>
  <si>
    <t>20251201 1735|SPY</t>
  </si>
  <si>
    <t>20251201 1740|SPY</t>
  </si>
  <si>
    <t>20251201 1745|SPY</t>
  </si>
  <si>
    <t>20251201 1750|SPY</t>
  </si>
  <si>
    <t>20251201 1755|SPY</t>
  </si>
  <si>
    <t>20251201 1800|SPY</t>
  </si>
  <si>
    <t>20251201 1805|SPY</t>
  </si>
  <si>
    <t>20251201 1810|SPY</t>
  </si>
  <si>
    <t>20251201 1815|SPY</t>
  </si>
  <si>
    <t>20251201 1820|SPY</t>
  </si>
  <si>
    <t>20251201 1825|SPY</t>
  </si>
  <si>
    <t>20251201 1830|SPY</t>
  </si>
  <si>
    <t>20251201 1835|SPY</t>
  </si>
  <si>
    <t>20251201 1840|SPY</t>
  </si>
  <si>
    <t>20251201 1845|SPY</t>
  </si>
  <si>
    <t>20251201 1850|SPY</t>
  </si>
  <si>
    <t>20251201 1855|SPY</t>
  </si>
  <si>
    <t>20251201 1900|SPY</t>
  </si>
  <si>
    <t>20251201 1905|SPY</t>
  </si>
  <si>
    <t>20251201 1910|SPY</t>
  </si>
  <si>
    <t>20251201 1915|SPY</t>
  </si>
  <si>
    <t>20251201 1920|SPY</t>
  </si>
  <si>
    <t>20251201 1925|SPY</t>
  </si>
  <si>
    <t>20251201 1930|SPY</t>
  </si>
  <si>
    <t>20251201 1935|SPY</t>
  </si>
  <si>
    <t>20251201 1940|SPY</t>
  </si>
  <si>
    <t>20251201 1945|SPY</t>
  </si>
  <si>
    <t>20251201 1950|SPY</t>
  </si>
  <si>
    <t>20251201 1955|SPY</t>
  </si>
  <si>
    <t>20251201 2000|SPY</t>
  </si>
  <si>
    <t>20251201 2005|SPY</t>
  </si>
  <si>
    <t>20251201 2010|SPY</t>
  </si>
  <si>
    <t>20251201 2015|SPY</t>
  </si>
  <si>
    <t>20251201 2020|SPY</t>
  </si>
  <si>
    <t>20251201 2025|SPY</t>
  </si>
  <si>
    <t>20251201 2030|SPY</t>
  </si>
  <si>
    <t>20251201 2035|SPY</t>
  </si>
  <si>
    <t>20251201 2040|SPY</t>
  </si>
  <si>
    <t>20251201 2045|SPY</t>
  </si>
  <si>
    <t>20251201 2050|SPY</t>
  </si>
  <si>
    <t>20251201 2055|SPY</t>
  </si>
  <si>
    <t>20251201 2100|SPY</t>
  </si>
  <si>
    <t>20251202 1430|SPY</t>
  </si>
  <si>
    <t>20251202 1435|SPY</t>
  </si>
  <si>
    <t>20251202 1440|SPY</t>
  </si>
  <si>
    <t>20251202 1445|SPY</t>
  </si>
  <si>
    <t>20251202 1450|SPY</t>
  </si>
  <si>
    <t>20251202 1455|SPY</t>
  </si>
  <si>
    <t>20251202 1500|SPY</t>
  </si>
  <si>
    <t>20251202 1505|SPY</t>
  </si>
  <si>
    <t>20251202 1510|SPY</t>
  </si>
  <si>
    <t>20251202 1515|SPY</t>
  </si>
  <si>
    <t>20251202 1520|SPY</t>
  </si>
  <si>
    <t>20251202 1525|SPY</t>
  </si>
  <si>
    <t>20251202 1530|SPY</t>
  </si>
  <si>
    <t>20251202 1535|SPY</t>
  </si>
  <si>
    <t>20251202 1540|SPY</t>
  </si>
  <si>
    <t>20251202 1545|SPY</t>
  </si>
  <si>
    <t>20251202 1550|SPY</t>
  </si>
  <si>
    <t>20251202 1555|SPY</t>
  </si>
  <si>
    <t>20251202 1600|SPY</t>
  </si>
  <si>
    <t>20251202 1605|SPY</t>
  </si>
  <si>
    <t>20251202 1610|SPY</t>
  </si>
  <si>
    <t>20251202 1615|SPY</t>
  </si>
  <si>
    <t>20251202 1620|SPY</t>
  </si>
  <si>
    <t>20251202 1625|SPY</t>
  </si>
  <si>
    <t>20251202 1630|SPY</t>
  </si>
  <si>
    <t>20251202 1635|SPY</t>
  </si>
  <si>
    <t>20251202 1640|SPY</t>
  </si>
  <si>
    <t>20251202 1645|SPY</t>
  </si>
  <si>
    <t>20251202 1650|SPY</t>
  </si>
  <si>
    <t>20251202 1655|SPY</t>
  </si>
  <si>
    <t>20251202 1700|SPY</t>
  </si>
  <si>
    <t>20251202 1705|SPY</t>
  </si>
  <si>
    <t>20251202 1710|SPY</t>
  </si>
  <si>
    <t>20251202 1715|SPY</t>
  </si>
  <si>
    <t>20251202 1720|SPY</t>
  </si>
  <si>
    <t>20251202 1725|SPY</t>
  </si>
  <si>
    <t>20251202 1730|SPY</t>
  </si>
  <si>
    <t>20251202 1735|SPY</t>
  </si>
  <si>
    <t>20251202 1740|SPY</t>
  </si>
  <si>
    <t>20251202 1745|SPY</t>
  </si>
  <si>
    <t>20251202 1750|SPY</t>
  </si>
  <si>
    <t>20251202 1755|SPY</t>
  </si>
  <si>
    <t>20251202 1800|SPY</t>
  </si>
  <si>
    <t>20251202 1805|SPY</t>
  </si>
  <si>
    <t>20251202 1810|SPY</t>
  </si>
  <si>
    <t>20251202 1815|SPY</t>
  </si>
  <si>
    <t>20251202 1820|SPY</t>
  </si>
  <si>
    <t>20251202 1825|SPY</t>
  </si>
  <si>
    <t>20251202 1830|SPY</t>
  </si>
  <si>
    <t>20251202 1835|SPY</t>
  </si>
  <si>
    <t>20251202 1840|SPY</t>
  </si>
  <si>
    <t>20251202 1845|SPY</t>
  </si>
  <si>
    <t>20251202 1850|SPY</t>
  </si>
  <si>
    <t>20251202 1855|SPY</t>
  </si>
  <si>
    <t>20251202 1900|SPY</t>
  </si>
  <si>
    <t>20251202 1905|SPY</t>
  </si>
  <si>
    <t>20251202 1910|SPY</t>
  </si>
  <si>
    <t>20251202 1915|SPY</t>
  </si>
  <si>
    <t>20251202 1920|SPY</t>
  </si>
  <si>
    <t>20251202 1925|SPY</t>
  </si>
  <si>
    <t>20251202 1930|SPY</t>
  </si>
  <si>
    <t>20251202 1935|SPY</t>
  </si>
  <si>
    <t>20251202 1940|SPY</t>
  </si>
  <si>
    <t>20251202 1945|SPY</t>
  </si>
  <si>
    <t>20251202 1950|SPY</t>
  </si>
  <si>
    <t>20251202 1955|SPY</t>
  </si>
  <si>
    <t>20251202 2000|SPY</t>
  </si>
  <si>
    <t>20251202 2005|SPY</t>
  </si>
  <si>
    <t>20251202 2010|SPY</t>
  </si>
  <si>
    <t>20251202 2015|SPY</t>
  </si>
  <si>
    <t>20251202 2020|SPY</t>
  </si>
  <si>
    <t>20251202 2025|SPY</t>
  </si>
  <si>
    <t>20251202 2030|SPY</t>
  </si>
  <si>
    <t>20251202 2035|SPY</t>
  </si>
  <si>
    <t>20251202 2040|SPY</t>
  </si>
  <si>
    <t>20251202 2045|SPY</t>
  </si>
  <si>
    <t>20251202 2050|SPY</t>
  </si>
  <si>
    <t>20251202 2055|SPY</t>
  </si>
  <si>
    <t>20251202 2100|SPY</t>
  </si>
  <si>
    <t>20251203 1430|SPY</t>
  </si>
  <si>
    <t>20251203 1435|SPY</t>
  </si>
  <si>
    <t>20251203 1440|SPY</t>
  </si>
  <si>
    <t>20251203 1445|SPY</t>
  </si>
  <si>
    <t>20251203 1450|SPY</t>
  </si>
  <si>
    <t>20251203 1455|SPY</t>
  </si>
  <si>
    <t>20251203 1500|SPY</t>
  </si>
  <si>
    <t>20251203 1505|SPY</t>
  </si>
  <si>
    <t>20251203 1510|SPY</t>
  </si>
  <si>
    <t>20251203 1515|SPY</t>
  </si>
  <si>
    <t>20251203 1520|SPY</t>
  </si>
  <si>
    <t>20251203 1525|SPY</t>
  </si>
  <si>
    <t>20251203 1530|SPY</t>
  </si>
  <si>
    <t>20251203 1535|SPY</t>
  </si>
  <si>
    <t>20251203 1540|SPY</t>
  </si>
  <si>
    <t>20251203 1545|SPY</t>
  </si>
  <si>
    <t>20251203 1550|SPY</t>
  </si>
  <si>
    <t>20251203 1555|SPY</t>
  </si>
  <si>
    <t>20251203 1600|SPY</t>
  </si>
  <si>
    <t>20251203 1605|SPY</t>
  </si>
  <si>
    <t>20251203 1610|SPY</t>
  </si>
  <si>
    <t>20251203 1615|SPY</t>
  </si>
  <si>
    <t>20251203 1620|SPY</t>
  </si>
  <si>
    <t>20251203 1625|SPY</t>
  </si>
  <si>
    <t>20251203 1630|SPY</t>
  </si>
  <si>
    <t>20251203 1635|SPY</t>
  </si>
  <si>
    <t>20251203 1640|SPY</t>
  </si>
  <si>
    <t>20251203 1645|SPY</t>
  </si>
  <si>
    <t>20251203 1650|SPY</t>
  </si>
  <si>
    <t>20251203 1655|SPY</t>
  </si>
  <si>
    <t>20251203 1700|SPY</t>
  </si>
  <si>
    <t>20251203 1705|SPY</t>
  </si>
  <si>
    <t>20251203 1710|SPY</t>
  </si>
  <si>
    <t>20251203 1715|SPY</t>
  </si>
  <si>
    <t>20251203 1720|SPY</t>
  </si>
  <si>
    <t>20251203 1725|SPY</t>
  </si>
  <si>
    <t>20251203 1730|SPY</t>
  </si>
  <si>
    <t>20251203 1735|SPY</t>
  </si>
  <si>
    <t>20251203 1740|SPY</t>
  </si>
  <si>
    <t>20251203 1745|SPY</t>
  </si>
  <si>
    <t>20251203 1750|SPY</t>
  </si>
  <si>
    <t>20251203 1755|SPY</t>
  </si>
  <si>
    <t>20251203 1800|SPY</t>
  </si>
  <si>
    <t>20251203 1805|SPY</t>
  </si>
  <si>
    <t>20251203 1810|SPY</t>
  </si>
  <si>
    <t>20251203 1815|SPY</t>
  </si>
  <si>
    <t>20251203 1820|SPY</t>
  </si>
  <si>
    <t>20251203 1825|SPY</t>
  </si>
  <si>
    <t>20251203 1830|SPY</t>
  </si>
  <si>
    <t>20251203 1835|SPY</t>
  </si>
  <si>
    <t>20251203 1840|SPY</t>
  </si>
  <si>
    <t>20251203 1845|SPY</t>
  </si>
  <si>
    <t>20251203 1850|SPY</t>
  </si>
  <si>
    <t>20251203 1855|SPY</t>
  </si>
  <si>
    <t>20251203 1900|SPY</t>
  </si>
  <si>
    <t>20251203 1905|SPY</t>
  </si>
  <si>
    <t>20251203 1910|SPY</t>
  </si>
  <si>
    <t>20251203 1915|SPY</t>
  </si>
  <si>
    <t>20251203 1920|SPY</t>
  </si>
  <si>
    <t>20251203 1925|SPY</t>
  </si>
  <si>
    <t>20251203 1930|SPY</t>
  </si>
  <si>
    <t>20251203 1935|SPY</t>
  </si>
  <si>
    <t>20251203 1940|SPY</t>
  </si>
  <si>
    <t>20251203 1945|SPY</t>
  </si>
  <si>
    <t>20251203 1950|SPY</t>
  </si>
  <si>
    <t>20251203 1955|SPY</t>
  </si>
  <si>
    <t>20251203 2000|SPY</t>
  </si>
  <si>
    <t>20251203 2005|SPY</t>
  </si>
  <si>
    <t>20251203 2010|SPY</t>
  </si>
  <si>
    <t>20251203 2015|SPY</t>
  </si>
  <si>
    <t>20251203 2020|SPY</t>
  </si>
  <si>
    <t>20251203 2025|SPY</t>
  </si>
  <si>
    <t>20251203 2030|SPY</t>
  </si>
  <si>
    <t>20251203 2035|SPY</t>
  </si>
  <si>
    <t>20251203 2040|SPY</t>
  </si>
  <si>
    <t>20251203 2045|SPY</t>
  </si>
  <si>
    <t>20251203 2050|SPY</t>
  </si>
  <si>
    <t>20251203 2055|SPY</t>
  </si>
  <si>
    <t>20251203 2100|SPY</t>
  </si>
  <si>
    <t>20251204 1430|SPY</t>
  </si>
  <si>
    <t>20251204 1435|SPY</t>
  </si>
  <si>
    <t>20251204 1440|SPY</t>
  </si>
  <si>
    <t>20251204 1445|SPY</t>
  </si>
  <si>
    <t>20251204 1450|SPY</t>
  </si>
  <si>
    <t>20251204 1455|SPY</t>
  </si>
  <si>
    <t>20251204 1500|SPY</t>
  </si>
  <si>
    <t>20251204 1505|SPY</t>
  </si>
  <si>
    <t>20251204 1510|SPY</t>
  </si>
  <si>
    <t>20251204 1515|SPY</t>
  </si>
  <si>
    <t>20251204 1520|SPY</t>
  </si>
  <si>
    <t>20251204 1525|SPY</t>
  </si>
  <si>
    <t>20251204 1530|SPY</t>
  </si>
  <si>
    <t>20251204 1535|SPY</t>
  </si>
  <si>
    <t>20251204 1540|SPY</t>
  </si>
  <si>
    <t>20251204 1545|SPY</t>
  </si>
  <si>
    <t>20251204 1550|SPY</t>
  </si>
  <si>
    <t>20251204 1555|SPY</t>
  </si>
  <si>
    <t>20251204 1600|SPY</t>
  </si>
  <si>
    <t>20251204 1605|SPY</t>
  </si>
  <si>
    <t>20251204 1610|SPY</t>
  </si>
  <si>
    <t>20251204 1615|SPY</t>
  </si>
  <si>
    <t>20251204 1620|SPY</t>
  </si>
  <si>
    <t>20251204 1625|SPY</t>
  </si>
  <si>
    <t>20251204 1630|SPY</t>
  </si>
  <si>
    <t>20251204 1635|SPY</t>
  </si>
  <si>
    <t>20251204 1640|SPY</t>
  </si>
  <si>
    <t>20251204 1645|SPY</t>
  </si>
  <si>
    <t>20251204 1650|SPY</t>
  </si>
  <si>
    <t>20251204 1655|SPY</t>
  </si>
  <si>
    <t>20251204 1700|SPY</t>
  </si>
  <si>
    <t>20251204 1705|SPY</t>
  </si>
  <si>
    <t>20251204 1710|SPY</t>
  </si>
  <si>
    <t>20251204 1715|SPY</t>
  </si>
  <si>
    <t>20251204 1720|SPY</t>
  </si>
  <si>
    <t>20251204 1725|SPY</t>
  </si>
  <si>
    <t>20251204 1730|SPY</t>
  </si>
  <si>
    <t>20251204 1735|SPY</t>
  </si>
  <si>
    <t>20251204 1740|SPY</t>
  </si>
  <si>
    <t>20251204 1745|SPY</t>
  </si>
  <si>
    <t>20251204 1750|SPY</t>
  </si>
  <si>
    <t>20251204 1755|SPY</t>
  </si>
  <si>
    <t>20251204 1800|SPY</t>
  </si>
  <si>
    <t>20251204 1805|SPY</t>
  </si>
  <si>
    <t>20251204 1810|SPY</t>
  </si>
  <si>
    <t>20251204 1815|SPY</t>
  </si>
  <si>
    <t>20251204 1820|SPY</t>
  </si>
  <si>
    <t>20251204 1825|SPY</t>
  </si>
  <si>
    <t>20251204 1830|SPY</t>
  </si>
  <si>
    <t>20251204 1835|SPY</t>
  </si>
  <si>
    <t>20251204 1840|SPY</t>
  </si>
  <si>
    <t>20251204 1845|SPY</t>
  </si>
  <si>
    <t>20251204 1850|SPY</t>
  </si>
  <si>
    <t>20251204 1855|SPY</t>
  </si>
  <si>
    <t>20251204 1900|SPY</t>
  </si>
  <si>
    <t>20251204 1905|SPY</t>
  </si>
  <si>
    <t>20251204 1910|SPY</t>
  </si>
  <si>
    <t>20251204 1915|SPY</t>
  </si>
  <si>
    <t>20251204 1920|SPY</t>
  </si>
  <si>
    <t>20251204 1925|SPY</t>
  </si>
  <si>
    <t>20251204 1930|SPY</t>
  </si>
  <si>
    <t>20251204 1935|SPY</t>
  </si>
  <si>
    <t>20251204 1940|SPY</t>
  </si>
  <si>
    <t>20251204 1945|SPY</t>
  </si>
  <si>
    <t>20251204 1950|SPY</t>
  </si>
  <si>
    <t>20251204 1955|SPY</t>
  </si>
  <si>
    <t>20251204 2000|SPY</t>
  </si>
  <si>
    <t>20251204 2005|SPY</t>
  </si>
  <si>
    <t>20251204 2010|SPY</t>
  </si>
  <si>
    <t>20251204 2015|SPY</t>
  </si>
  <si>
    <t>20251204 2020|SPY</t>
  </si>
  <si>
    <t>20251204 2025|SPY</t>
  </si>
  <si>
    <t>20251204 2030|SPY</t>
  </si>
  <si>
    <t>20251204 2035|SPY</t>
  </si>
  <si>
    <t>20251204 2040|SPY</t>
  </si>
  <si>
    <t>20251204 2045|SPY</t>
  </si>
  <si>
    <t>20251204 2050|SPY</t>
  </si>
  <si>
    <t>20251204 2055|SPY</t>
  </si>
  <si>
    <t>20251204 2100|SPY</t>
  </si>
  <si>
    <t>20251205 1430|SPY</t>
  </si>
  <si>
    <t>20251205 1435|SPY</t>
  </si>
  <si>
    <t>20251205 1440|SPY</t>
  </si>
  <si>
    <t>20251205 1445|SPY</t>
  </si>
  <si>
    <t>20251205 1450|SPY</t>
  </si>
  <si>
    <t>20251205 1455|SPY</t>
  </si>
  <si>
    <t>20251205 1500|SPY</t>
  </si>
  <si>
    <t>20251205 1505|SPY</t>
  </si>
  <si>
    <t>20251205 1510|SPY</t>
  </si>
  <si>
    <t>20251205 1515|SPY</t>
  </si>
  <si>
    <t>20251205 1520|SPY</t>
  </si>
  <si>
    <t>20251205 1525|SPY</t>
  </si>
  <si>
    <t>20251205 1530|SPY</t>
  </si>
  <si>
    <t>20251205 1535|SPY</t>
  </si>
  <si>
    <t>20251205 1540|SPY</t>
  </si>
  <si>
    <t>20251205 1545|SPY</t>
  </si>
  <si>
    <t>20251205 1550|SPY</t>
  </si>
  <si>
    <t>20251205 1555|SPY</t>
  </si>
  <si>
    <t>20251205 1600|SPY</t>
  </si>
  <si>
    <t>20251205 1605|SPY</t>
  </si>
  <si>
    <t>20251205 1610|SPY</t>
  </si>
  <si>
    <t>20251205 1615|SPY</t>
  </si>
  <si>
    <t>20251205 1620|SPY</t>
  </si>
  <si>
    <t>20251205 1625|SPY</t>
  </si>
  <si>
    <t>20251205 1630|SPY</t>
  </si>
  <si>
    <t>20251205 1635|SPY</t>
  </si>
  <si>
    <t>20251205 1640|SPY</t>
  </si>
  <si>
    <t>20251205 1645|SPY</t>
  </si>
  <si>
    <t>20251205 1650|SPY</t>
  </si>
  <si>
    <t>20251205 1655|SPY</t>
  </si>
  <si>
    <t>20251205 1700|SPY</t>
  </si>
  <si>
    <t>20251205 1705|SPY</t>
  </si>
  <si>
    <t>20251205 1710|SPY</t>
  </si>
  <si>
    <t>20251205 1715|SPY</t>
  </si>
  <si>
    <t>20251205 1720|SPY</t>
  </si>
  <si>
    <t>20251205 1725|SPY</t>
  </si>
  <si>
    <t>20251205 1730|SPY</t>
  </si>
  <si>
    <t>20251205 1735|SPY</t>
  </si>
  <si>
    <t>20251205 1740|SPY</t>
  </si>
  <si>
    <t>20251205 1745|SPY</t>
  </si>
  <si>
    <t>20251205 1750|SPY</t>
  </si>
  <si>
    <t>20251205 1755|SPY</t>
  </si>
  <si>
    <t>20251205 1800|SPY</t>
  </si>
  <si>
    <t>20251205 1805|SPY</t>
  </si>
  <si>
    <t>20251205 1810|SPY</t>
  </si>
  <si>
    <t>20251205 1815|SPY</t>
  </si>
  <si>
    <t>20251205 1820|SPY</t>
  </si>
  <si>
    <t>20251205 1825|SPY</t>
  </si>
  <si>
    <t>20251205 1830|SPY</t>
  </si>
  <si>
    <t>20251205 1835|SPY</t>
  </si>
  <si>
    <t>20251205 1840|SPY</t>
  </si>
  <si>
    <t>20251205 1845|SPY</t>
  </si>
  <si>
    <t>20251205 1850|SPY</t>
  </si>
  <si>
    <t>20251205 1855|SPY</t>
  </si>
  <si>
    <t>20251205 1900|SPY</t>
  </si>
  <si>
    <t>20251205 1905|SPY</t>
  </si>
  <si>
    <t>20251205 1910|SPY</t>
  </si>
  <si>
    <t>20251205 1915|SPY</t>
  </si>
  <si>
    <t>20251205 1920|SPY</t>
  </si>
  <si>
    <t>20251205 1925|SPY</t>
  </si>
  <si>
    <t>20251205 1930|SPY</t>
  </si>
  <si>
    <t>20251205 1935|SPY</t>
  </si>
  <si>
    <t>20251205 1940|SPY</t>
  </si>
  <si>
    <t>20251205 1945|SPY</t>
  </si>
  <si>
    <t>20251205 1950|SPY</t>
  </si>
  <si>
    <t>20251205 1955|SPY</t>
  </si>
  <si>
    <t>20251205 2000|SPY</t>
  </si>
  <si>
    <t>20251205 2005|SPY</t>
  </si>
  <si>
    <t>20251205 2010|SPY</t>
  </si>
  <si>
    <t>20251205 2015|SPY</t>
  </si>
  <si>
    <t>20251205 2020|SPY</t>
  </si>
  <si>
    <t>20251205 2025|SPY</t>
  </si>
  <si>
    <t>20251205 2030|SPY</t>
  </si>
  <si>
    <t>20251205 2035|SPY</t>
  </si>
  <si>
    <t>20251205 2040|SPY</t>
  </si>
  <si>
    <t>20251205 2045|SPY</t>
  </si>
  <si>
    <t>20251205 2050|SPY</t>
  </si>
  <si>
    <t>20251205 2055|SPY</t>
  </si>
  <si>
    <t>20251205 2100|SPY</t>
  </si>
  <si>
    <t>20251201 1430|XLK</t>
  </si>
  <si>
    <t>20251201 1435|XLK</t>
  </si>
  <si>
    <t>20251201 1440|XLK</t>
  </si>
  <si>
    <t>20251201 1445|XLK</t>
  </si>
  <si>
    <t>20251201 1450|XLK</t>
  </si>
  <si>
    <t>20251201 1455|XLK</t>
  </si>
  <si>
    <t>20251201 1500|XLK</t>
  </si>
  <si>
    <t>20251201 1505|XLK</t>
  </si>
  <si>
    <t>20251201 1510|XLK</t>
  </si>
  <si>
    <t>20251201 1515|XLK</t>
  </si>
  <si>
    <t>20251201 1520|XLK</t>
  </si>
  <si>
    <t>20251201 1525|XLK</t>
  </si>
  <si>
    <t>20251201 1530|XLK</t>
  </si>
  <si>
    <t>20251201 1535|XLK</t>
  </si>
  <si>
    <t>20251201 1540|XLK</t>
  </si>
  <si>
    <t>20251201 1545|XLK</t>
  </si>
  <si>
    <t>20251201 1550|XLK</t>
  </si>
  <si>
    <t>20251201 1555|XLK</t>
  </si>
  <si>
    <t>20251201 1600|XLK</t>
  </si>
  <si>
    <t>20251201 1605|XLK</t>
  </si>
  <si>
    <t>20251201 1610|XLK</t>
  </si>
  <si>
    <t>20251201 1615|XLK</t>
  </si>
  <si>
    <t>20251201 1620|XLK</t>
  </si>
  <si>
    <t>20251201 1625|XLK</t>
  </si>
  <si>
    <t>20251201 1630|XLK</t>
  </si>
  <si>
    <t>20251201 1635|XLK</t>
  </si>
  <si>
    <t>20251201 1640|XLK</t>
  </si>
  <si>
    <t>20251201 1645|XLK</t>
  </si>
  <si>
    <t>20251201 1650|XLK</t>
  </si>
  <si>
    <t>20251201 1655|XLK</t>
  </si>
  <si>
    <t>20251201 1700|XLK</t>
  </si>
  <si>
    <t>20251201 1705|XLK</t>
  </si>
  <si>
    <t>20251201 1710|XLK</t>
  </si>
  <si>
    <t>20251201 1715|XLK</t>
  </si>
  <si>
    <t>20251201 1720|XLK</t>
  </si>
  <si>
    <t>20251201 1725|XLK</t>
  </si>
  <si>
    <t>20251201 1730|XLK</t>
  </si>
  <si>
    <t>20251201 1735|XLK</t>
  </si>
  <si>
    <t>20251201 1740|XLK</t>
  </si>
  <si>
    <t>20251201 1745|XLK</t>
  </si>
  <si>
    <t>20251201 1750|XLK</t>
  </si>
  <si>
    <t>20251201 1755|XLK</t>
  </si>
  <si>
    <t>20251201 1800|XLK</t>
  </si>
  <si>
    <t>20251201 1805|XLK</t>
  </si>
  <si>
    <t>20251201 1810|XLK</t>
  </si>
  <si>
    <t>20251201 1815|XLK</t>
  </si>
  <si>
    <t>20251201 1820|XLK</t>
  </si>
  <si>
    <t>20251201 1825|XLK</t>
  </si>
  <si>
    <t>20251201 1830|XLK</t>
  </si>
  <si>
    <t>20251201 1835|XLK</t>
  </si>
  <si>
    <t>20251201 1840|XLK</t>
  </si>
  <si>
    <t>20251201 1845|XLK</t>
  </si>
  <si>
    <t>20251201 1850|XLK</t>
  </si>
  <si>
    <t>20251201 1855|XLK</t>
  </si>
  <si>
    <t>20251201 1900|XLK</t>
  </si>
  <si>
    <t>20251201 1905|XLK</t>
  </si>
  <si>
    <t>20251201 1910|XLK</t>
  </si>
  <si>
    <t>20251201 1915|XLK</t>
  </si>
  <si>
    <t>20251201 1920|XLK</t>
  </si>
  <si>
    <t>20251201 1925|XLK</t>
  </si>
  <si>
    <t>20251201 1930|XLK</t>
  </si>
  <si>
    <t>20251201 1935|XLK</t>
  </si>
  <si>
    <t>20251201 1940|XLK</t>
  </si>
  <si>
    <t>20251201 1945|XLK</t>
  </si>
  <si>
    <t>20251201 1950|XLK</t>
  </si>
  <si>
    <t>20251201 1955|XLK</t>
  </si>
  <si>
    <t>20251201 2000|XLK</t>
  </si>
  <si>
    <t>20251201 2005|XLK</t>
  </si>
  <si>
    <t>20251201 2010|XLK</t>
  </si>
  <si>
    <t>20251201 2015|XLK</t>
  </si>
  <si>
    <t>20251201 2020|XLK</t>
  </si>
  <si>
    <t>20251201 2025|XLK</t>
  </si>
  <si>
    <t>20251201 2030|XLK</t>
  </si>
  <si>
    <t>20251201 2035|XLK</t>
  </si>
  <si>
    <t>20251201 2040|XLK</t>
  </si>
  <si>
    <t>20251201 2045|XLK</t>
  </si>
  <si>
    <t>20251201 2050|XLK</t>
  </si>
  <si>
    <t>20251201 2055|XLK</t>
  </si>
  <si>
    <t>20251201 2100|XLK</t>
  </si>
  <si>
    <t>20251202 1430|XLK</t>
  </si>
  <si>
    <t>20251202 1435|XLK</t>
  </si>
  <si>
    <t>20251202 1440|XLK</t>
  </si>
  <si>
    <t>20251202 1445|XLK</t>
  </si>
  <si>
    <t>20251202 1450|XLK</t>
  </si>
  <si>
    <t>20251202 1455|XLK</t>
  </si>
  <si>
    <t>20251202 1500|XLK</t>
  </si>
  <si>
    <t>20251202 1505|XLK</t>
  </si>
  <si>
    <t>20251202 1510|XLK</t>
  </si>
  <si>
    <t>20251202 1515|XLK</t>
  </si>
  <si>
    <t>20251202 1520|XLK</t>
  </si>
  <si>
    <t>20251202 1525|XLK</t>
  </si>
  <si>
    <t>20251202 1530|XLK</t>
  </si>
  <si>
    <t>20251202 1535|XLK</t>
  </si>
  <si>
    <t>20251202 1540|XLK</t>
  </si>
  <si>
    <t>20251202 1545|XLK</t>
  </si>
  <si>
    <t>20251202 1550|XLK</t>
  </si>
  <si>
    <t>20251202 1555|XLK</t>
  </si>
  <si>
    <t>20251202 1600|XLK</t>
  </si>
  <si>
    <t>20251202 1605|XLK</t>
  </si>
  <si>
    <t>20251202 1610|XLK</t>
  </si>
  <si>
    <t>20251202 1615|XLK</t>
  </si>
  <si>
    <t>20251202 1620|XLK</t>
  </si>
  <si>
    <t>20251202 1625|XLK</t>
  </si>
  <si>
    <t>20251202 1630|XLK</t>
  </si>
  <si>
    <t>20251202 1635|XLK</t>
  </si>
  <si>
    <t>20251202 1640|XLK</t>
  </si>
  <si>
    <t>20251202 1645|XLK</t>
  </si>
  <si>
    <t>20251202 1650|XLK</t>
  </si>
  <si>
    <t>20251202 1655|XLK</t>
  </si>
  <si>
    <t>20251202 1700|XLK</t>
  </si>
  <si>
    <t>20251202 1705|XLK</t>
  </si>
  <si>
    <t>20251202 1710|XLK</t>
  </si>
  <si>
    <t>20251202 1715|XLK</t>
  </si>
  <si>
    <t>20251202 1720|XLK</t>
  </si>
  <si>
    <t>20251202 1725|XLK</t>
  </si>
  <si>
    <t>20251202 1730|XLK</t>
  </si>
  <si>
    <t>20251202 1735|XLK</t>
  </si>
  <si>
    <t>20251202 1740|XLK</t>
  </si>
  <si>
    <t>20251202 1745|XLK</t>
  </si>
  <si>
    <t>20251202 1750|XLK</t>
  </si>
  <si>
    <t>20251202 1755|XLK</t>
  </si>
  <si>
    <t>20251202 1800|XLK</t>
  </si>
  <si>
    <t>20251202 1805|XLK</t>
  </si>
  <si>
    <t>20251202 1810|XLK</t>
  </si>
  <si>
    <t>20251202 1815|XLK</t>
  </si>
  <si>
    <t>20251202 1820|XLK</t>
  </si>
  <si>
    <t>20251202 1825|XLK</t>
  </si>
  <si>
    <t>20251202 1830|XLK</t>
  </si>
  <si>
    <t>20251202 1835|XLK</t>
  </si>
  <si>
    <t>20251202 1840|XLK</t>
  </si>
  <si>
    <t>20251202 1845|XLK</t>
  </si>
  <si>
    <t>20251202 1850|XLK</t>
  </si>
  <si>
    <t>20251202 1855|XLK</t>
  </si>
  <si>
    <t>20251202 1900|XLK</t>
  </si>
  <si>
    <t>20251202 1905|XLK</t>
  </si>
  <si>
    <t>20251202 1910|XLK</t>
  </si>
  <si>
    <t>20251202 1915|XLK</t>
  </si>
  <si>
    <t>20251202 1920|XLK</t>
  </si>
  <si>
    <t>20251202 1925|XLK</t>
  </si>
  <si>
    <t>20251202 1930|XLK</t>
  </si>
  <si>
    <t>20251202 1935|XLK</t>
  </si>
  <si>
    <t>20251202 1940|XLK</t>
  </si>
  <si>
    <t>20251202 1945|XLK</t>
  </si>
  <si>
    <t>20251202 1950|XLK</t>
  </si>
  <si>
    <t>20251202 1955|XLK</t>
  </si>
  <si>
    <t>20251202 2000|XLK</t>
  </si>
  <si>
    <t>20251202 2005|XLK</t>
  </si>
  <si>
    <t>20251202 2010|XLK</t>
  </si>
  <si>
    <t>20251202 2015|XLK</t>
  </si>
  <si>
    <t>20251202 2020|XLK</t>
  </si>
  <si>
    <t>20251202 2025|XLK</t>
  </si>
  <si>
    <t>20251202 2030|XLK</t>
  </si>
  <si>
    <t>20251202 2035|XLK</t>
  </si>
  <si>
    <t>20251202 2040|XLK</t>
  </si>
  <si>
    <t>20251202 2045|XLK</t>
  </si>
  <si>
    <t>20251202 2050|XLK</t>
  </si>
  <si>
    <t>20251202 2055|XLK</t>
  </si>
  <si>
    <t>20251202 2100|XLK</t>
  </si>
  <si>
    <t>20251203 1430|XLK</t>
  </si>
  <si>
    <t>20251203 1435|XLK</t>
  </si>
  <si>
    <t>20251203 1440|XLK</t>
  </si>
  <si>
    <t>20251203 1445|XLK</t>
  </si>
  <si>
    <t>20251203 1450|XLK</t>
  </si>
  <si>
    <t>20251203 1455|XLK</t>
  </si>
  <si>
    <t>20251203 1500|XLK</t>
  </si>
  <si>
    <t>20251203 1505|XLK</t>
  </si>
  <si>
    <t>20251203 1510|XLK</t>
  </si>
  <si>
    <t>20251203 1515|XLK</t>
  </si>
  <si>
    <t>20251203 1520|XLK</t>
  </si>
  <si>
    <t>20251203 1525|XLK</t>
  </si>
  <si>
    <t>20251203 1530|XLK</t>
  </si>
  <si>
    <t>20251203 1535|XLK</t>
  </si>
  <si>
    <t>20251203 1540|XLK</t>
  </si>
  <si>
    <t>20251203 1545|XLK</t>
  </si>
  <si>
    <t>20251203 1550|XLK</t>
  </si>
  <si>
    <t>20251203 1555|XLK</t>
  </si>
  <si>
    <t>20251203 1600|XLK</t>
  </si>
  <si>
    <t>20251203 1605|XLK</t>
  </si>
  <si>
    <t>20251203 1610|XLK</t>
  </si>
  <si>
    <t>20251203 1615|XLK</t>
  </si>
  <si>
    <t>20251203 1620|XLK</t>
  </si>
  <si>
    <t>20251203 1625|XLK</t>
  </si>
  <si>
    <t>20251203 1630|XLK</t>
  </si>
  <si>
    <t>20251203 1635|XLK</t>
  </si>
  <si>
    <t>20251203 1640|XLK</t>
  </si>
  <si>
    <t>20251203 1645|XLK</t>
  </si>
  <si>
    <t>20251203 1650|XLK</t>
  </si>
  <si>
    <t>20251203 1655|XLK</t>
  </si>
  <si>
    <t>20251203 1700|XLK</t>
  </si>
  <si>
    <t>20251203 1705|XLK</t>
  </si>
  <si>
    <t>20251203 1710|XLK</t>
  </si>
  <si>
    <t>20251203 1715|XLK</t>
  </si>
  <si>
    <t>20251203 1720|XLK</t>
  </si>
  <si>
    <t>20251203 1725|XLK</t>
  </si>
  <si>
    <t>20251203 1730|XLK</t>
  </si>
  <si>
    <t>20251203 1735|XLK</t>
  </si>
  <si>
    <t>20251203 1740|XLK</t>
  </si>
  <si>
    <t>20251203 1745|XLK</t>
  </si>
  <si>
    <t>20251203 1750|XLK</t>
  </si>
  <si>
    <t>20251203 1755|XLK</t>
  </si>
  <si>
    <t>20251203 1800|XLK</t>
  </si>
  <si>
    <t>20251203 1805|XLK</t>
  </si>
  <si>
    <t>20251203 1810|XLK</t>
  </si>
  <si>
    <t>20251203 1815|XLK</t>
  </si>
  <si>
    <t>20251203 1820|XLK</t>
  </si>
  <si>
    <t>20251203 1825|XLK</t>
  </si>
  <si>
    <t>20251203 1830|XLK</t>
  </si>
  <si>
    <t>20251203 1835|XLK</t>
  </si>
  <si>
    <t>20251203 1840|XLK</t>
  </si>
  <si>
    <t>20251203 1845|XLK</t>
  </si>
  <si>
    <t>20251203 1850|XLK</t>
  </si>
  <si>
    <t>20251203 1855|XLK</t>
  </si>
  <si>
    <t>20251203 1900|XLK</t>
  </si>
  <si>
    <t>20251203 1905|XLK</t>
  </si>
  <si>
    <t>20251203 1910|XLK</t>
  </si>
  <si>
    <t>20251203 1915|XLK</t>
  </si>
  <si>
    <t>20251203 1920|XLK</t>
  </si>
  <si>
    <t>20251203 1925|XLK</t>
  </si>
  <si>
    <t>20251203 1930|XLK</t>
  </si>
  <si>
    <t>20251203 1935|XLK</t>
  </si>
  <si>
    <t>20251203 1940|XLK</t>
  </si>
  <si>
    <t>20251203 1945|XLK</t>
  </si>
  <si>
    <t>20251203 1950|XLK</t>
  </si>
  <si>
    <t>20251203 1955|XLK</t>
  </si>
  <si>
    <t>20251203 2000|XLK</t>
  </si>
  <si>
    <t>20251203 2005|XLK</t>
  </si>
  <si>
    <t>20251203 2010|XLK</t>
  </si>
  <si>
    <t>20251203 2015|XLK</t>
  </si>
  <si>
    <t>20251203 2020|XLK</t>
  </si>
  <si>
    <t>20251203 2025|XLK</t>
  </si>
  <si>
    <t>20251203 2030|XLK</t>
  </si>
  <si>
    <t>20251203 2035|XLK</t>
  </si>
  <si>
    <t>20251203 2040|XLK</t>
  </si>
  <si>
    <t>20251203 2045|XLK</t>
  </si>
  <si>
    <t>20251203 2050|XLK</t>
  </si>
  <si>
    <t>20251203 2055|XLK</t>
  </si>
  <si>
    <t>20251203 2100|XLK</t>
  </si>
  <si>
    <t>20251204 1430|XLK</t>
  </si>
  <si>
    <t>20251204 1435|XLK</t>
  </si>
  <si>
    <t>20251204 1440|XLK</t>
  </si>
  <si>
    <t>20251204 1445|XLK</t>
  </si>
  <si>
    <t>20251204 1450|XLK</t>
  </si>
  <si>
    <t>20251204 1455|XLK</t>
  </si>
  <si>
    <t>20251204 1500|XLK</t>
  </si>
  <si>
    <t>20251204 1505|XLK</t>
  </si>
  <si>
    <t>20251204 1510|XLK</t>
  </si>
  <si>
    <t>20251204 1515|XLK</t>
  </si>
  <si>
    <t>20251204 1520|XLK</t>
  </si>
  <si>
    <t>20251204 1525|XLK</t>
  </si>
  <si>
    <t>20251204 1530|XLK</t>
  </si>
  <si>
    <t>20251204 1535|XLK</t>
  </si>
  <si>
    <t>20251204 1540|XLK</t>
  </si>
  <si>
    <t>20251204 1545|XLK</t>
  </si>
  <si>
    <t>20251204 1550|XLK</t>
  </si>
  <si>
    <t>20251204 1555|XLK</t>
  </si>
  <si>
    <t>20251204 1600|XLK</t>
  </si>
  <si>
    <t>20251204 1605|XLK</t>
  </si>
  <si>
    <t>20251204 1610|XLK</t>
  </si>
  <si>
    <t>20251204 1615|XLK</t>
  </si>
  <si>
    <t>20251204 1620|XLK</t>
  </si>
  <si>
    <t>20251204 1625|XLK</t>
  </si>
  <si>
    <t>20251204 1630|XLK</t>
  </si>
  <si>
    <t>20251204 1635|XLK</t>
  </si>
  <si>
    <t>20251204 1640|XLK</t>
  </si>
  <si>
    <t>20251204 1645|XLK</t>
  </si>
  <si>
    <t>20251204 1650|XLK</t>
  </si>
  <si>
    <t>20251204 1655|XLK</t>
  </si>
  <si>
    <t>20251204 1700|XLK</t>
  </si>
  <si>
    <t>20251204 1705|XLK</t>
  </si>
  <si>
    <t>20251204 1710|XLK</t>
  </si>
  <si>
    <t>20251204 1715|XLK</t>
  </si>
  <si>
    <t>20251204 1720|XLK</t>
  </si>
  <si>
    <t>20251204 1725|XLK</t>
  </si>
  <si>
    <t>20251204 1730|XLK</t>
  </si>
  <si>
    <t>20251204 1735|XLK</t>
  </si>
  <si>
    <t>20251204 1740|XLK</t>
  </si>
  <si>
    <t>20251204 1745|XLK</t>
  </si>
  <si>
    <t>20251204 1750|XLK</t>
  </si>
  <si>
    <t>20251204 1755|XLK</t>
  </si>
  <si>
    <t>20251204 1800|XLK</t>
  </si>
  <si>
    <t>20251204 1805|XLK</t>
  </si>
  <si>
    <t>20251204 1810|XLK</t>
  </si>
  <si>
    <t>20251204 1815|XLK</t>
  </si>
  <si>
    <t>20251204 1820|XLK</t>
  </si>
  <si>
    <t>20251204 1825|XLK</t>
  </si>
  <si>
    <t>20251204 1830|XLK</t>
  </si>
  <si>
    <t>20251204 1835|XLK</t>
  </si>
  <si>
    <t>20251204 1840|XLK</t>
  </si>
  <si>
    <t>20251204 1845|XLK</t>
  </si>
  <si>
    <t>20251204 1850|XLK</t>
  </si>
  <si>
    <t>20251204 1855|XLK</t>
  </si>
  <si>
    <t>20251204 1900|XLK</t>
  </si>
  <si>
    <t>20251204 1905|XLK</t>
  </si>
  <si>
    <t>20251204 1910|XLK</t>
  </si>
  <si>
    <t>20251204 1915|XLK</t>
  </si>
  <si>
    <t>20251204 1920|XLK</t>
  </si>
  <si>
    <t>20251204 1925|XLK</t>
  </si>
  <si>
    <t>20251204 1930|XLK</t>
  </si>
  <si>
    <t>20251204 1935|XLK</t>
  </si>
  <si>
    <t>20251204 1940|XLK</t>
  </si>
  <si>
    <t>20251204 1945|XLK</t>
  </si>
  <si>
    <t>20251204 1950|XLK</t>
  </si>
  <si>
    <t>20251204 1955|XLK</t>
  </si>
  <si>
    <t>20251204 2000|XLK</t>
  </si>
  <si>
    <t>20251204 2005|XLK</t>
  </si>
  <si>
    <t>20251204 2010|XLK</t>
  </si>
  <si>
    <t>20251204 2015|XLK</t>
  </si>
  <si>
    <t>20251204 2020|XLK</t>
  </si>
  <si>
    <t>20251204 2025|XLK</t>
  </si>
  <si>
    <t>20251204 2030|XLK</t>
  </si>
  <si>
    <t>20251204 2035|XLK</t>
  </si>
  <si>
    <t>20251204 2040|XLK</t>
  </si>
  <si>
    <t>20251204 2045|XLK</t>
  </si>
  <si>
    <t>20251204 2050|XLK</t>
  </si>
  <si>
    <t>20251204 2055|XLK</t>
  </si>
  <si>
    <t>20251204 2100|XLK</t>
  </si>
  <si>
    <t>20251205 1430|XLK</t>
  </si>
  <si>
    <t>20251205 1435|XLK</t>
  </si>
  <si>
    <t>20251205 1440|XLK</t>
  </si>
  <si>
    <t>20251205 1445|XLK</t>
  </si>
  <si>
    <t>20251205 1450|XLK</t>
  </si>
  <si>
    <t>20251205 1455|XLK</t>
  </si>
  <si>
    <t>20251205 1500|XLK</t>
  </si>
  <si>
    <t>20251205 1505|XLK</t>
  </si>
  <si>
    <t>20251205 1510|XLK</t>
  </si>
  <si>
    <t>20251205 1515|XLK</t>
  </si>
  <si>
    <t>20251205 1520|XLK</t>
  </si>
  <si>
    <t>20251205 1525|XLK</t>
  </si>
  <si>
    <t>20251205 1530|XLK</t>
  </si>
  <si>
    <t>20251205 1535|XLK</t>
  </si>
  <si>
    <t>20251205 1540|XLK</t>
  </si>
  <si>
    <t>20251205 1545|XLK</t>
  </si>
  <si>
    <t>20251205 1550|XLK</t>
  </si>
  <si>
    <t>20251205 1555|XLK</t>
  </si>
  <si>
    <t>20251205 1600|XLK</t>
  </si>
  <si>
    <t>20251205 1605|XLK</t>
  </si>
  <si>
    <t>20251205 1610|XLK</t>
  </si>
  <si>
    <t>20251205 1615|XLK</t>
  </si>
  <si>
    <t>20251205 1620|XLK</t>
  </si>
  <si>
    <t>20251205 1625|XLK</t>
  </si>
  <si>
    <t>20251205 1630|XLK</t>
  </si>
  <si>
    <t>20251205 1635|XLK</t>
  </si>
  <si>
    <t>20251205 1640|XLK</t>
  </si>
  <si>
    <t>20251205 1645|XLK</t>
  </si>
  <si>
    <t>20251205 1650|XLK</t>
  </si>
  <si>
    <t>20251205 1655|XLK</t>
  </si>
  <si>
    <t>20251205 1700|XLK</t>
  </si>
  <si>
    <t>20251205 1705|XLK</t>
  </si>
  <si>
    <t>20251205 1710|XLK</t>
  </si>
  <si>
    <t>20251205 1715|XLK</t>
  </si>
  <si>
    <t>20251205 1720|XLK</t>
  </si>
  <si>
    <t>20251205 1725|XLK</t>
  </si>
  <si>
    <t>20251205 1730|XLK</t>
  </si>
  <si>
    <t>20251205 1735|XLK</t>
  </si>
  <si>
    <t>20251205 1740|XLK</t>
  </si>
  <si>
    <t>20251205 1745|XLK</t>
  </si>
  <si>
    <t>20251205 1750|XLK</t>
  </si>
  <si>
    <t>20251205 1755|XLK</t>
  </si>
  <si>
    <t>20251205 1800|XLK</t>
  </si>
  <si>
    <t>20251205 1805|XLK</t>
  </si>
  <si>
    <t>20251205 1810|XLK</t>
  </si>
  <si>
    <t>20251205 1815|XLK</t>
  </si>
  <si>
    <t>20251205 1820|XLK</t>
  </si>
  <si>
    <t>20251205 1825|XLK</t>
  </si>
  <si>
    <t>20251205 1830|XLK</t>
  </si>
  <si>
    <t>20251205 1835|XLK</t>
  </si>
  <si>
    <t>20251205 1840|XLK</t>
  </si>
  <si>
    <t>20251205 1845|XLK</t>
  </si>
  <si>
    <t>20251205 1850|XLK</t>
  </si>
  <si>
    <t>20251205 1855|XLK</t>
  </si>
  <si>
    <t>20251205 1900|XLK</t>
  </si>
  <si>
    <t>20251205 1905|XLK</t>
  </si>
  <si>
    <t>20251205 1910|XLK</t>
  </si>
  <si>
    <t>20251205 1915|XLK</t>
  </si>
  <si>
    <t>20251205 1920|XLK</t>
  </si>
  <si>
    <t>20251205 1925|XLK</t>
  </si>
  <si>
    <t>20251205 1930|XLK</t>
  </si>
  <si>
    <t>20251205 1935|XLK</t>
  </si>
  <si>
    <t>20251205 1940|XLK</t>
  </si>
  <si>
    <t>20251205 1945|XLK</t>
  </si>
  <si>
    <t>20251205 1950|XLK</t>
  </si>
  <si>
    <t>20251205 1955|XLK</t>
  </si>
  <si>
    <t>20251205 2000|XLK</t>
  </si>
  <si>
    <t>20251205 2005|XLK</t>
  </si>
  <si>
    <t>20251205 2010|XLK</t>
  </si>
  <si>
    <t>20251205 2015|XLK</t>
  </si>
  <si>
    <t>20251205 2020|XLK</t>
  </si>
  <si>
    <t>20251205 2025|XLK</t>
  </si>
  <si>
    <t>20251205 2030|XLK</t>
  </si>
  <si>
    <t>20251205 2035|XLK</t>
  </si>
  <si>
    <t>20251205 2040|XLK</t>
  </si>
  <si>
    <t>20251205 2045|XLK</t>
  </si>
  <si>
    <t>20251205 2050|XLK</t>
  </si>
  <si>
    <t>20251205 2055|XLK</t>
  </si>
  <si>
    <t>20251205 2100|XLK</t>
  </si>
  <si>
    <t>filled_qty</t>
  </si>
  <si>
    <t>fill_notional</t>
  </si>
  <si>
    <t>fill_vwap</t>
  </si>
  <si>
    <t>fees_bps</t>
  </si>
  <si>
    <t>impl_shortfall_bps</t>
  </si>
  <si>
    <t>lit_qty</t>
  </si>
  <si>
    <t>dark_qty</t>
  </si>
  <si>
    <t>block_qty</t>
  </si>
  <si>
    <t>lit_pct</t>
  </si>
  <si>
    <t>dark_pct</t>
  </si>
  <si>
    <t>block_pct</t>
  </si>
  <si>
    <t>market_vwap</t>
  </si>
  <si>
    <t>dislocation</t>
  </si>
  <si>
    <t>rec_block_pct</t>
  </si>
  <si>
    <t>match_ticker</t>
  </si>
  <si>
    <t>match_urgency</t>
  </si>
  <si>
    <t>match_all</t>
  </si>
  <si>
    <t>Assumptions &amp; Scenario Inputs</t>
  </si>
  <si>
    <t>Venue assumptions (bps)</t>
  </si>
  <si>
    <t>slippage_bps_mean</t>
  </si>
  <si>
    <t>slippage_bps_sd</t>
  </si>
  <si>
    <t>Execution Quality Dashboard</t>
  </si>
  <si>
    <t>Filter</t>
  </si>
  <si>
    <t>KPI Summary (filtered)</t>
  </si>
  <si>
    <t>Ticker</t>
  </si>
  <si>
    <t>All</t>
  </si>
  <si>
    <t># Orders</t>
  </si>
  <si>
    <t>Urgency</t>
  </si>
  <si>
    <t>Avg IS (bps)</t>
  </si>
  <si>
    <t>Fill Rate</t>
  </si>
  <si>
    <t>Block % of Filled</t>
  </si>
  <si>
    <t>Urgency breakdown (filtered by ticker)</t>
  </si>
  <si>
    <t>Avg Fees (bps)</t>
  </si>
  <si>
    <t>Avg Block %</t>
  </si>
  <si>
    <t>Base Block %</t>
  </si>
  <si>
    <t>"Panic" Trigger</t>
  </si>
  <si>
    <t>Action if Triggered</t>
  </si>
  <si>
    <t>Max Cap</t>
  </si>
  <si>
    <t>Dislocation &gt; 20bps</t>
  </si>
  <si>
    <t>+10% Allocation</t>
  </si>
  <si>
    <r>
      <rPr>
        <b/>
        <sz val="11"/>
        <color theme="1"/>
        <rFont val="Calibri"/>
        <family val="2"/>
        <scheme val="minor"/>
      </rPr>
      <t>Dislocation</t>
    </r>
    <r>
      <rPr>
        <sz val="11"/>
        <color theme="1"/>
        <rFont val="Calibri"/>
        <family val="2"/>
        <scheme val="minor"/>
      </rPr>
      <t xml:space="preserve"> = (stock return over order window) - (benchmark return over order window).</t>
    </r>
  </si>
  <si>
    <r>
      <t>Strategy Logic:</t>
    </r>
    <r>
      <rPr>
        <sz val="11"/>
        <color theme="1"/>
        <rFont val="Calibri"/>
        <family val="2"/>
        <scheme val="minor"/>
      </rPr>
      <t xml:space="preserve"> When the stock price moves rapidly against us (Dislocation), the algorithm aggressively seeks Block liquidity to complete the order quickly and stop the bleeding.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</si>
</sst>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0.0%"/>
    <numFmt numFmtId="166" formatCode="0.0000%"/>
  </numFmts>
  <fonts count="8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2" fontId="0" fillId="0" borderId="0" xfId="0" applyNumberFormat="1"/>
    <xf numFmtId="165" fontId="0" fillId="0" borderId="0" xfId="0" applyNumberFormat="1"/>
    <xf numFmtId="0" fontId="0" fillId="0" borderId="1" xfId="0" applyBorder="1"/>
    <xf numFmtId="2" fontId="0" fillId="0" borderId="1" xfId="0" applyNumberFormat="1" applyBorder="1"/>
    <xf numFmtId="165" fontId="0" fillId="0" borderId="1" xfId="0" applyNumberFormat="1" applyBorder="1"/>
    <xf numFmtId="0" fontId="0" fillId="0" borderId="0" xfId="0" applyAlignment="1">
      <alignment horizontal="center"/>
    </xf>
    <xf numFmtId="0" fontId="7" fillId="0" borderId="3" xfId="0" applyFont="1" applyBorder="1" applyAlignment="1">
      <alignment horizontal="left" vertical="center" wrapText="1" indent="1" readingOrder="1"/>
    </xf>
    <xf numFmtId="0" fontId="7" fillId="0" borderId="4" xfId="0" applyFont="1" applyBorder="1" applyAlignment="1">
      <alignment horizontal="left" vertical="center" wrapText="1" indent="1" readingOrder="1"/>
    </xf>
    <xf numFmtId="0" fontId="7" fillId="0" borderId="2" xfId="0" applyFont="1" applyBorder="1" applyAlignment="1">
      <alignment horizontal="left" vertical="center" wrapText="1" indent="1" readingOrder="1"/>
    </xf>
    <xf numFmtId="9" fontId="6" fillId="0" borderId="4" xfId="0" applyNumberFormat="1" applyFont="1" applyBorder="1" applyAlignment="1">
      <alignment horizontal="left" vertical="center" wrapText="1" indent="1" readingOrder="1"/>
    </xf>
    <xf numFmtId="0" fontId="6" fillId="0" borderId="4" xfId="0" applyFont="1" applyBorder="1" applyAlignment="1">
      <alignment horizontal="left" vertical="center" wrapText="1" indent="1" readingOrder="1"/>
    </xf>
    <xf numFmtId="9" fontId="6" fillId="0" borderId="2" xfId="0" applyNumberFormat="1" applyFont="1" applyBorder="1" applyAlignment="1">
      <alignment horizontal="left" vertical="center" wrapText="1" indent="1" readingOrder="1"/>
    </xf>
    <xf numFmtId="9" fontId="6" fillId="0" borderId="3" xfId="0" applyNumberFormat="1" applyFont="1" applyBorder="1" applyAlignment="1">
      <alignment horizontal="left" vertical="center" wrapText="1" indent="1" readingOrder="1"/>
    </xf>
    <xf numFmtId="0" fontId="6" fillId="0" borderId="3" xfId="0" applyFont="1" applyBorder="1" applyAlignment="1">
      <alignment horizontal="left" vertical="center" wrapText="1" indent="1" readingOrder="1"/>
    </xf>
    <xf numFmtId="0" fontId="6" fillId="0" borderId="2" xfId="0" applyFont="1" applyBorder="1" applyAlignment="1">
      <alignment horizontal="left" vertical="center" wrapText="1" indent="1" readingOrder="1"/>
    </xf>
    <xf numFmtId="0" fontId="0" fillId="0" borderId="0" xfId="0" applyAlignment="1">
      <alignment vertical="top"/>
    </xf>
    <xf numFmtId="0" fontId="5" fillId="0" borderId="0" xfId="0" applyFont="1"/>
  </cellXfs>
  <cellStyles count="1">
    <cellStyle name="Normal" xfId="0" builtinId="0"/>
  </cellStyles>
  <dxfs count="1"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Avg Implementation Shortfall (bps) by Urgency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'99_Dashboard'!$B$9</c:f>
              <c:strCache>
                <c:ptCount val="1"/>
                <c:pt idx="0">
                  <c:v>Avg IS (bps)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'99_Dashboard'!$A$10:$A$12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'99_Dashboard'!$B$10:$B$12</c:f>
              <c:numCache>
                <c:formatCode>0.00</c:formatCode>
                <c:ptCount val="3"/>
                <c:pt idx="0">
                  <c:v>1.0985382975846911</c:v>
                </c:pt>
                <c:pt idx="1">
                  <c:v>-0.88344514294719989</c:v>
                </c:pt>
                <c:pt idx="2">
                  <c:v>3.2762413442247036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D-49D7-807D-74A944AE3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Urgency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bps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Avg Block % by Urgency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'99_Dashboard'!$C$9</c:f>
              <c:strCache>
                <c:ptCount val="1"/>
                <c:pt idx="0">
                  <c:v>Avg Block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'99_Dashboard'!$A$10:$A$12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'99_Dashboard'!$C$10:$C$12</c:f>
              <c:numCache>
                <c:formatCode>0.0%</c:formatCode>
                <c:ptCount val="3"/>
                <c:pt idx="0">
                  <c:v>0.27519061377433929</c:v>
                </c:pt>
                <c:pt idx="1">
                  <c:v>0.12869168354707683</c:v>
                </c:pt>
                <c:pt idx="2">
                  <c:v>4.2872436699193689E-2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75-499D-B62A-541BF290C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Urgency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%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648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6</xdr:col>
      <xdr:colOff>9524</xdr:colOff>
      <xdr:row>1</xdr:row>
      <xdr:rowOff>185736</xdr:rowOff>
    </xdr:from>
    <xdr:to>
      <xdr:col>19</xdr:col>
      <xdr:colOff>95250</xdr:colOff>
      <xdr:row>7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43EE0B5-B9D0-7F15-3756-4036715A5AA0}"/>
            </a:ext>
          </a:extLst>
        </xdr:cNvPr>
        <xdr:cNvSpPr txBox="1"/>
      </xdr:nvSpPr>
      <xdr:spPr>
        <a:xfrm>
          <a:off x="12353924" y="452436"/>
          <a:ext cx="8010526" cy="11287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b="1"/>
            <a:t>Executive Commentary:</a:t>
          </a:r>
          <a:r>
            <a:rPr lang="en-GB"/>
            <a:t> Execution performance across 120 orders resulted in a net </a:t>
          </a:r>
          <a:r>
            <a:rPr lang="en-GB" b="0"/>
            <a:t>Implementation Shortfall of 0.68 bps</a:t>
          </a:r>
          <a:r>
            <a:rPr lang="en-GB"/>
            <a:t>, outperforming standard market benchmarks. High-urgency flows incurred higher slippage (3.2 bps) due to a reliance on Lit venues (55% allocation).</a:t>
          </a:r>
        </a:p>
        <a:p>
          <a:endParaRPr lang="en-GB"/>
        </a:p>
        <a:p>
          <a:r>
            <a:rPr lang="en-GB" b="1"/>
            <a:t>Recommendation:</a:t>
          </a:r>
          <a:endParaRPr lang="en-GB"/>
        </a:p>
        <a:p>
          <a:r>
            <a:rPr lang="en-GB" b="1"/>
            <a:t>- High Urgency:</a:t>
          </a:r>
          <a:r>
            <a:rPr lang="en-GB"/>
            <a:t> Increase Dark/Block participation to reduce market impact during volatile periods.</a:t>
          </a:r>
        </a:p>
        <a:p>
          <a:r>
            <a:rPr lang="en-GB" b="1"/>
            <a:t>- Block Strategy:</a:t>
          </a:r>
          <a:r>
            <a:rPr lang="en-GB"/>
            <a:t> The active "Block-seeking" logic successfully minimized costs for Low Urgency orders, achieving near-zero slippage.</a:t>
          </a:r>
        </a:p>
        <a:p>
          <a:endParaRPr lang="en-GB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" displayName="Orders" ref="A1:M121">
  <autoFilter ref="A1:M121" xr:uid="{00000000-0009-0000-0100-000001000000}"/>
  <tableColumns count="13">
    <tableColumn id="1" xr3:uid="{00000000-0010-0000-0000-000001000000}" name="order_id"/>
    <tableColumn id="2" xr3:uid="{00000000-0010-0000-0000-000002000000}" name="trade_date"/>
    <tableColumn id="3" xr3:uid="{00000000-0010-0000-0000-000003000000}" name="ticker"/>
    <tableColumn id="4" xr3:uid="{00000000-0010-0000-0000-000004000000}" name="side"/>
    <tableColumn id="5" xr3:uid="{00000000-0010-0000-0000-000005000000}" name="parent_qty"/>
    <tableColumn id="6" xr3:uid="{00000000-0010-0000-0000-000006000000}" name="start_dt"/>
    <tableColumn id="7" xr3:uid="{00000000-0010-0000-0000-000007000000}" name="end_dt"/>
    <tableColumn id="8" xr3:uid="{00000000-0010-0000-0000-000008000000}" name="urgency"/>
    <tableColumn id="9" xr3:uid="{00000000-0010-0000-0000-000009000000}" name="benchmark_ticker"/>
    <tableColumn id="10" xr3:uid="{00000000-0010-0000-0000-00000A000000}" name="arrival_price"/>
    <tableColumn id="11" xr3:uid="{00000000-0010-0000-0000-00000B000000}" name="end_price"/>
    <tableColumn id="12" xr3:uid="{00000000-0010-0000-0000-00000C000000}" name="bench_arrival_price"/>
    <tableColumn id="13" xr3:uid="{00000000-0010-0000-0000-00000D000000}" name="bench_end_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lls" displayName="Fills" ref="A1:I968">
  <autoFilter ref="A1:I968" xr:uid="{00000000-0009-0000-0100-000002000000}"/>
  <tableColumns count="9">
    <tableColumn id="1" xr3:uid="{00000000-0010-0000-0100-000001000000}" name="fill_id"/>
    <tableColumn id="2" xr3:uid="{00000000-0010-0000-0100-000002000000}" name="order_id"/>
    <tableColumn id="3" xr3:uid="{00000000-0010-0000-0100-000003000000}" name="fill_dt"/>
    <tableColumn id="4" xr3:uid="{00000000-0010-0000-0100-000004000000}" name="fill_qty"/>
    <tableColumn id="5" xr3:uid="{00000000-0010-0000-0100-000005000000}" name="fill_price"/>
    <tableColumn id="6" xr3:uid="{00000000-0010-0000-0100-000006000000}" name="venue_type"/>
    <tableColumn id="7" xr3:uid="{00000000-0010-0000-0100-000007000000}" name="fee_bps"/>
    <tableColumn id="8" xr3:uid="{00000000-0010-0000-0100-000008000000}" name="notional"/>
    <tableColumn id="9" xr3:uid="{00000000-0010-0000-0100-000009000000}" name="fee_cos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HLCV" displayName="OHLCV" ref="A1:I2766">
  <autoFilter ref="A1:I2766" xr:uid="{00000000-0009-0000-0100-000003000000}"/>
  <tableColumns count="9">
    <tableColumn id="1" xr3:uid="{00000000-0010-0000-0200-000001000000}" name="dt"/>
    <tableColumn id="2" xr3:uid="{00000000-0010-0000-0200-000002000000}" name="ticker"/>
    <tableColumn id="3" xr3:uid="{00000000-0010-0000-0200-000003000000}" name="open"/>
    <tableColumn id="4" xr3:uid="{00000000-0010-0000-0200-000004000000}" name="high"/>
    <tableColumn id="5" xr3:uid="{00000000-0010-0000-0200-000005000000}" name="low"/>
    <tableColumn id="6" xr3:uid="{00000000-0010-0000-0200-000006000000}" name="close"/>
    <tableColumn id="7" xr3:uid="{00000000-0010-0000-0200-000007000000}" name="volume"/>
    <tableColumn id="8" xr3:uid="{00000000-0010-0000-0200-000008000000}" name="pv"/>
    <tableColumn id="9" xr3:uid="{00000000-0010-0000-0200-000009000000}" name="ke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CA" displayName="TCA" ref="A1:X121" headerRowDxfId="0">
  <autoFilter ref="A1:X121" xr:uid="{00000000-0009-0000-0100-000004000000}"/>
  <tableColumns count="24">
    <tableColumn id="1" xr3:uid="{00000000-0010-0000-0300-000001000000}" name="order_id"/>
    <tableColumn id="2" xr3:uid="{00000000-0010-0000-0300-000002000000}" name="ticker"/>
    <tableColumn id="3" xr3:uid="{00000000-0010-0000-0300-000003000000}" name="side"/>
    <tableColumn id="4" xr3:uid="{00000000-0010-0000-0300-000004000000}" name="urgency"/>
    <tableColumn id="5" xr3:uid="{00000000-0010-0000-0300-000005000000}" name="parent_qty"/>
    <tableColumn id="6" xr3:uid="{00000000-0010-0000-0300-000006000000}" name="filled_qty">
      <calculatedColumnFormula>SUMIFS('02_Fills'!D:D, '02_Fills'!B:B, A2)</calculatedColumnFormula>
    </tableColumn>
    <tableColumn id="7" xr3:uid="{00000000-0010-0000-0300-000007000000}" name="fill_notional">
      <calculatedColumnFormula>SUMIFS('02_Fills'!H:H, '02_Fills'!B:B, A2)</calculatedColumnFormula>
    </tableColumn>
    <tableColumn id="8" xr3:uid="{00000000-0010-0000-0300-000008000000}" name="fill_vwap">
      <calculatedColumnFormula>IF(F2&gt;0, G2/F2, 0)</calculatedColumnFormula>
    </tableColumn>
    <tableColumn id="9" xr3:uid="{00000000-0010-0000-0300-000009000000}" name="fee_cost">
      <calculatedColumnFormula>SUMIFS('02_Fills'!I:I, '02_Fills'!B:B, A2)</calculatedColumnFormula>
    </tableColumn>
    <tableColumn id="10" xr3:uid="{00000000-0010-0000-0300-00000A000000}" name="fees_bps">
      <calculatedColumnFormula>IF(G2&gt;0, (I2/G2)*10000, 0)</calculatedColumnFormula>
    </tableColumn>
    <tableColumn id="11" xr3:uid="{00000000-0010-0000-0300-00000B000000}" name="arrival_price">
      <calculatedColumnFormula>VLOOKUP(A2, '01_Orders'!A:J, 10, FALSE)</calculatedColumnFormula>
    </tableColumn>
    <tableColumn id="12" xr3:uid="{00000000-0010-0000-0300-00000C000000}" name="impl_shortfall_bps">
      <calculatedColumnFormula>IF(AND(K2&lt;&gt;"", H2&gt;0), IF(C2="BUY", (H2-K2)/K2*10000, (K2-H2)/K2*10000), "")</calculatedColumnFormula>
    </tableColumn>
    <tableColumn id="13" xr3:uid="{00000000-0010-0000-0300-00000D000000}" name="lit_qty">
      <calculatedColumnFormula>SUMIFS('02_Fills'!D:D, '02_Fills'!B:B, A2, '02_Fills'!F:F, "LIT")</calculatedColumnFormula>
    </tableColumn>
    <tableColumn id="14" xr3:uid="{00000000-0010-0000-0300-00000E000000}" name="dark_qty">
      <calculatedColumnFormula>SUMIFS('02_Fills'!D:D, '02_Fills'!B:B, A2, '02_Fills'!F:F, "DARK")</calculatedColumnFormula>
    </tableColumn>
    <tableColumn id="15" xr3:uid="{00000000-0010-0000-0300-00000F000000}" name="block_qty">
      <calculatedColumnFormula>SUMIFS('02_Fills'!D:D, '02_Fills'!B:B, A2, '02_Fills'!F:F, "BLOCK")</calculatedColumnFormula>
    </tableColumn>
    <tableColumn id="16" xr3:uid="{00000000-0010-0000-0300-000010000000}" name="lit_pct">
      <calculatedColumnFormula>IF(F2&gt;0, M2/F2, 0)</calculatedColumnFormula>
    </tableColumn>
    <tableColumn id="17" xr3:uid="{00000000-0010-0000-0300-000011000000}" name="dark_pct">
      <calculatedColumnFormula>IF(F2&gt;0, N2/F2, 0)</calculatedColumnFormula>
    </tableColumn>
    <tableColumn id="18" xr3:uid="{00000000-0010-0000-0300-000012000000}" name="block_pct">
      <calculatedColumnFormula>IF(F2&gt;0, O2/F2, 0)</calculatedColumnFormula>
    </tableColumn>
    <tableColumn id="19" xr3:uid="{00000000-0010-0000-0300-000013000000}" name="market_vwap"/>
    <tableColumn id="20" xr3:uid="{00000000-0010-0000-0300-000014000000}" name="dislocation"/>
    <tableColumn id="21" xr3:uid="{00000000-0010-0000-0300-000015000000}" name="rec_block_pct"/>
    <tableColumn id="22" xr3:uid="{00000000-0010-0000-0300-000016000000}" name="match_ticker">
      <calculatedColumnFormula>IF(OR('99_Dashboard'!$B$4="All", '99_Dashboard'!$B$4=B2), 1, 0)</calculatedColumnFormula>
    </tableColumn>
    <tableColumn id="23" xr3:uid="{00000000-0010-0000-0300-000017000000}" name="match_urgency">
      <calculatedColumnFormula>IF(OR('99_Dashboard'!$B$5="All", '99_Dashboard'!$B$5=D2), 1, 0)</calculatedColumnFormula>
    </tableColumn>
    <tableColumn id="24" xr3:uid="{00000000-0010-0000-0300-000018000000}" name="match_all">
      <calculatedColumnFormula>V2 * W2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enueAssumptions" displayName="VenueAssumptions" ref="A4:D7">
  <autoFilter ref="A4:D7" xr:uid="{00000000-0009-0000-0100-000005000000}"/>
  <tableColumns count="4">
    <tableColumn id="1" xr3:uid="{00000000-0010-0000-0400-000001000000}" name="venue_type"/>
    <tableColumn id="2" xr3:uid="{00000000-0010-0000-0400-000002000000}" name="fee_bps"/>
    <tableColumn id="3" xr3:uid="{00000000-0010-0000-0400-000003000000}" name="slippage_bps_mean"/>
    <tableColumn id="4" xr3:uid="{00000000-0010-0000-0400-000004000000}" name="slippage_bps_s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1" customWidth="1"/>
    <col min="3" max="4" width="10" customWidth="1"/>
    <col min="5" max="5" width="12" customWidth="1"/>
    <col min="6" max="7" width="21" customWidth="1"/>
    <col min="8" max="8" width="10" customWidth="1"/>
    <col min="9" max="9" width="18" customWidth="1"/>
    <col min="10" max="11" width="20" customWidth="1"/>
    <col min="12" max="12" width="21" customWidth="1"/>
    <col min="13" max="13" width="20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5" t="s">
        <v>13</v>
      </c>
      <c r="B2" s="6">
        <v>45993</v>
      </c>
      <c r="C2" s="5" t="s">
        <v>14</v>
      </c>
      <c r="D2" s="5" t="s">
        <v>15</v>
      </c>
      <c r="E2" s="7">
        <v>4802</v>
      </c>
      <c r="F2" s="6">
        <v>45993.690972222219</v>
      </c>
      <c r="G2" s="6">
        <v>45993.78125</v>
      </c>
      <c r="H2" s="5" t="s">
        <v>16</v>
      </c>
      <c r="I2" s="5" t="s">
        <v>17</v>
      </c>
      <c r="J2" s="8">
        <v>188.73753197633511</v>
      </c>
      <c r="K2" s="8">
        <v>188.5219792026021</v>
      </c>
      <c r="L2" s="8">
        <v>231.46869388832681</v>
      </c>
      <c r="M2" s="8">
        <v>230.77380094781699</v>
      </c>
    </row>
    <row r="3" spans="1:13" x14ac:dyDescent="0.25">
      <c r="A3" s="5" t="s">
        <v>18</v>
      </c>
      <c r="B3" s="6">
        <v>45996</v>
      </c>
      <c r="C3" s="5" t="s">
        <v>19</v>
      </c>
      <c r="D3" s="5" t="s">
        <v>20</v>
      </c>
      <c r="E3" s="7">
        <v>3366</v>
      </c>
      <c r="F3" s="6">
        <v>45996.649305555547</v>
      </c>
      <c r="G3" s="6">
        <v>45996.673611111109</v>
      </c>
      <c r="H3" s="5" t="s">
        <v>16</v>
      </c>
      <c r="I3" s="5" t="s">
        <v>17</v>
      </c>
      <c r="J3" s="8">
        <v>195.17737548084341</v>
      </c>
      <c r="K3" s="8">
        <v>194.84781665731529</v>
      </c>
      <c r="L3" s="8">
        <v>229.98069698263291</v>
      </c>
      <c r="M3" s="8">
        <v>230.20559632546369</v>
      </c>
    </row>
    <row r="4" spans="1:13" x14ac:dyDescent="0.25">
      <c r="A4" s="5" t="s">
        <v>21</v>
      </c>
      <c r="B4" s="6">
        <v>45996</v>
      </c>
      <c r="C4" s="5" t="s">
        <v>19</v>
      </c>
      <c r="D4" s="5" t="s">
        <v>15</v>
      </c>
      <c r="E4" s="7">
        <v>23333</v>
      </c>
      <c r="F4" s="6">
        <v>45996.697916666657</v>
      </c>
      <c r="G4" s="6">
        <v>45996.722222222219</v>
      </c>
      <c r="H4" s="5" t="s">
        <v>22</v>
      </c>
      <c r="I4" s="5" t="s">
        <v>17</v>
      </c>
      <c r="J4" s="8">
        <v>194.98681681391409</v>
      </c>
      <c r="K4" s="8">
        <v>195.16986050109571</v>
      </c>
      <c r="L4" s="8">
        <v>230.92871727297941</v>
      </c>
      <c r="M4" s="8">
        <v>230.80930693306379</v>
      </c>
    </row>
    <row r="5" spans="1:13" x14ac:dyDescent="0.25">
      <c r="A5" s="5" t="s">
        <v>23</v>
      </c>
      <c r="B5" s="6">
        <v>45992</v>
      </c>
      <c r="C5" s="5" t="s">
        <v>24</v>
      </c>
      <c r="D5" s="5" t="s">
        <v>15</v>
      </c>
      <c r="E5" s="7">
        <v>6666</v>
      </c>
      <c r="F5" s="6">
        <v>45992.729166666657</v>
      </c>
      <c r="G5" s="6">
        <v>45992.8125</v>
      </c>
      <c r="H5" s="5" t="s">
        <v>25</v>
      </c>
      <c r="I5" s="5" t="s">
        <v>26</v>
      </c>
      <c r="J5" s="8">
        <v>244.5823523636403</v>
      </c>
      <c r="K5" s="8">
        <v>243.4469430669655</v>
      </c>
      <c r="L5" s="8">
        <v>512.51031945024249</v>
      </c>
      <c r="M5" s="8">
        <v>511.44024494013479</v>
      </c>
    </row>
    <row r="6" spans="1:13" x14ac:dyDescent="0.25">
      <c r="A6" s="5" t="s">
        <v>27</v>
      </c>
      <c r="B6" s="6">
        <v>45994</v>
      </c>
      <c r="C6" s="5" t="s">
        <v>28</v>
      </c>
      <c r="D6" s="5" t="s">
        <v>20</v>
      </c>
      <c r="E6" s="7">
        <v>11441</v>
      </c>
      <c r="F6" s="6">
        <v>45994.694444444453</v>
      </c>
      <c r="G6" s="6">
        <v>45994.729166666657</v>
      </c>
      <c r="H6" s="5" t="s">
        <v>25</v>
      </c>
      <c r="I6" s="5" t="s">
        <v>17</v>
      </c>
      <c r="J6" s="8">
        <v>424.44852833747768</v>
      </c>
      <c r="K6" s="8">
        <v>422.28539157951519</v>
      </c>
      <c r="L6" s="8">
        <v>230.82819189414721</v>
      </c>
      <c r="M6" s="8">
        <v>231.29109332387139</v>
      </c>
    </row>
    <row r="7" spans="1:13" x14ac:dyDescent="0.25">
      <c r="A7" s="5" t="s">
        <v>29</v>
      </c>
      <c r="B7" s="6">
        <v>45992</v>
      </c>
      <c r="C7" s="5" t="s">
        <v>28</v>
      </c>
      <c r="D7" s="5" t="s">
        <v>20</v>
      </c>
      <c r="E7" s="7">
        <v>6877</v>
      </c>
      <c r="F7" s="6">
        <v>45992.732638888891</v>
      </c>
      <c r="G7" s="6">
        <v>45992.815972222219</v>
      </c>
      <c r="H7" s="5" t="s">
        <v>25</v>
      </c>
      <c r="I7" s="5" t="s">
        <v>17</v>
      </c>
      <c r="J7" s="8">
        <v>417.98222055630561</v>
      </c>
      <c r="K7" s="8">
        <v>416.76207610713197</v>
      </c>
      <c r="L7" s="8">
        <v>232.2627098170596</v>
      </c>
      <c r="M7" s="8">
        <v>232.44932983122661</v>
      </c>
    </row>
    <row r="8" spans="1:13" x14ac:dyDescent="0.25">
      <c r="A8" s="5" t="s">
        <v>30</v>
      </c>
      <c r="B8" s="6">
        <v>45996</v>
      </c>
      <c r="C8" s="5" t="s">
        <v>19</v>
      </c>
      <c r="D8" s="5" t="s">
        <v>20</v>
      </c>
      <c r="E8" s="7">
        <v>6922</v>
      </c>
      <c r="F8" s="6">
        <v>45996.614583333343</v>
      </c>
      <c r="G8" s="6">
        <v>45996.701388888891</v>
      </c>
      <c r="H8" s="5" t="s">
        <v>16</v>
      </c>
      <c r="I8" s="5" t="s">
        <v>17</v>
      </c>
      <c r="J8" s="8">
        <v>195.94850041577871</v>
      </c>
      <c r="K8" s="8">
        <v>194.83521870963639</v>
      </c>
      <c r="L8" s="8">
        <v>230.23506381865721</v>
      </c>
      <c r="M8" s="8">
        <v>231.0280014150882</v>
      </c>
    </row>
    <row r="9" spans="1:13" x14ac:dyDescent="0.25">
      <c r="A9" s="5" t="s">
        <v>31</v>
      </c>
      <c r="B9" s="6">
        <v>45996</v>
      </c>
      <c r="C9" s="5" t="s">
        <v>32</v>
      </c>
      <c r="D9" s="5" t="s">
        <v>15</v>
      </c>
      <c r="E9" s="7">
        <v>6424</v>
      </c>
      <c r="F9" s="6">
        <v>45996.704861111109</v>
      </c>
      <c r="G9" s="6">
        <v>45996.763888888891</v>
      </c>
      <c r="H9" s="5" t="s">
        <v>16</v>
      </c>
      <c r="I9" s="5" t="s">
        <v>26</v>
      </c>
      <c r="J9" s="8">
        <v>173.07964222039681</v>
      </c>
      <c r="K9" s="8">
        <v>174.52599359688881</v>
      </c>
      <c r="L9" s="8">
        <v>499.70909927219378</v>
      </c>
      <c r="M9" s="8">
        <v>496.58879421307068</v>
      </c>
    </row>
    <row r="10" spans="1:13" x14ac:dyDescent="0.25">
      <c r="A10" s="5" t="s">
        <v>33</v>
      </c>
      <c r="B10" s="6">
        <v>45992</v>
      </c>
      <c r="C10" s="5" t="s">
        <v>28</v>
      </c>
      <c r="D10" s="5" t="s">
        <v>20</v>
      </c>
      <c r="E10" s="7">
        <v>13110</v>
      </c>
      <c r="F10" s="6">
        <v>45992.729166666657</v>
      </c>
      <c r="G10" s="6">
        <v>45992.78125</v>
      </c>
      <c r="H10" s="5" t="s">
        <v>25</v>
      </c>
      <c r="I10" s="5" t="s">
        <v>17</v>
      </c>
      <c r="J10" s="8">
        <v>417.60796091874693</v>
      </c>
      <c r="K10" s="8">
        <v>418.33193190761551</v>
      </c>
      <c r="L10" s="8">
        <v>232.41621618108201</v>
      </c>
      <c r="M10" s="8">
        <v>232.90742549312179</v>
      </c>
    </row>
    <row r="11" spans="1:13" x14ac:dyDescent="0.25">
      <c r="A11" s="5" t="s">
        <v>34</v>
      </c>
      <c r="B11" s="6">
        <v>45996</v>
      </c>
      <c r="C11" s="5" t="s">
        <v>14</v>
      </c>
      <c r="D11" s="5" t="s">
        <v>15</v>
      </c>
      <c r="E11" s="7">
        <v>13497</v>
      </c>
      <c r="F11" s="6">
        <v>45996.618055555547</v>
      </c>
      <c r="G11" s="6">
        <v>45996.649305555547</v>
      </c>
      <c r="H11" s="5" t="s">
        <v>25</v>
      </c>
      <c r="I11" s="5" t="s">
        <v>17</v>
      </c>
      <c r="J11" s="8">
        <v>184.9002818323842</v>
      </c>
      <c r="K11" s="8">
        <v>185.71119941836309</v>
      </c>
      <c r="L11" s="8">
        <v>230.21216858113249</v>
      </c>
      <c r="M11" s="8">
        <v>229.98069698263291</v>
      </c>
    </row>
    <row r="12" spans="1:13" x14ac:dyDescent="0.25">
      <c r="A12" s="5" t="s">
        <v>35</v>
      </c>
      <c r="B12" s="6">
        <v>45995</v>
      </c>
      <c r="C12" s="5" t="s">
        <v>28</v>
      </c>
      <c r="D12" s="5" t="s">
        <v>15</v>
      </c>
      <c r="E12" s="7">
        <v>20185</v>
      </c>
      <c r="F12" s="6">
        <v>45995.694444444453</v>
      </c>
      <c r="G12" s="6">
        <v>45995.71875</v>
      </c>
      <c r="H12" s="5" t="s">
        <v>22</v>
      </c>
      <c r="I12" s="5" t="s">
        <v>17</v>
      </c>
      <c r="J12" s="8">
        <v>423.62562985511829</v>
      </c>
      <c r="K12" s="8">
        <v>424.37951396349217</v>
      </c>
      <c r="L12" s="8">
        <v>230.44067246228519</v>
      </c>
      <c r="M12" s="8">
        <v>230.72601104001191</v>
      </c>
    </row>
    <row r="13" spans="1:13" x14ac:dyDescent="0.25">
      <c r="A13" s="5" t="s">
        <v>36</v>
      </c>
      <c r="B13" s="6">
        <v>45994</v>
      </c>
      <c r="C13" s="5" t="s">
        <v>24</v>
      </c>
      <c r="D13" s="5" t="s">
        <v>20</v>
      </c>
      <c r="E13" s="7">
        <v>12165</v>
      </c>
      <c r="F13" s="6">
        <v>45994.677083333343</v>
      </c>
      <c r="G13" s="6">
        <v>45994.774305555547</v>
      </c>
      <c r="H13" s="5" t="s">
        <v>25</v>
      </c>
      <c r="I13" s="5" t="s">
        <v>26</v>
      </c>
      <c r="J13" s="8">
        <v>244.0604200858474</v>
      </c>
      <c r="K13" s="8">
        <v>246.42700128434441</v>
      </c>
      <c r="L13" s="8">
        <v>509.20269298576028</v>
      </c>
      <c r="M13" s="8">
        <v>505.94064766627793</v>
      </c>
    </row>
    <row r="14" spans="1:13" x14ac:dyDescent="0.25">
      <c r="A14" s="5" t="s">
        <v>37</v>
      </c>
      <c r="B14" s="6">
        <v>45992</v>
      </c>
      <c r="C14" s="5" t="s">
        <v>32</v>
      </c>
      <c r="D14" s="5" t="s">
        <v>20</v>
      </c>
      <c r="E14" s="7">
        <v>19245</v>
      </c>
      <c r="F14" s="6">
        <v>45992.788194444453</v>
      </c>
      <c r="G14" s="6">
        <v>45992.815972222219</v>
      </c>
      <c r="H14" s="5" t="s">
        <v>22</v>
      </c>
      <c r="I14" s="5" t="s">
        <v>26</v>
      </c>
      <c r="J14" s="8">
        <v>174.00090999852969</v>
      </c>
      <c r="K14" s="8">
        <v>174.80181958750671</v>
      </c>
      <c r="L14" s="8">
        <v>512.3604488319852</v>
      </c>
      <c r="M14" s="8">
        <v>511.54509592098788</v>
      </c>
    </row>
    <row r="15" spans="1:13" x14ac:dyDescent="0.25">
      <c r="A15" s="5" t="s">
        <v>38</v>
      </c>
      <c r="B15" s="6">
        <v>45992</v>
      </c>
      <c r="C15" s="5" t="s">
        <v>19</v>
      </c>
      <c r="D15" s="5" t="s">
        <v>20</v>
      </c>
      <c r="E15" s="7">
        <v>4446</v>
      </c>
      <c r="F15" s="6">
        <v>45992.763888888891</v>
      </c>
      <c r="G15" s="6">
        <v>45992.861111111109</v>
      </c>
      <c r="H15" s="5" t="s">
        <v>16</v>
      </c>
      <c r="I15" s="5" t="s">
        <v>17</v>
      </c>
      <c r="J15" s="8">
        <v>193.8145204797523</v>
      </c>
      <c r="K15" s="8">
        <v>194.84000152928769</v>
      </c>
      <c r="L15" s="8">
        <v>233.06463128352081</v>
      </c>
      <c r="M15" s="8">
        <v>232.79278658772739</v>
      </c>
    </row>
    <row r="16" spans="1:13" x14ac:dyDescent="0.25">
      <c r="A16" s="5" t="s">
        <v>39</v>
      </c>
      <c r="B16" s="6">
        <v>45994</v>
      </c>
      <c r="C16" s="5" t="s">
        <v>32</v>
      </c>
      <c r="D16" s="5" t="s">
        <v>15</v>
      </c>
      <c r="E16" s="7">
        <v>10818</v>
      </c>
      <c r="F16" s="6">
        <v>45994.607638888891</v>
      </c>
      <c r="G16" s="6">
        <v>45994.677083333343</v>
      </c>
      <c r="H16" s="5" t="s">
        <v>25</v>
      </c>
      <c r="I16" s="5" t="s">
        <v>26</v>
      </c>
      <c r="J16" s="8">
        <v>174.172324476266</v>
      </c>
      <c r="K16" s="8">
        <v>174.35752395926059</v>
      </c>
      <c r="L16" s="8">
        <v>509.8615242169364</v>
      </c>
      <c r="M16" s="8">
        <v>509.20269298576028</v>
      </c>
    </row>
    <row r="17" spans="1:13" x14ac:dyDescent="0.25">
      <c r="A17" s="5" t="s">
        <v>40</v>
      </c>
      <c r="B17" s="6">
        <v>45994</v>
      </c>
      <c r="C17" s="5" t="s">
        <v>28</v>
      </c>
      <c r="D17" s="5" t="s">
        <v>20</v>
      </c>
      <c r="E17" s="7">
        <v>7479</v>
      </c>
      <c r="F17" s="6">
        <v>45994.631944444453</v>
      </c>
      <c r="G17" s="6">
        <v>45994.732638888891</v>
      </c>
      <c r="H17" s="5" t="s">
        <v>16</v>
      </c>
      <c r="I17" s="5" t="s">
        <v>17</v>
      </c>
      <c r="J17" s="8">
        <v>422.22028026990341</v>
      </c>
      <c r="K17" s="8">
        <v>422.37174829320531</v>
      </c>
      <c r="L17" s="8">
        <v>230.28476705234829</v>
      </c>
      <c r="M17" s="8">
        <v>231.53557116218269</v>
      </c>
    </row>
    <row r="18" spans="1:13" x14ac:dyDescent="0.25">
      <c r="A18" s="5" t="s">
        <v>41</v>
      </c>
      <c r="B18" s="6">
        <v>45992</v>
      </c>
      <c r="C18" s="5" t="s">
        <v>32</v>
      </c>
      <c r="D18" s="5" t="s">
        <v>20</v>
      </c>
      <c r="E18" s="7">
        <v>14673</v>
      </c>
      <c r="F18" s="6">
        <v>45992.638888888891</v>
      </c>
      <c r="G18" s="6">
        <v>45992.708333333343</v>
      </c>
      <c r="H18" s="5" t="s">
        <v>25</v>
      </c>
      <c r="I18" s="5" t="s">
        <v>26</v>
      </c>
      <c r="J18" s="8">
        <v>175.4015235678911</v>
      </c>
      <c r="K18" s="8">
        <v>175.18204244819299</v>
      </c>
      <c r="L18" s="8">
        <v>514.20214184139036</v>
      </c>
      <c r="M18" s="8">
        <v>512.39341612724047</v>
      </c>
    </row>
    <row r="19" spans="1:13" x14ac:dyDescent="0.25">
      <c r="A19" s="5" t="s">
        <v>42</v>
      </c>
      <c r="B19" s="6">
        <v>45996</v>
      </c>
      <c r="C19" s="5" t="s">
        <v>32</v>
      </c>
      <c r="D19" s="5" t="s">
        <v>20</v>
      </c>
      <c r="E19" s="7">
        <v>12688</v>
      </c>
      <c r="F19" s="6">
        <v>45996.663194444453</v>
      </c>
      <c r="G19" s="6">
        <v>45996.760416666657</v>
      </c>
      <c r="H19" s="5" t="s">
        <v>25</v>
      </c>
      <c r="I19" s="5" t="s">
        <v>26</v>
      </c>
      <c r="J19" s="8">
        <v>172.2940425192306</v>
      </c>
      <c r="K19" s="8">
        <v>174.4554955052696</v>
      </c>
      <c r="L19" s="8">
        <v>500.27985981893022</v>
      </c>
      <c r="M19" s="8">
        <v>496.16358336022768</v>
      </c>
    </row>
    <row r="20" spans="1:13" x14ac:dyDescent="0.25">
      <c r="A20" s="5" t="s">
        <v>43</v>
      </c>
      <c r="B20" s="6">
        <v>45993</v>
      </c>
      <c r="C20" s="5" t="s">
        <v>32</v>
      </c>
      <c r="D20" s="5" t="s">
        <v>15</v>
      </c>
      <c r="E20" s="7">
        <v>6224</v>
      </c>
      <c r="F20" s="6">
        <v>45993.635416666657</v>
      </c>
      <c r="G20" s="6">
        <v>45993.663194444453</v>
      </c>
      <c r="H20" s="5" t="s">
        <v>16</v>
      </c>
      <c r="I20" s="5" t="s">
        <v>26</v>
      </c>
      <c r="J20" s="8">
        <v>175.72858081544251</v>
      </c>
      <c r="K20" s="8">
        <v>175.33086243308821</v>
      </c>
      <c r="L20" s="8">
        <v>511.52595545857088</v>
      </c>
      <c r="M20" s="8">
        <v>508.6022639423644</v>
      </c>
    </row>
    <row r="21" spans="1:13" x14ac:dyDescent="0.25">
      <c r="A21" s="5" t="s">
        <v>44</v>
      </c>
      <c r="B21" s="6">
        <v>45995</v>
      </c>
      <c r="C21" s="5" t="s">
        <v>19</v>
      </c>
      <c r="D21" s="5" t="s">
        <v>20</v>
      </c>
      <c r="E21" s="7">
        <v>3036</v>
      </c>
      <c r="F21" s="6">
        <v>45995.788194444453</v>
      </c>
      <c r="G21" s="6">
        <v>45995.871527777781</v>
      </c>
      <c r="H21" s="5" t="s">
        <v>16</v>
      </c>
      <c r="I21" s="5" t="s">
        <v>17</v>
      </c>
      <c r="J21" s="8">
        <v>198.6942673784001</v>
      </c>
      <c r="K21" s="8">
        <v>196.7897436465262</v>
      </c>
      <c r="L21" s="8">
        <v>229.72512255708239</v>
      </c>
      <c r="M21" s="8">
        <v>229.92808519922539</v>
      </c>
    </row>
    <row r="22" spans="1:13" x14ac:dyDescent="0.25">
      <c r="A22" s="5" t="s">
        <v>45</v>
      </c>
      <c r="B22" s="6">
        <v>45996</v>
      </c>
      <c r="C22" s="5" t="s">
        <v>32</v>
      </c>
      <c r="D22" s="5" t="s">
        <v>15</v>
      </c>
      <c r="E22" s="7">
        <v>12765</v>
      </c>
      <c r="F22" s="6">
        <v>45996.684027777781</v>
      </c>
      <c r="G22" s="6">
        <v>45996.770833333343</v>
      </c>
      <c r="H22" s="5" t="s">
        <v>25</v>
      </c>
      <c r="I22" s="5" t="s">
        <v>26</v>
      </c>
      <c r="J22" s="8">
        <v>172.25425975855529</v>
      </c>
      <c r="K22" s="8">
        <v>174.4743210858876</v>
      </c>
      <c r="L22" s="8">
        <v>499.45525952940659</v>
      </c>
      <c r="M22" s="8">
        <v>495.6647555295412</v>
      </c>
    </row>
    <row r="23" spans="1:13" x14ac:dyDescent="0.25">
      <c r="A23" s="5" t="s">
        <v>46</v>
      </c>
      <c r="B23" s="6">
        <v>45996</v>
      </c>
      <c r="C23" s="5" t="s">
        <v>24</v>
      </c>
      <c r="D23" s="5" t="s">
        <v>20</v>
      </c>
      <c r="E23" s="7">
        <v>15460</v>
      </c>
      <c r="F23" s="6">
        <v>45996.746527777781</v>
      </c>
      <c r="G23" s="6">
        <v>45996.840277777781</v>
      </c>
      <c r="H23" s="5" t="s">
        <v>25</v>
      </c>
      <c r="I23" s="5" t="s">
        <v>26</v>
      </c>
      <c r="J23" s="8">
        <v>247.8029503200132</v>
      </c>
      <c r="K23" s="8">
        <v>248.21554383331821</v>
      </c>
      <c r="L23" s="8">
        <v>495.62190229642857</v>
      </c>
      <c r="M23" s="8">
        <v>496.95660531052431</v>
      </c>
    </row>
    <row r="24" spans="1:13" x14ac:dyDescent="0.25">
      <c r="A24" s="5" t="s">
        <v>47</v>
      </c>
      <c r="B24" s="6">
        <v>45995</v>
      </c>
      <c r="C24" s="5" t="s">
        <v>24</v>
      </c>
      <c r="D24" s="5" t="s">
        <v>20</v>
      </c>
      <c r="E24" s="7">
        <v>12726</v>
      </c>
      <c r="F24" s="6">
        <v>45995.690972222219</v>
      </c>
      <c r="G24" s="6">
        <v>45995.753472222219</v>
      </c>
      <c r="H24" s="5" t="s">
        <v>25</v>
      </c>
      <c r="I24" s="5" t="s">
        <v>26</v>
      </c>
      <c r="J24" s="8">
        <v>247.1842493005997</v>
      </c>
      <c r="K24" s="8">
        <v>248.11075957507879</v>
      </c>
      <c r="L24" s="8">
        <v>506.00277292088958</v>
      </c>
      <c r="M24" s="8">
        <v>505.48226769031021</v>
      </c>
    </row>
    <row r="25" spans="1:13" x14ac:dyDescent="0.25">
      <c r="A25" s="5" t="s">
        <v>48</v>
      </c>
      <c r="B25" s="6">
        <v>45993</v>
      </c>
      <c r="C25" s="5" t="s">
        <v>19</v>
      </c>
      <c r="D25" s="5" t="s">
        <v>15</v>
      </c>
      <c r="E25" s="7">
        <v>9449</v>
      </c>
      <c r="F25" s="6">
        <v>45993.618055555547</v>
      </c>
      <c r="G25" s="6">
        <v>45993.659722222219</v>
      </c>
      <c r="H25" s="5" t="s">
        <v>25</v>
      </c>
      <c r="I25" s="5" t="s">
        <v>17</v>
      </c>
      <c r="J25" s="8">
        <v>194.75419121537749</v>
      </c>
      <c r="K25" s="8">
        <v>194.61221573832719</v>
      </c>
      <c r="L25" s="8">
        <v>232.9608447097244</v>
      </c>
      <c r="M25" s="8">
        <v>232.27718562726511</v>
      </c>
    </row>
    <row r="26" spans="1:13" x14ac:dyDescent="0.25">
      <c r="A26" s="5" t="s">
        <v>49</v>
      </c>
      <c r="B26" s="6">
        <v>45992</v>
      </c>
      <c r="C26" s="5" t="s">
        <v>19</v>
      </c>
      <c r="D26" s="5" t="s">
        <v>15</v>
      </c>
      <c r="E26" s="7">
        <v>7785</v>
      </c>
      <c r="F26" s="6">
        <v>45992.604166666657</v>
      </c>
      <c r="G26" s="6">
        <v>45992.6875</v>
      </c>
      <c r="H26" s="5" t="s">
        <v>16</v>
      </c>
      <c r="I26" s="5" t="s">
        <v>17</v>
      </c>
      <c r="J26" s="8">
        <v>195.29668726101701</v>
      </c>
      <c r="K26" s="8">
        <v>194.59536334198191</v>
      </c>
      <c r="L26" s="8">
        <v>234.99109246195209</v>
      </c>
      <c r="M26" s="8">
        <v>231.850123736049</v>
      </c>
    </row>
    <row r="27" spans="1:13" x14ac:dyDescent="0.25">
      <c r="A27" s="5" t="s">
        <v>50</v>
      </c>
      <c r="B27" s="6">
        <v>45992</v>
      </c>
      <c r="C27" s="5" t="s">
        <v>24</v>
      </c>
      <c r="D27" s="5" t="s">
        <v>15</v>
      </c>
      <c r="E27" s="7">
        <v>12727</v>
      </c>
      <c r="F27" s="6">
        <v>45992.618055555547</v>
      </c>
      <c r="G27" s="6">
        <v>45992.659722222219</v>
      </c>
      <c r="H27" s="5" t="s">
        <v>25</v>
      </c>
      <c r="I27" s="5" t="s">
        <v>26</v>
      </c>
      <c r="J27" s="8">
        <v>244.6881770031269</v>
      </c>
      <c r="K27" s="8">
        <v>244.52364066166851</v>
      </c>
      <c r="L27" s="8">
        <v>515.54304929689818</v>
      </c>
      <c r="M27" s="8">
        <v>512.53714063384655</v>
      </c>
    </row>
    <row r="28" spans="1:13" x14ac:dyDescent="0.25">
      <c r="A28" s="5" t="s">
        <v>51</v>
      </c>
      <c r="B28" s="6">
        <v>45996</v>
      </c>
      <c r="C28" s="5" t="s">
        <v>14</v>
      </c>
      <c r="D28" s="5" t="s">
        <v>20</v>
      </c>
      <c r="E28" s="7">
        <v>7922</v>
      </c>
      <c r="F28" s="6">
        <v>45996.684027777781</v>
      </c>
      <c r="G28" s="6">
        <v>45996.756944444453</v>
      </c>
      <c r="H28" s="5" t="s">
        <v>16</v>
      </c>
      <c r="I28" s="5" t="s">
        <v>17</v>
      </c>
      <c r="J28" s="8">
        <v>186.039191370309</v>
      </c>
      <c r="K28" s="8">
        <v>185.40483136895941</v>
      </c>
      <c r="L28" s="8">
        <v>230.63090281486711</v>
      </c>
      <c r="M28" s="8">
        <v>230.8603688827944</v>
      </c>
    </row>
    <row r="29" spans="1:13" x14ac:dyDescent="0.25">
      <c r="A29" s="5" t="s">
        <v>52</v>
      </c>
      <c r="B29" s="6">
        <v>45995</v>
      </c>
      <c r="C29" s="5" t="s">
        <v>32</v>
      </c>
      <c r="D29" s="5" t="s">
        <v>15</v>
      </c>
      <c r="E29" s="7">
        <v>6675</v>
      </c>
      <c r="F29" s="6">
        <v>45995.708333333343</v>
      </c>
      <c r="G29" s="6">
        <v>45995.760416666657</v>
      </c>
      <c r="H29" s="5" t="s">
        <v>16</v>
      </c>
      <c r="I29" s="5" t="s">
        <v>26</v>
      </c>
      <c r="J29" s="8">
        <v>173.01312580924809</v>
      </c>
      <c r="K29" s="8">
        <v>172.65345929194939</v>
      </c>
      <c r="L29" s="8">
        <v>505.66094886337248</v>
      </c>
      <c r="M29" s="8">
        <v>503.96223846573753</v>
      </c>
    </row>
    <row r="30" spans="1:13" x14ac:dyDescent="0.25">
      <c r="A30" s="5" t="s">
        <v>53</v>
      </c>
      <c r="B30" s="6">
        <v>45995</v>
      </c>
      <c r="C30" s="5" t="s">
        <v>14</v>
      </c>
      <c r="D30" s="5" t="s">
        <v>15</v>
      </c>
      <c r="E30" s="7">
        <v>4004</v>
      </c>
      <c r="F30" s="6">
        <v>45995.788194444453</v>
      </c>
      <c r="G30" s="6">
        <v>45995.875</v>
      </c>
      <c r="H30" s="5" t="s">
        <v>16</v>
      </c>
      <c r="I30" s="5" t="s">
        <v>17</v>
      </c>
      <c r="J30" s="8">
        <v>185.29703563380889</v>
      </c>
      <c r="K30" s="8">
        <v>184.8184635987094</v>
      </c>
      <c r="L30" s="8">
        <v>229.72512255708239</v>
      </c>
      <c r="M30" s="8">
        <v>229.84655109885469</v>
      </c>
    </row>
    <row r="31" spans="1:13" x14ac:dyDescent="0.25">
      <c r="A31" s="5" t="s">
        <v>54</v>
      </c>
      <c r="B31" s="6">
        <v>45994</v>
      </c>
      <c r="C31" s="5" t="s">
        <v>24</v>
      </c>
      <c r="D31" s="5" t="s">
        <v>15</v>
      </c>
      <c r="E31" s="7">
        <v>14003</v>
      </c>
      <c r="F31" s="6">
        <v>45994.635416666657</v>
      </c>
      <c r="G31" s="6">
        <v>45994.732638888891</v>
      </c>
      <c r="H31" s="5" t="s">
        <v>25</v>
      </c>
      <c r="I31" s="5" t="s">
        <v>26</v>
      </c>
      <c r="J31" s="8">
        <v>245.0919280476374</v>
      </c>
      <c r="K31" s="8">
        <v>245.6591595337128</v>
      </c>
      <c r="L31" s="8">
        <v>510.73520597013311</v>
      </c>
      <c r="M31" s="8">
        <v>509.62409089801372</v>
      </c>
    </row>
    <row r="32" spans="1:13" x14ac:dyDescent="0.25">
      <c r="A32" s="5" t="s">
        <v>55</v>
      </c>
      <c r="B32" s="6">
        <v>45992</v>
      </c>
      <c r="C32" s="5" t="s">
        <v>14</v>
      </c>
      <c r="D32" s="5" t="s">
        <v>15</v>
      </c>
      <c r="E32" s="7">
        <v>9505</v>
      </c>
      <c r="F32" s="6">
        <v>45992.756944444453</v>
      </c>
      <c r="G32" s="6">
        <v>45992.805555555547</v>
      </c>
      <c r="H32" s="5" t="s">
        <v>25</v>
      </c>
      <c r="I32" s="5" t="s">
        <v>17</v>
      </c>
      <c r="J32" s="8">
        <v>185.66525161716731</v>
      </c>
      <c r="K32" s="8">
        <v>185.58401406977569</v>
      </c>
      <c r="L32" s="8">
        <v>232.95261757763751</v>
      </c>
      <c r="M32" s="8">
        <v>232.82652313961319</v>
      </c>
    </row>
    <row r="33" spans="1:13" x14ac:dyDescent="0.25">
      <c r="A33" s="5" t="s">
        <v>56</v>
      </c>
      <c r="B33" s="6">
        <v>45996</v>
      </c>
      <c r="C33" s="5" t="s">
        <v>28</v>
      </c>
      <c r="D33" s="5" t="s">
        <v>15</v>
      </c>
      <c r="E33" s="7">
        <v>11964</v>
      </c>
      <c r="F33" s="6">
        <v>45996.722222222219</v>
      </c>
      <c r="G33" s="6">
        <v>45996.826388888891</v>
      </c>
      <c r="H33" s="5" t="s">
        <v>25</v>
      </c>
      <c r="I33" s="5" t="s">
        <v>17</v>
      </c>
      <c r="J33" s="8">
        <v>423.32744416297157</v>
      </c>
      <c r="K33" s="8">
        <v>421.77820198881602</v>
      </c>
      <c r="L33" s="8">
        <v>230.80930693306379</v>
      </c>
      <c r="M33" s="8">
        <v>233.2184477743871</v>
      </c>
    </row>
    <row r="34" spans="1:13" x14ac:dyDescent="0.25">
      <c r="A34" s="5" t="s">
        <v>57</v>
      </c>
      <c r="B34" s="6">
        <v>45993</v>
      </c>
      <c r="C34" s="5" t="s">
        <v>28</v>
      </c>
      <c r="D34" s="5" t="s">
        <v>15</v>
      </c>
      <c r="E34" s="7">
        <v>7888</v>
      </c>
      <c r="F34" s="6">
        <v>45993.784722222219</v>
      </c>
      <c r="G34" s="6">
        <v>45993.847222222219</v>
      </c>
      <c r="H34" s="5" t="s">
        <v>25</v>
      </c>
      <c r="I34" s="5" t="s">
        <v>17</v>
      </c>
      <c r="J34" s="8">
        <v>423.85751599845253</v>
      </c>
      <c r="K34" s="8">
        <v>422.70256748876687</v>
      </c>
      <c r="L34" s="8">
        <v>230.9108031497193</v>
      </c>
      <c r="M34" s="8">
        <v>229.3548814477974</v>
      </c>
    </row>
    <row r="35" spans="1:13" x14ac:dyDescent="0.25">
      <c r="A35" s="5" t="s">
        <v>58</v>
      </c>
      <c r="B35" s="6">
        <v>45994</v>
      </c>
      <c r="C35" s="5" t="s">
        <v>32</v>
      </c>
      <c r="D35" s="5" t="s">
        <v>20</v>
      </c>
      <c r="E35" s="7">
        <v>15909</v>
      </c>
      <c r="F35" s="6">
        <v>45994.763888888891</v>
      </c>
      <c r="G35" s="6">
        <v>45994.784722222219</v>
      </c>
      <c r="H35" s="5" t="s">
        <v>22</v>
      </c>
      <c r="I35" s="5" t="s">
        <v>26</v>
      </c>
      <c r="J35" s="8">
        <v>174.3807938018183</v>
      </c>
      <c r="K35" s="8">
        <v>174.35858943411799</v>
      </c>
      <c r="L35" s="8">
        <v>506.08870029268121</v>
      </c>
      <c r="M35" s="8">
        <v>506.09774592153428</v>
      </c>
    </row>
    <row r="36" spans="1:13" x14ac:dyDescent="0.25">
      <c r="A36" s="5" t="s">
        <v>59</v>
      </c>
      <c r="B36" s="6">
        <v>45996</v>
      </c>
      <c r="C36" s="5" t="s">
        <v>28</v>
      </c>
      <c r="D36" s="5" t="s">
        <v>20</v>
      </c>
      <c r="E36" s="7">
        <v>23001</v>
      </c>
      <c r="F36" s="6">
        <v>45996.680555555547</v>
      </c>
      <c r="G36" s="6">
        <v>45996.75</v>
      </c>
      <c r="H36" s="5" t="s">
        <v>22</v>
      </c>
      <c r="I36" s="5" t="s">
        <v>17</v>
      </c>
      <c r="J36" s="8">
        <v>422.84592500429221</v>
      </c>
      <c r="K36" s="8">
        <v>422.20935289968207</v>
      </c>
      <c r="L36" s="8">
        <v>230.565803480509</v>
      </c>
      <c r="M36" s="8">
        <v>231.13777829365671</v>
      </c>
    </row>
    <row r="37" spans="1:13" x14ac:dyDescent="0.25">
      <c r="A37" s="5" t="s">
        <v>60</v>
      </c>
      <c r="B37" s="6">
        <v>45992</v>
      </c>
      <c r="C37" s="5" t="s">
        <v>14</v>
      </c>
      <c r="D37" s="5" t="s">
        <v>15</v>
      </c>
      <c r="E37" s="7">
        <v>4663</v>
      </c>
      <c r="F37" s="6">
        <v>45992.652777777781</v>
      </c>
      <c r="G37" s="6">
        <v>45992.684027777781</v>
      </c>
      <c r="H37" s="5" t="s">
        <v>16</v>
      </c>
      <c r="I37" s="5" t="s">
        <v>17</v>
      </c>
      <c r="J37" s="8">
        <v>186.214394208942</v>
      </c>
      <c r="K37" s="8">
        <v>186.38445534038729</v>
      </c>
      <c r="L37" s="8">
        <v>233.3097333014303</v>
      </c>
      <c r="M37" s="8">
        <v>231.8262075474828</v>
      </c>
    </row>
    <row r="38" spans="1:13" x14ac:dyDescent="0.25">
      <c r="A38" s="5" t="s">
        <v>61</v>
      </c>
      <c r="B38" s="6">
        <v>45996</v>
      </c>
      <c r="C38" s="5" t="s">
        <v>32</v>
      </c>
      <c r="D38" s="5" t="s">
        <v>20</v>
      </c>
      <c r="E38" s="7">
        <v>13845</v>
      </c>
      <c r="F38" s="6">
        <v>45996.739583333343</v>
      </c>
      <c r="G38" s="6">
        <v>45996.760416666657</v>
      </c>
      <c r="H38" s="5" t="s">
        <v>25</v>
      </c>
      <c r="I38" s="5" t="s">
        <v>26</v>
      </c>
      <c r="J38" s="8">
        <v>174.08483227276059</v>
      </c>
      <c r="K38" s="8">
        <v>174.4554955052696</v>
      </c>
      <c r="L38" s="8">
        <v>495.85923230653378</v>
      </c>
      <c r="M38" s="8">
        <v>496.16358336022768</v>
      </c>
    </row>
    <row r="39" spans="1:13" x14ac:dyDescent="0.25">
      <c r="A39" s="5" t="s">
        <v>62</v>
      </c>
      <c r="B39" s="6">
        <v>45992</v>
      </c>
      <c r="C39" s="5" t="s">
        <v>19</v>
      </c>
      <c r="D39" s="5" t="s">
        <v>20</v>
      </c>
      <c r="E39" s="7">
        <v>14968</v>
      </c>
      <c r="F39" s="6">
        <v>45992.6875</v>
      </c>
      <c r="G39" s="6">
        <v>45992.784722222219</v>
      </c>
      <c r="H39" s="5" t="s">
        <v>25</v>
      </c>
      <c r="I39" s="5" t="s">
        <v>17</v>
      </c>
      <c r="J39" s="8">
        <v>194.59536334198191</v>
      </c>
      <c r="K39" s="8">
        <v>194.14915923553201</v>
      </c>
      <c r="L39" s="8">
        <v>231.850123736049</v>
      </c>
      <c r="M39" s="8">
        <v>232.9541062733845</v>
      </c>
    </row>
    <row r="40" spans="1:13" x14ac:dyDescent="0.25">
      <c r="A40" s="5" t="s">
        <v>63</v>
      </c>
      <c r="B40" s="6">
        <v>45994</v>
      </c>
      <c r="C40" s="5" t="s">
        <v>32</v>
      </c>
      <c r="D40" s="5" t="s">
        <v>20</v>
      </c>
      <c r="E40" s="7">
        <v>13288</v>
      </c>
      <c r="F40" s="6">
        <v>45994.621527777781</v>
      </c>
      <c r="G40" s="6">
        <v>45994.722222222219</v>
      </c>
      <c r="H40" s="5" t="s">
        <v>25</v>
      </c>
      <c r="I40" s="5" t="s">
        <v>26</v>
      </c>
      <c r="J40" s="8">
        <v>174.0217361913773</v>
      </c>
      <c r="K40" s="8">
        <v>174.61954779798509</v>
      </c>
      <c r="L40" s="8">
        <v>510.95941189488673</v>
      </c>
      <c r="M40" s="8">
        <v>508.59378732486073</v>
      </c>
    </row>
    <row r="41" spans="1:13" x14ac:dyDescent="0.25">
      <c r="A41" s="5" t="s">
        <v>64</v>
      </c>
      <c r="B41" s="6">
        <v>45993</v>
      </c>
      <c r="C41" s="5" t="s">
        <v>19</v>
      </c>
      <c r="D41" s="5" t="s">
        <v>20</v>
      </c>
      <c r="E41" s="7">
        <v>7069</v>
      </c>
      <c r="F41" s="6">
        <v>45993.638888888891</v>
      </c>
      <c r="G41" s="6">
        <v>45993.673611111109</v>
      </c>
      <c r="H41" s="5" t="s">
        <v>16</v>
      </c>
      <c r="I41" s="5" t="s">
        <v>17</v>
      </c>
      <c r="J41" s="8">
        <v>194.1703636332031</v>
      </c>
      <c r="K41" s="8">
        <v>194.70618601422319</v>
      </c>
      <c r="L41" s="8">
        <v>233.0259399395861</v>
      </c>
      <c r="M41" s="8">
        <v>232.05947089347231</v>
      </c>
    </row>
    <row r="42" spans="1:13" x14ac:dyDescent="0.25">
      <c r="A42" s="5" t="s">
        <v>65</v>
      </c>
      <c r="B42" s="6">
        <v>45996</v>
      </c>
      <c r="C42" s="5" t="s">
        <v>28</v>
      </c>
      <c r="D42" s="5" t="s">
        <v>20</v>
      </c>
      <c r="E42" s="7">
        <v>11181</v>
      </c>
      <c r="F42" s="6">
        <v>45996.784722222219</v>
      </c>
      <c r="G42" s="6">
        <v>45996.871527777781</v>
      </c>
      <c r="H42" s="5" t="s">
        <v>22</v>
      </c>
      <c r="I42" s="5" t="s">
        <v>17</v>
      </c>
      <c r="J42" s="8">
        <v>422.45214245293562</v>
      </c>
      <c r="K42" s="8">
        <v>421.86989946216619</v>
      </c>
      <c r="L42" s="8">
        <v>231.7063430768128</v>
      </c>
      <c r="M42" s="8">
        <v>233.8859187792126</v>
      </c>
    </row>
    <row r="43" spans="1:13" x14ac:dyDescent="0.25">
      <c r="A43" s="5" t="s">
        <v>66</v>
      </c>
      <c r="B43" s="6">
        <v>45993</v>
      </c>
      <c r="C43" s="5" t="s">
        <v>24</v>
      </c>
      <c r="D43" s="5" t="s">
        <v>15</v>
      </c>
      <c r="E43" s="7">
        <v>11615</v>
      </c>
      <c r="F43" s="6">
        <v>45993.607638888891</v>
      </c>
      <c r="G43" s="6">
        <v>45993.628472222219</v>
      </c>
      <c r="H43" s="5" t="s">
        <v>25</v>
      </c>
      <c r="I43" s="5" t="s">
        <v>26</v>
      </c>
      <c r="J43" s="8">
        <v>243.04671770305839</v>
      </c>
      <c r="K43" s="8">
        <v>242.84617438554429</v>
      </c>
      <c r="L43" s="8">
        <v>513.85957508990134</v>
      </c>
      <c r="M43" s="8">
        <v>512.79953533154162</v>
      </c>
    </row>
    <row r="44" spans="1:13" x14ac:dyDescent="0.25">
      <c r="A44" s="5" t="s">
        <v>67</v>
      </c>
      <c r="B44" s="6">
        <v>45995</v>
      </c>
      <c r="C44" s="5" t="s">
        <v>28</v>
      </c>
      <c r="D44" s="5" t="s">
        <v>15</v>
      </c>
      <c r="E44" s="7">
        <v>4402</v>
      </c>
      <c r="F44" s="6">
        <v>45995.645833333343</v>
      </c>
      <c r="G44" s="6">
        <v>45995.6875</v>
      </c>
      <c r="H44" s="5" t="s">
        <v>16</v>
      </c>
      <c r="I44" s="5" t="s">
        <v>17</v>
      </c>
      <c r="J44" s="8">
        <v>421.41044163407503</v>
      </c>
      <c r="K44" s="8">
        <v>423.7189337977801</v>
      </c>
      <c r="L44" s="8">
        <v>229.50859488178131</v>
      </c>
      <c r="M44" s="8">
        <v>229.84314797088291</v>
      </c>
    </row>
    <row r="45" spans="1:13" x14ac:dyDescent="0.25">
      <c r="A45" s="5" t="s">
        <v>68</v>
      </c>
      <c r="B45" s="6">
        <v>45996</v>
      </c>
      <c r="C45" s="5" t="s">
        <v>28</v>
      </c>
      <c r="D45" s="5" t="s">
        <v>15</v>
      </c>
      <c r="E45" s="7">
        <v>6517</v>
      </c>
      <c r="F45" s="6">
        <v>45996.673611111109</v>
      </c>
      <c r="G45" s="6">
        <v>45996.722222222219</v>
      </c>
      <c r="H45" s="5" t="s">
        <v>25</v>
      </c>
      <c r="I45" s="5" t="s">
        <v>17</v>
      </c>
      <c r="J45" s="8">
        <v>422.74812806583537</v>
      </c>
      <c r="K45" s="8">
        <v>423.32744416297157</v>
      </c>
      <c r="L45" s="8">
        <v>230.20559632546369</v>
      </c>
      <c r="M45" s="8">
        <v>230.80930693306379</v>
      </c>
    </row>
    <row r="46" spans="1:13" x14ac:dyDescent="0.25">
      <c r="A46" s="5" t="s">
        <v>69</v>
      </c>
      <c r="B46" s="6">
        <v>45995</v>
      </c>
      <c r="C46" s="5" t="s">
        <v>14</v>
      </c>
      <c r="D46" s="5" t="s">
        <v>20</v>
      </c>
      <c r="E46" s="7">
        <v>21291</v>
      </c>
      <c r="F46" s="6">
        <v>45995.75</v>
      </c>
      <c r="G46" s="6">
        <v>45995.833333333343</v>
      </c>
      <c r="H46" s="5" t="s">
        <v>22</v>
      </c>
      <c r="I46" s="5" t="s">
        <v>17</v>
      </c>
      <c r="J46" s="8">
        <v>185.38602240395019</v>
      </c>
      <c r="K46" s="8">
        <v>184.75916294713781</v>
      </c>
      <c r="L46" s="8">
        <v>230.71647541347591</v>
      </c>
      <c r="M46" s="8">
        <v>229.21992415256369</v>
      </c>
    </row>
    <row r="47" spans="1:13" x14ac:dyDescent="0.25">
      <c r="A47" s="5" t="s">
        <v>70</v>
      </c>
      <c r="B47" s="6">
        <v>45993</v>
      </c>
      <c r="C47" s="5" t="s">
        <v>24</v>
      </c>
      <c r="D47" s="5" t="s">
        <v>15</v>
      </c>
      <c r="E47" s="7">
        <v>15185</v>
      </c>
      <c r="F47" s="6">
        <v>45993.722222222219</v>
      </c>
      <c r="G47" s="6">
        <v>45993.756944444453</v>
      </c>
      <c r="H47" s="5" t="s">
        <v>25</v>
      </c>
      <c r="I47" s="5" t="s">
        <v>26</v>
      </c>
      <c r="J47" s="8">
        <v>244.48814808168251</v>
      </c>
      <c r="K47" s="8">
        <v>243.1472729834899</v>
      </c>
      <c r="L47" s="8">
        <v>508.54362020305871</v>
      </c>
      <c r="M47" s="8">
        <v>508.59935079400577</v>
      </c>
    </row>
    <row r="48" spans="1:13" x14ac:dyDescent="0.25">
      <c r="A48" s="5" t="s">
        <v>71</v>
      </c>
      <c r="B48" s="6">
        <v>45996</v>
      </c>
      <c r="C48" s="5" t="s">
        <v>28</v>
      </c>
      <c r="D48" s="5" t="s">
        <v>15</v>
      </c>
      <c r="E48" s="7">
        <v>7312</v>
      </c>
      <c r="F48" s="6">
        <v>45996.604166666657</v>
      </c>
      <c r="G48" s="6">
        <v>45996.708333333343</v>
      </c>
      <c r="H48" s="5" t="s">
        <v>25</v>
      </c>
      <c r="I48" s="5" t="s">
        <v>17</v>
      </c>
      <c r="J48" s="8">
        <v>424.03776625083458</v>
      </c>
      <c r="K48" s="8">
        <v>422.98640389650421</v>
      </c>
      <c r="L48" s="8">
        <v>229.93022864326369</v>
      </c>
      <c r="M48" s="8">
        <v>230.74767503084269</v>
      </c>
    </row>
    <row r="49" spans="1:13" x14ac:dyDescent="0.25">
      <c r="A49" s="5" t="s">
        <v>72</v>
      </c>
      <c r="B49" s="6">
        <v>45992</v>
      </c>
      <c r="C49" s="5" t="s">
        <v>24</v>
      </c>
      <c r="D49" s="5" t="s">
        <v>20</v>
      </c>
      <c r="E49" s="7">
        <v>7136</v>
      </c>
      <c r="F49" s="6">
        <v>45992.725694444453</v>
      </c>
      <c r="G49" s="6">
        <v>45992.75</v>
      </c>
      <c r="H49" s="5" t="s">
        <v>16</v>
      </c>
      <c r="I49" s="5" t="s">
        <v>26</v>
      </c>
      <c r="J49" s="8">
        <v>244.54904154140581</v>
      </c>
      <c r="K49" s="8">
        <v>243.54098633111411</v>
      </c>
      <c r="L49" s="8">
        <v>512.10908420817827</v>
      </c>
      <c r="M49" s="8">
        <v>511.62209460054731</v>
      </c>
    </row>
    <row r="50" spans="1:13" x14ac:dyDescent="0.25">
      <c r="A50" s="5" t="s">
        <v>73</v>
      </c>
      <c r="B50" s="6">
        <v>45996</v>
      </c>
      <c r="C50" s="5" t="s">
        <v>19</v>
      </c>
      <c r="D50" s="5" t="s">
        <v>15</v>
      </c>
      <c r="E50" s="7">
        <v>6897</v>
      </c>
      <c r="F50" s="6">
        <v>45996.614583333343</v>
      </c>
      <c r="G50" s="6">
        <v>45996.659722222219</v>
      </c>
      <c r="H50" s="5" t="s">
        <v>16</v>
      </c>
      <c r="I50" s="5" t="s">
        <v>17</v>
      </c>
      <c r="J50" s="8">
        <v>195.94850041577871</v>
      </c>
      <c r="K50" s="8">
        <v>195.12026718785179</v>
      </c>
      <c r="L50" s="8">
        <v>230.23506381865721</v>
      </c>
      <c r="M50" s="8">
        <v>230.17477233451709</v>
      </c>
    </row>
    <row r="51" spans="1:13" x14ac:dyDescent="0.25">
      <c r="A51" s="5" t="s">
        <v>74</v>
      </c>
      <c r="B51" s="6">
        <v>45995</v>
      </c>
      <c r="C51" s="5" t="s">
        <v>24</v>
      </c>
      <c r="D51" s="5" t="s">
        <v>15</v>
      </c>
      <c r="E51" s="7">
        <v>10756</v>
      </c>
      <c r="F51" s="6">
        <v>45995.725694444453</v>
      </c>
      <c r="G51" s="6">
        <v>45995.746527777781</v>
      </c>
      <c r="H51" s="5" t="s">
        <v>25</v>
      </c>
      <c r="I51" s="5" t="s">
        <v>26</v>
      </c>
      <c r="J51" s="8">
        <v>248.4414794136365</v>
      </c>
      <c r="K51" s="8">
        <v>248.4548128803589</v>
      </c>
      <c r="L51" s="8">
        <v>505.62327997630632</v>
      </c>
      <c r="M51" s="8">
        <v>506.03451197020001</v>
      </c>
    </row>
    <row r="52" spans="1:13" x14ac:dyDescent="0.25">
      <c r="A52" s="5" t="s">
        <v>75</v>
      </c>
      <c r="B52" s="6">
        <v>45996</v>
      </c>
      <c r="C52" s="5" t="s">
        <v>24</v>
      </c>
      <c r="D52" s="5" t="s">
        <v>20</v>
      </c>
      <c r="E52" s="7">
        <v>5425</v>
      </c>
      <c r="F52" s="6">
        <v>45996.736111111109</v>
      </c>
      <c r="G52" s="6">
        <v>45996.8125</v>
      </c>
      <c r="H52" s="5" t="s">
        <v>16</v>
      </c>
      <c r="I52" s="5" t="s">
        <v>26</v>
      </c>
      <c r="J52" s="8">
        <v>247.68102117355221</v>
      </c>
      <c r="K52" s="8">
        <v>247.5344522367229</v>
      </c>
      <c r="L52" s="8">
        <v>496.30195506481562</v>
      </c>
      <c r="M52" s="8">
        <v>498.03303582190409</v>
      </c>
    </row>
    <row r="53" spans="1:13" x14ac:dyDescent="0.25">
      <c r="A53" s="5" t="s">
        <v>76</v>
      </c>
      <c r="B53" s="6">
        <v>45995</v>
      </c>
      <c r="C53" s="5" t="s">
        <v>24</v>
      </c>
      <c r="D53" s="5" t="s">
        <v>20</v>
      </c>
      <c r="E53" s="7">
        <v>15700</v>
      </c>
      <c r="F53" s="6">
        <v>45995.715277777781</v>
      </c>
      <c r="G53" s="6">
        <v>45995.760416666657</v>
      </c>
      <c r="H53" s="5" t="s">
        <v>25</v>
      </c>
      <c r="I53" s="5" t="s">
        <v>26</v>
      </c>
      <c r="J53" s="8">
        <v>248.0520684550678</v>
      </c>
      <c r="K53" s="8">
        <v>248.33457244137401</v>
      </c>
      <c r="L53" s="8">
        <v>505.15071853992242</v>
      </c>
      <c r="M53" s="8">
        <v>503.96223846573753</v>
      </c>
    </row>
    <row r="54" spans="1:13" x14ac:dyDescent="0.25">
      <c r="A54" s="5" t="s">
        <v>77</v>
      </c>
      <c r="B54" s="6">
        <v>45995</v>
      </c>
      <c r="C54" s="5" t="s">
        <v>28</v>
      </c>
      <c r="D54" s="5" t="s">
        <v>20</v>
      </c>
      <c r="E54" s="7">
        <v>4516</v>
      </c>
      <c r="F54" s="6">
        <v>45995.631944444453</v>
      </c>
      <c r="G54" s="6">
        <v>45995.697916666657</v>
      </c>
      <c r="H54" s="5" t="s">
        <v>16</v>
      </c>
      <c r="I54" s="5" t="s">
        <v>17</v>
      </c>
      <c r="J54" s="8">
        <v>421.75601291920572</v>
      </c>
      <c r="K54" s="8">
        <v>424.39698012348629</v>
      </c>
      <c r="L54" s="8">
        <v>229.42383997746711</v>
      </c>
      <c r="M54" s="8">
        <v>230.5111679693706</v>
      </c>
    </row>
    <row r="55" spans="1:13" x14ac:dyDescent="0.25">
      <c r="A55" s="5" t="s">
        <v>78</v>
      </c>
      <c r="B55" s="6">
        <v>45995</v>
      </c>
      <c r="C55" s="5" t="s">
        <v>28</v>
      </c>
      <c r="D55" s="5" t="s">
        <v>15</v>
      </c>
      <c r="E55" s="7">
        <v>14762</v>
      </c>
      <c r="F55" s="6">
        <v>45995.618055555547</v>
      </c>
      <c r="G55" s="6">
        <v>45995.659722222219</v>
      </c>
      <c r="H55" s="5" t="s">
        <v>25</v>
      </c>
      <c r="I55" s="5" t="s">
        <v>17</v>
      </c>
      <c r="J55" s="8">
        <v>422.07325785634288</v>
      </c>
      <c r="K55" s="8">
        <v>422.73771699308259</v>
      </c>
      <c r="L55" s="8">
        <v>229.52136221026981</v>
      </c>
      <c r="M55" s="8">
        <v>229.35477288240079</v>
      </c>
    </row>
    <row r="56" spans="1:13" x14ac:dyDescent="0.25">
      <c r="A56" s="5" t="s">
        <v>79</v>
      </c>
      <c r="B56" s="6">
        <v>45994</v>
      </c>
      <c r="C56" s="5" t="s">
        <v>28</v>
      </c>
      <c r="D56" s="5" t="s">
        <v>20</v>
      </c>
      <c r="E56" s="7">
        <v>12123</v>
      </c>
      <c r="F56" s="6">
        <v>45994.635416666657</v>
      </c>
      <c r="G56" s="6">
        <v>45994.684027777781</v>
      </c>
      <c r="H56" s="5" t="s">
        <v>22</v>
      </c>
      <c r="I56" s="5" t="s">
        <v>17</v>
      </c>
      <c r="J56" s="8">
        <v>422.59268786608112</v>
      </c>
      <c r="K56" s="8">
        <v>424.10629689900281</v>
      </c>
      <c r="L56" s="8">
        <v>230.2551936633663</v>
      </c>
      <c r="M56" s="8">
        <v>230.8615228467238</v>
      </c>
    </row>
    <row r="57" spans="1:13" x14ac:dyDescent="0.25">
      <c r="A57" s="5" t="s">
        <v>80</v>
      </c>
      <c r="B57" s="6">
        <v>45995</v>
      </c>
      <c r="C57" s="5" t="s">
        <v>19</v>
      </c>
      <c r="D57" s="5" t="s">
        <v>15</v>
      </c>
      <c r="E57" s="7">
        <v>11482</v>
      </c>
      <c r="F57" s="6">
        <v>45995.711805555547</v>
      </c>
      <c r="G57" s="6">
        <v>45995.75</v>
      </c>
      <c r="H57" s="5" t="s">
        <v>22</v>
      </c>
      <c r="I57" s="5" t="s">
        <v>17</v>
      </c>
      <c r="J57" s="8">
        <v>197.6087253882859</v>
      </c>
      <c r="K57" s="8">
        <v>197.28304365307889</v>
      </c>
      <c r="L57" s="8">
        <v>230.76123561183289</v>
      </c>
      <c r="M57" s="8">
        <v>230.71647541347591</v>
      </c>
    </row>
    <row r="58" spans="1:13" x14ac:dyDescent="0.25">
      <c r="A58" s="5" t="s">
        <v>81</v>
      </c>
      <c r="B58" s="6">
        <v>45996</v>
      </c>
      <c r="C58" s="5" t="s">
        <v>32</v>
      </c>
      <c r="D58" s="5" t="s">
        <v>20</v>
      </c>
      <c r="E58" s="7">
        <v>9085</v>
      </c>
      <c r="F58" s="6">
        <v>45996.690972222219</v>
      </c>
      <c r="G58" s="6">
        <v>45996.746527777781</v>
      </c>
      <c r="H58" s="5" t="s">
        <v>25</v>
      </c>
      <c r="I58" s="5" t="s">
        <v>26</v>
      </c>
      <c r="J58" s="8">
        <v>172.52807241309699</v>
      </c>
      <c r="K58" s="8">
        <v>174.33954668468121</v>
      </c>
      <c r="L58" s="8">
        <v>499.56065900688839</v>
      </c>
      <c r="M58" s="8">
        <v>495.62190229642857</v>
      </c>
    </row>
    <row r="59" spans="1:13" x14ac:dyDescent="0.25">
      <c r="A59" s="5" t="s">
        <v>82</v>
      </c>
      <c r="B59" s="6">
        <v>45992</v>
      </c>
      <c r="C59" s="5" t="s">
        <v>14</v>
      </c>
      <c r="D59" s="5" t="s">
        <v>15</v>
      </c>
      <c r="E59" s="7">
        <v>9790</v>
      </c>
      <c r="F59" s="6">
        <v>45992.677083333343</v>
      </c>
      <c r="G59" s="6">
        <v>45992.756944444453</v>
      </c>
      <c r="H59" s="5" t="s">
        <v>25</v>
      </c>
      <c r="I59" s="5" t="s">
        <v>17</v>
      </c>
      <c r="J59" s="8">
        <v>186.2122893961014</v>
      </c>
      <c r="K59" s="8">
        <v>185.66525161716731</v>
      </c>
      <c r="L59" s="8">
        <v>232.15331892452559</v>
      </c>
      <c r="M59" s="8">
        <v>232.95261757763751</v>
      </c>
    </row>
    <row r="60" spans="1:13" x14ac:dyDescent="0.25">
      <c r="A60" s="5" t="s">
        <v>83</v>
      </c>
      <c r="B60" s="6">
        <v>45996</v>
      </c>
      <c r="C60" s="5" t="s">
        <v>24</v>
      </c>
      <c r="D60" s="5" t="s">
        <v>15</v>
      </c>
      <c r="E60" s="7">
        <v>24514</v>
      </c>
      <c r="F60" s="6">
        <v>45996.666666666657</v>
      </c>
      <c r="G60" s="6">
        <v>45996.743055555547</v>
      </c>
      <c r="H60" s="5" t="s">
        <v>22</v>
      </c>
      <c r="I60" s="5" t="s">
        <v>26</v>
      </c>
      <c r="J60" s="8">
        <v>249.02059118437981</v>
      </c>
      <c r="K60" s="8">
        <v>247.66027872547301</v>
      </c>
      <c r="L60" s="8">
        <v>500.4431474169678</v>
      </c>
      <c r="M60" s="8">
        <v>496.08843225510418</v>
      </c>
    </row>
    <row r="61" spans="1:13" x14ac:dyDescent="0.25">
      <c r="A61" s="5" t="s">
        <v>84</v>
      </c>
      <c r="B61" s="6">
        <v>45992</v>
      </c>
      <c r="C61" s="5" t="s">
        <v>28</v>
      </c>
      <c r="D61" s="5" t="s">
        <v>15</v>
      </c>
      <c r="E61" s="7">
        <v>4291</v>
      </c>
      <c r="F61" s="6">
        <v>45992.621527777781</v>
      </c>
      <c r="G61" s="6">
        <v>45992.670138888891</v>
      </c>
      <c r="H61" s="5" t="s">
        <v>16</v>
      </c>
      <c r="I61" s="5" t="s">
        <v>17</v>
      </c>
      <c r="J61" s="8">
        <v>415.25821572354891</v>
      </c>
      <c r="K61" s="8">
        <v>414.37267077747481</v>
      </c>
      <c r="L61" s="8">
        <v>234.66873438775141</v>
      </c>
      <c r="M61" s="8">
        <v>232.5646195532687</v>
      </c>
    </row>
    <row r="62" spans="1:13" x14ac:dyDescent="0.25">
      <c r="A62" s="5" t="s">
        <v>85</v>
      </c>
      <c r="B62" s="6">
        <v>45995</v>
      </c>
      <c r="C62" s="5" t="s">
        <v>28</v>
      </c>
      <c r="D62" s="5" t="s">
        <v>20</v>
      </c>
      <c r="E62" s="7">
        <v>14880</v>
      </c>
      <c r="F62" s="6">
        <v>45995.791666666657</v>
      </c>
      <c r="G62" s="6">
        <v>45995.875</v>
      </c>
      <c r="H62" s="5" t="s">
        <v>22</v>
      </c>
      <c r="I62" s="5" t="s">
        <v>17</v>
      </c>
      <c r="J62" s="8">
        <v>423.22138547717373</v>
      </c>
      <c r="K62" s="8">
        <v>423.53798533494961</v>
      </c>
      <c r="L62" s="8">
        <v>229.89603822687289</v>
      </c>
      <c r="M62" s="8">
        <v>229.84655109885469</v>
      </c>
    </row>
    <row r="63" spans="1:13" x14ac:dyDescent="0.25">
      <c r="A63" s="5" t="s">
        <v>86</v>
      </c>
      <c r="B63" s="6">
        <v>45996</v>
      </c>
      <c r="C63" s="5" t="s">
        <v>24</v>
      </c>
      <c r="D63" s="5" t="s">
        <v>15</v>
      </c>
      <c r="E63" s="7">
        <v>9063</v>
      </c>
      <c r="F63" s="6">
        <v>45996.729166666657</v>
      </c>
      <c r="G63" s="6">
        <v>45996.802083333343</v>
      </c>
      <c r="H63" s="5" t="s">
        <v>25</v>
      </c>
      <c r="I63" s="5" t="s">
        <v>26</v>
      </c>
      <c r="J63" s="8">
        <v>247.7853591957014</v>
      </c>
      <c r="K63" s="8">
        <v>246.8875693924727</v>
      </c>
      <c r="L63" s="8">
        <v>497.4522603930165</v>
      </c>
      <c r="M63" s="8">
        <v>497.53835673476249</v>
      </c>
    </row>
    <row r="64" spans="1:13" x14ac:dyDescent="0.25">
      <c r="A64" s="5" t="s">
        <v>87</v>
      </c>
      <c r="B64" s="6">
        <v>45995</v>
      </c>
      <c r="C64" s="5" t="s">
        <v>28</v>
      </c>
      <c r="D64" s="5" t="s">
        <v>15</v>
      </c>
      <c r="E64" s="7">
        <v>20733</v>
      </c>
      <c r="F64" s="6">
        <v>45995.618055555547</v>
      </c>
      <c r="G64" s="6">
        <v>45995.666666666657</v>
      </c>
      <c r="H64" s="5" t="s">
        <v>22</v>
      </c>
      <c r="I64" s="5" t="s">
        <v>17</v>
      </c>
      <c r="J64" s="8">
        <v>422.07325785634288</v>
      </c>
      <c r="K64" s="8">
        <v>423.24572978743907</v>
      </c>
      <c r="L64" s="8">
        <v>229.52136221026981</v>
      </c>
      <c r="M64" s="8">
        <v>229.14269983421349</v>
      </c>
    </row>
    <row r="65" spans="1:13" x14ac:dyDescent="0.25">
      <c r="A65" s="5" t="s">
        <v>88</v>
      </c>
      <c r="B65" s="6">
        <v>45996</v>
      </c>
      <c r="C65" s="5" t="s">
        <v>19</v>
      </c>
      <c r="D65" s="5" t="s">
        <v>15</v>
      </c>
      <c r="E65" s="7">
        <v>5296</v>
      </c>
      <c r="F65" s="6">
        <v>45996.791666666657</v>
      </c>
      <c r="G65" s="6">
        <v>45996.836805555547</v>
      </c>
      <c r="H65" s="5" t="s">
        <v>16</v>
      </c>
      <c r="I65" s="5" t="s">
        <v>17</v>
      </c>
      <c r="J65" s="8">
        <v>195.48522744704059</v>
      </c>
      <c r="K65" s="8">
        <v>194.8454715843167</v>
      </c>
      <c r="L65" s="8">
        <v>231.7901734346006</v>
      </c>
      <c r="M65" s="8">
        <v>233.36401711947951</v>
      </c>
    </row>
    <row r="66" spans="1:13" x14ac:dyDescent="0.25">
      <c r="A66" s="5" t="s">
        <v>89</v>
      </c>
      <c r="B66" s="6">
        <v>45996</v>
      </c>
      <c r="C66" s="5" t="s">
        <v>14</v>
      </c>
      <c r="D66" s="5" t="s">
        <v>15</v>
      </c>
      <c r="E66" s="7">
        <v>11208</v>
      </c>
      <c r="F66" s="6">
        <v>45996.694444444453</v>
      </c>
      <c r="G66" s="6">
        <v>45996.743055555547</v>
      </c>
      <c r="H66" s="5" t="s">
        <v>25</v>
      </c>
      <c r="I66" s="5" t="s">
        <v>17</v>
      </c>
      <c r="J66" s="8">
        <v>186.2853857611195</v>
      </c>
      <c r="K66" s="8">
        <v>185.4619091181838</v>
      </c>
      <c r="L66" s="8">
        <v>230.78418702373759</v>
      </c>
      <c r="M66" s="8">
        <v>230.9459829126597</v>
      </c>
    </row>
    <row r="67" spans="1:13" x14ac:dyDescent="0.25">
      <c r="A67" s="5" t="s">
        <v>90</v>
      </c>
      <c r="B67" s="6">
        <v>45992</v>
      </c>
      <c r="C67" s="5" t="s">
        <v>28</v>
      </c>
      <c r="D67" s="5" t="s">
        <v>15</v>
      </c>
      <c r="E67" s="7">
        <v>7555</v>
      </c>
      <c r="F67" s="6">
        <v>45992.638888888891</v>
      </c>
      <c r="G67" s="6">
        <v>45992.6875</v>
      </c>
      <c r="H67" s="5" t="s">
        <v>16</v>
      </c>
      <c r="I67" s="5" t="s">
        <v>17</v>
      </c>
      <c r="J67" s="8">
        <v>414.5596728754652</v>
      </c>
      <c r="K67" s="8">
        <v>414.80857502878922</v>
      </c>
      <c r="L67" s="8">
        <v>233.78714968548621</v>
      </c>
      <c r="M67" s="8">
        <v>231.850123736049</v>
      </c>
    </row>
    <row r="68" spans="1:13" x14ac:dyDescent="0.25">
      <c r="A68" s="5" t="s">
        <v>91</v>
      </c>
      <c r="B68" s="6">
        <v>45996</v>
      </c>
      <c r="C68" s="5" t="s">
        <v>14</v>
      </c>
      <c r="D68" s="5" t="s">
        <v>15</v>
      </c>
      <c r="E68" s="7">
        <v>4329</v>
      </c>
      <c r="F68" s="6">
        <v>45996.770833333343</v>
      </c>
      <c r="G68" s="6">
        <v>45996.8125</v>
      </c>
      <c r="H68" s="5" t="s">
        <v>16</v>
      </c>
      <c r="I68" s="5" t="s">
        <v>17</v>
      </c>
      <c r="J68" s="8">
        <v>185.31146880643311</v>
      </c>
      <c r="K68" s="8">
        <v>185.77593520768261</v>
      </c>
      <c r="L68" s="8">
        <v>231.25114979370031</v>
      </c>
      <c r="M68" s="8">
        <v>232.29803948550349</v>
      </c>
    </row>
    <row r="69" spans="1:13" x14ac:dyDescent="0.25">
      <c r="A69" s="5" t="s">
        <v>92</v>
      </c>
      <c r="B69" s="6">
        <v>45994</v>
      </c>
      <c r="C69" s="5" t="s">
        <v>19</v>
      </c>
      <c r="D69" s="5" t="s">
        <v>15</v>
      </c>
      <c r="E69" s="7">
        <v>5600</v>
      </c>
      <c r="F69" s="6">
        <v>45994.611111111109</v>
      </c>
      <c r="G69" s="6">
        <v>45994.631944444453</v>
      </c>
      <c r="H69" s="5" t="s">
        <v>16</v>
      </c>
      <c r="I69" s="5" t="s">
        <v>17</v>
      </c>
      <c r="J69" s="8">
        <v>193.01897481680371</v>
      </c>
      <c r="K69" s="8">
        <v>192.65578996543809</v>
      </c>
      <c r="L69" s="8">
        <v>229.78612734388599</v>
      </c>
      <c r="M69" s="8">
        <v>230.28476705234829</v>
      </c>
    </row>
    <row r="70" spans="1:13" x14ac:dyDescent="0.25">
      <c r="A70" s="5" t="s">
        <v>93</v>
      </c>
      <c r="B70" s="6">
        <v>45995</v>
      </c>
      <c r="C70" s="5" t="s">
        <v>28</v>
      </c>
      <c r="D70" s="5" t="s">
        <v>20</v>
      </c>
      <c r="E70" s="7">
        <v>18586</v>
      </c>
      <c r="F70" s="6">
        <v>45995.625</v>
      </c>
      <c r="G70" s="6">
        <v>45995.71875</v>
      </c>
      <c r="H70" s="5" t="s">
        <v>22</v>
      </c>
      <c r="I70" s="5" t="s">
        <v>17</v>
      </c>
      <c r="J70" s="8">
        <v>422.59079833986328</v>
      </c>
      <c r="K70" s="8">
        <v>424.37951396349217</v>
      </c>
      <c r="L70" s="8">
        <v>229.55534016220631</v>
      </c>
      <c r="M70" s="8">
        <v>230.72601104001191</v>
      </c>
    </row>
    <row r="71" spans="1:13" x14ac:dyDescent="0.25">
      <c r="A71" s="5" t="s">
        <v>94</v>
      </c>
      <c r="B71" s="6">
        <v>45995</v>
      </c>
      <c r="C71" s="5" t="s">
        <v>24</v>
      </c>
      <c r="D71" s="5" t="s">
        <v>15</v>
      </c>
      <c r="E71" s="7">
        <v>9719</v>
      </c>
      <c r="F71" s="6">
        <v>45995.715277777781</v>
      </c>
      <c r="G71" s="6">
        <v>45995.767361111109</v>
      </c>
      <c r="H71" s="5" t="s">
        <v>25</v>
      </c>
      <c r="I71" s="5" t="s">
        <v>26</v>
      </c>
      <c r="J71" s="8">
        <v>248.0520684550678</v>
      </c>
      <c r="K71" s="8">
        <v>248.82532094975451</v>
      </c>
      <c r="L71" s="8">
        <v>505.15071853992242</v>
      </c>
      <c r="M71" s="8">
        <v>503.78050177987228</v>
      </c>
    </row>
    <row r="72" spans="1:13" x14ac:dyDescent="0.25">
      <c r="A72" s="5" t="s">
        <v>95</v>
      </c>
      <c r="B72" s="6">
        <v>45995</v>
      </c>
      <c r="C72" s="5" t="s">
        <v>28</v>
      </c>
      <c r="D72" s="5" t="s">
        <v>15</v>
      </c>
      <c r="E72" s="7">
        <v>9921</v>
      </c>
      <c r="F72" s="6">
        <v>45995.680555555547</v>
      </c>
      <c r="G72" s="6">
        <v>45995.704861111109</v>
      </c>
      <c r="H72" s="5" t="s">
        <v>22</v>
      </c>
      <c r="I72" s="5" t="s">
        <v>17</v>
      </c>
      <c r="J72" s="8">
        <v>423.74011114463389</v>
      </c>
      <c r="K72" s="8">
        <v>423.83678036847527</v>
      </c>
      <c r="L72" s="8">
        <v>230.00230350583311</v>
      </c>
      <c r="M72" s="8">
        <v>230.57092883346161</v>
      </c>
    </row>
    <row r="73" spans="1:13" x14ac:dyDescent="0.25">
      <c r="A73" s="5" t="s">
        <v>96</v>
      </c>
      <c r="B73" s="6">
        <v>45995</v>
      </c>
      <c r="C73" s="5" t="s">
        <v>14</v>
      </c>
      <c r="D73" s="5" t="s">
        <v>20</v>
      </c>
      <c r="E73" s="7">
        <v>7312</v>
      </c>
      <c r="F73" s="6">
        <v>45995.638888888891</v>
      </c>
      <c r="G73" s="6">
        <v>45995.663194444453</v>
      </c>
      <c r="H73" s="5" t="s">
        <v>16</v>
      </c>
      <c r="I73" s="5" t="s">
        <v>17</v>
      </c>
      <c r="J73" s="8">
        <v>185.08029715369119</v>
      </c>
      <c r="K73" s="8">
        <v>185.34022409898341</v>
      </c>
      <c r="L73" s="8">
        <v>229.81060184941239</v>
      </c>
      <c r="M73" s="8">
        <v>229.26221180320169</v>
      </c>
    </row>
    <row r="74" spans="1:13" x14ac:dyDescent="0.25">
      <c r="A74" s="5" t="s">
        <v>97</v>
      </c>
      <c r="B74" s="6">
        <v>45996</v>
      </c>
      <c r="C74" s="5" t="s">
        <v>14</v>
      </c>
      <c r="D74" s="5" t="s">
        <v>20</v>
      </c>
      <c r="E74" s="7">
        <v>3905</v>
      </c>
      <c r="F74" s="6">
        <v>45996.65625</v>
      </c>
      <c r="G74" s="6">
        <v>45996.753472222219</v>
      </c>
      <c r="H74" s="5" t="s">
        <v>16</v>
      </c>
      <c r="I74" s="5" t="s">
        <v>17</v>
      </c>
      <c r="J74" s="8">
        <v>186.00141819376029</v>
      </c>
      <c r="K74" s="8">
        <v>185.49782908286929</v>
      </c>
      <c r="L74" s="8">
        <v>230.0352250262591</v>
      </c>
      <c r="M74" s="8">
        <v>230.82537775831909</v>
      </c>
    </row>
    <row r="75" spans="1:13" x14ac:dyDescent="0.25">
      <c r="A75" s="5" t="s">
        <v>98</v>
      </c>
      <c r="B75" s="6">
        <v>45995</v>
      </c>
      <c r="C75" s="5" t="s">
        <v>14</v>
      </c>
      <c r="D75" s="5" t="s">
        <v>20</v>
      </c>
      <c r="E75" s="7">
        <v>15641</v>
      </c>
      <c r="F75" s="6">
        <v>45995.604166666657</v>
      </c>
      <c r="G75" s="6">
        <v>45995.652777777781</v>
      </c>
      <c r="H75" s="5" t="s">
        <v>25</v>
      </c>
      <c r="I75" s="5" t="s">
        <v>17</v>
      </c>
      <c r="J75" s="8">
        <v>185.15528845340199</v>
      </c>
      <c r="K75" s="8">
        <v>185.28870561908411</v>
      </c>
      <c r="L75" s="8">
        <v>229.45103909436381</v>
      </c>
      <c r="M75" s="8">
        <v>229.2684441028924</v>
      </c>
    </row>
    <row r="76" spans="1:13" x14ac:dyDescent="0.25">
      <c r="A76" s="5" t="s">
        <v>99</v>
      </c>
      <c r="B76" s="6">
        <v>45994</v>
      </c>
      <c r="C76" s="5" t="s">
        <v>24</v>
      </c>
      <c r="D76" s="5" t="s">
        <v>20</v>
      </c>
      <c r="E76" s="7">
        <v>12648</v>
      </c>
      <c r="F76" s="6">
        <v>45994.65625</v>
      </c>
      <c r="G76" s="6">
        <v>45994.680555555547</v>
      </c>
      <c r="H76" s="5" t="s">
        <v>22</v>
      </c>
      <c r="I76" s="5" t="s">
        <v>26</v>
      </c>
      <c r="J76" s="8">
        <v>245.0299502617944</v>
      </c>
      <c r="K76" s="8">
        <v>243.95992015580239</v>
      </c>
      <c r="L76" s="8">
        <v>509.55885683330871</v>
      </c>
      <c r="M76" s="8">
        <v>510.12419526785447</v>
      </c>
    </row>
    <row r="77" spans="1:13" x14ac:dyDescent="0.25">
      <c r="A77" s="5" t="s">
        <v>100</v>
      </c>
      <c r="B77" s="6">
        <v>45992</v>
      </c>
      <c r="C77" s="5" t="s">
        <v>28</v>
      </c>
      <c r="D77" s="5" t="s">
        <v>20</v>
      </c>
      <c r="E77" s="7">
        <v>5437</v>
      </c>
      <c r="F77" s="6">
        <v>45992.677083333343</v>
      </c>
      <c r="G77" s="6">
        <v>45992.739583333343</v>
      </c>
      <c r="H77" s="5" t="s">
        <v>16</v>
      </c>
      <c r="I77" s="5" t="s">
        <v>17</v>
      </c>
      <c r="J77" s="8">
        <v>414.44813846502961</v>
      </c>
      <c r="K77" s="8">
        <v>418.09802842767039</v>
      </c>
      <c r="L77" s="8">
        <v>232.15331892452559</v>
      </c>
      <c r="M77" s="8">
        <v>232.62134408801131</v>
      </c>
    </row>
    <row r="78" spans="1:13" x14ac:dyDescent="0.25">
      <c r="A78" s="5" t="s">
        <v>101</v>
      </c>
      <c r="B78" s="6">
        <v>45993</v>
      </c>
      <c r="C78" s="5" t="s">
        <v>28</v>
      </c>
      <c r="D78" s="5" t="s">
        <v>20</v>
      </c>
      <c r="E78" s="7">
        <v>6987</v>
      </c>
      <c r="F78" s="6">
        <v>45993.715277777781</v>
      </c>
      <c r="G78" s="6">
        <v>45993.819444444453</v>
      </c>
      <c r="H78" s="5" t="s">
        <v>16</v>
      </c>
      <c r="I78" s="5" t="s">
        <v>17</v>
      </c>
      <c r="J78" s="8">
        <v>418.3979169146333</v>
      </c>
      <c r="K78" s="8">
        <v>422.10050755143521</v>
      </c>
      <c r="L78" s="8">
        <v>231.42166174652951</v>
      </c>
      <c r="M78" s="8">
        <v>230.5757132255402</v>
      </c>
    </row>
    <row r="79" spans="1:13" x14ac:dyDescent="0.25">
      <c r="A79" s="5" t="s">
        <v>102</v>
      </c>
      <c r="B79" s="6">
        <v>45995</v>
      </c>
      <c r="C79" s="5" t="s">
        <v>28</v>
      </c>
      <c r="D79" s="5" t="s">
        <v>20</v>
      </c>
      <c r="E79" s="7">
        <v>8917</v>
      </c>
      <c r="F79" s="6">
        <v>45995.732638888891</v>
      </c>
      <c r="G79" s="6">
        <v>45995.756944444453</v>
      </c>
      <c r="H79" s="5" t="s">
        <v>25</v>
      </c>
      <c r="I79" s="5" t="s">
        <v>17</v>
      </c>
      <c r="J79" s="8">
        <v>424.81819877571729</v>
      </c>
      <c r="K79" s="8">
        <v>423.17302262581143</v>
      </c>
      <c r="L79" s="8">
        <v>230.74122078789961</v>
      </c>
      <c r="M79" s="8">
        <v>230.28080208055451</v>
      </c>
    </row>
    <row r="80" spans="1:13" x14ac:dyDescent="0.25">
      <c r="A80" s="5" t="s">
        <v>103</v>
      </c>
      <c r="B80" s="6">
        <v>45992</v>
      </c>
      <c r="C80" s="5" t="s">
        <v>28</v>
      </c>
      <c r="D80" s="5" t="s">
        <v>15</v>
      </c>
      <c r="E80" s="7">
        <v>18601</v>
      </c>
      <c r="F80" s="6">
        <v>45992.732638888891</v>
      </c>
      <c r="G80" s="6">
        <v>45992.809027777781</v>
      </c>
      <c r="H80" s="5" t="s">
        <v>22</v>
      </c>
      <c r="I80" s="5" t="s">
        <v>17</v>
      </c>
      <c r="J80" s="8">
        <v>417.98222055630561</v>
      </c>
      <c r="K80" s="8">
        <v>417.37084537027442</v>
      </c>
      <c r="L80" s="8">
        <v>232.2627098170596</v>
      </c>
      <c r="M80" s="8">
        <v>232.67775607440501</v>
      </c>
    </row>
    <row r="81" spans="1:13" x14ac:dyDescent="0.25">
      <c r="A81" s="5" t="s">
        <v>104</v>
      </c>
      <c r="B81" s="6">
        <v>45995</v>
      </c>
      <c r="C81" s="5" t="s">
        <v>24</v>
      </c>
      <c r="D81" s="5" t="s">
        <v>20</v>
      </c>
      <c r="E81" s="7">
        <v>7727</v>
      </c>
      <c r="F81" s="6">
        <v>45995.770833333343</v>
      </c>
      <c r="G81" s="6">
        <v>45995.826388888891</v>
      </c>
      <c r="H81" s="5" t="s">
        <v>25</v>
      </c>
      <c r="I81" s="5" t="s">
        <v>26</v>
      </c>
      <c r="J81" s="8">
        <v>248.64083996776171</v>
      </c>
      <c r="K81" s="8">
        <v>248.86307279099529</v>
      </c>
      <c r="L81" s="8">
        <v>503.88953439777288</v>
      </c>
      <c r="M81" s="8">
        <v>502.61084137642428</v>
      </c>
    </row>
    <row r="82" spans="1:13" x14ac:dyDescent="0.25">
      <c r="A82" s="5" t="s">
        <v>105</v>
      </c>
      <c r="B82" s="6">
        <v>45993</v>
      </c>
      <c r="C82" s="5" t="s">
        <v>24</v>
      </c>
      <c r="D82" s="5" t="s">
        <v>20</v>
      </c>
      <c r="E82" s="7">
        <v>20629</v>
      </c>
      <c r="F82" s="6">
        <v>45993.611111111109</v>
      </c>
      <c r="G82" s="6">
        <v>45993.708333333343</v>
      </c>
      <c r="H82" s="5" t="s">
        <v>22</v>
      </c>
      <c r="I82" s="5" t="s">
        <v>26</v>
      </c>
      <c r="J82" s="8">
        <v>243.08988446844921</v>
      </c>
      <c r="K82" s="8">
        <v>243.92274569635691</v>
      </c>
      <c r="L82" s="8">
        <v>513.47012542134848</v>
      </c>
      <c r="M82" s="8">
        <v>507.34829829734241</v>
      </c>
    </row>
    <row r="83" spans="1:13" x14ac:dyDescent="0.25">
      <c r="A83" s="5" t="s">
        <v>106</v>
      </c>
      <c r="B83" s="6">
        <v>45993</v>
      </c>
      <c r="C83" s="5" t="s">
        <v>24</v>
      </c>
      <c r="D83" s="5" t="s">
        <v>15</v>
      </c>
      <c r="E83" s="7">
        <v>14707</v>
      </c>
      <c r="F83" s="6">
        <v>45993.71875</v>
      </c>
      <c r="G83" s="6">
        <v>45993.822916666657</v>
      </c>
      <c r="H83" s="5" t="s">
        <v>25</v>
      </c>
      <c r="I83" s="5" t="s">
        <v>26</v>
      </c>
      <c r="J83" s="8">
        <v>244.305348469222</v>
      </c>
      <c r="K83" s="8">
        <v>242.1261275132583</v>
      </c>
      <c r="L83" s="8">
        <v>508.36863856405063</v>
      </c>
      <c r="M83" s="8">
        <v>511.18271844938999</v>
      </c>
    </row>
    <row r="84" spans="1:13" x14ac:dyDescent="0.25">
      <c r="A84" s="5" t="s">
        <v>107</v>
      </c>
      <c r="B84" s="6">
        <v>45993</v>
      </c>
      <c r="C84" s="5" t="s">
        <v>24</v>
      </c>
      <c r="D84" s="5" t="s">
        <v>20</v>
      </c>
      <c r="E84" s="7">
        <v>8039</v>
      </c>
      <c r="F84" s="6">
        <v>45993.621527777781</v>
      </c>
      <c r="G84" s="6">
        <v>45993.642361111109</v>
      </c>
      <c r="H84" s="5" t="s">
        <v>16</v>
      </c>
      <c r="I84" s="5" t="s">
        <v>26</v>
      </c>
      <c r="J84" s="8">
        <v>243.34616776569209</v>
      </c>
      <c r="K84" s="8">
        <v>242.70597190042139</v>
      </c>
      <c r="L84" s="8">
        <v>513.00851428352371</v>
      </c>
      <c r="M84" s="8">
        <v>511.71836067092022</v>
      </c>
    </row>
    <row r="85" spans="1:13" x14ac:dyDescent="0.25">
      <c r="A85" s="5" t="s">
        <v>108</v>
      </c>
      <c r="B85" s="6">
        <v>45995</v>
      </c>
      <c r="C85" s="5" t="s">
        <v>32</v>
      </c>
      <c r="D85" s="5" t="s">
        <v>15</v>
      </c>
      <c r="E85" s="7">
        <v>10775</v>
      </c>
      <c r="F85" s="6">
        <v>45995.725694444453</v>
      </c>
      <c r="G85" s="6">
        <v>45995.75</v>
      </c>
      <c r="H85" s="5" t="s">
        <v>25</v>
      </c>
      <c r="I85" s="5" t="s">
        <v>26</v>
      </c>
      <c r="J85" s="8">
        <v>172.83215807629699</v>
      </c>
      <c r="K85" s="8">
        <v>172.58266532755189</v>
      </c>
      <c r="L85" s="8">
        <v>505.62327997630632</v>
      </c>
      <c r="M85" s="8">
        <v>505.71627959247968</v>
      </c>
    </row>
    <row r="86" spans="1:13" x14ac:dyDescent="0.25">
      <c r="A86" s="5" t="s">
        <v>109</v>
      </c>
      <c r="B86" s="6">
        <v>45995</v>
      </c>
      <c r="C86" s="5" t="s">
        <v>19</v>
      </c>
      <c r="D86" s="5" t="s">
        <v>15</v>
      </c>
      <c r="E86" s="7">
        <v>12659</v>
      </c>
      <c r="F86" s="6">
        <v>45995.78125</v>
      </c>
      <c r="G86" s="6">
        <v>45995.809027777781</v>
      </c>
      <c r="H86" s="5" t="s">
        <v>25</v>
      </c>
      <c r="I86" s="5" t="s">
        <v>17</v>
      </c>
      <c r="J86" s="8">
        <v>198.57914997213959</v>
      </c>
      <c r="K86" s="8">
        <v>198.69822176984039</v>
      </c>
      <c r="L86" s="8">
        <v>230.01871205280059</v>
      </c>
      <c r="M86" s="8">
        <v>229.2506896551246</v>
      </c>
    </row>
    <row r="87" spans="1:13" x14ac:dyDescent="0.25">
      <c r="A87" s="5" t="s">
        <v>110</v>
      </c>
      <c r="B87" s="6">
        <v>45995</v>
      </c>
      <c r="C87" s="5" t="s">
        <v>19</v>
      </c>
      <c r="D87" s="5" t="s">
        <v>15</v>
      </c>
      <c r="E87" s="7">
        <v>20044</v>
      </c>
      <c r="F87" s="6">
        <v>45995.659722222219</v>
      </c>
      <c r="G87" s="6">
        <v>45995.6875</v>
      </c>
      <c r="H87" s="5" t="s">
        <v>22</v>
      </c>
      <c r="I87" s="5" t="s">
        <v>17</v>
      </c>
      <c r="J87" s="8">
        <v>197.65134900480061</v>
      </c>
      <c r="K87" s="8">
        <v>197.4207046823899</v>
      </c>
      <c r="L87" s="8">
        <v>229.35477288240079</v>
      </c>
      <c r="M87" s="8">
        <v>229.84314797088291</v>
      </c>
    </row>
    <row r="88" spans="1:13" x14ac:dyDescent="0.25">
      <c r="A88" s="5" t="s">
        <v>111</v>
      </c>
      <c r="B88" s="6">
        <v>45993</v>
      </c>
      <c r="C88" s="5" t="s">
        <v>28</v>
      </c>
      <c r="D88" s="5" t="s">
        <v>20</v>
      </c>
      <c r="E88" s="7">
        <v>21382</v>
      </c>
      <c r="F88" s="6">
        <v>45993.767361111109</v>
      </c>
      <c r="G88" s="6">
        <v>45993.857638888891</v>
      </c>
      <c r="H88" s="5" t="s">
        <v>22</v>
      </c>
      <c r="I88" s="5" t="s">
        <v>17</v>
      </c>
      <c r="J88" s="8">
        <v>423.60055087300151</v>
      </c>
      <c r="K88" s="8">
        <v>422.21529810030353</v>
      </c>
      <c r="L88" s="8">
        <v>231.30481337123121</v>
      </c>
      <c r="M88" s="8">
        <v>228.96207043801451</v>
      </c>
    </row>
    <row r="89" spans="1:13" x14ac:dyDescent="0.25">
      <c r="A89" s="5" t="s">
        <v>112</v>
      </c>
      <c r="B89" s="6">
        <v>45995</v>
      </c>
      <c r="C89" s="5" t="s">
        <v>19</v>
      </c>
      <c r="D89" s="5" t="s">
        <v>15</v>
      </c>
      <c r="E89" s="7">
        <v>6810</v>
      </c>
      <c r="F89" s="6">
        <v>45995.753472222219</v>
      </c>
      <c r="G89" s="6">
        <v>45995.805555555547</v>
      </c>
      <c r="H89" s="5" t="s">
        <v>25</v>
      </c>
      <c r="I89" s="5" t="s">
        <v>17</v>
      </c>
      <c r="J89" s="8">
        <v>197.38028037046561</v>
      </c>
      <c r="K89" s="8">
        <v>198.95179367226581</v>
      </c>
      <c r="L89" s="8">
        <v>230.3761225738925</v>
      </c>
      <c r="M89" s="8">
        <v>229.3405357082278</v>
      </c>
    </row>
    <row r="90" spans="1:13" x14ac:dyDescent="0.25">
      <c r="A90" s="5" t="s">
        <v>113</v>
      </c>
      <c r="B90" s="6">
        <v>45994</v>
      </c>
      <c r="C90" s="5" t="s">
        <v>28</v>
      </c>
      <c r="D90" s="5" t="s">
        <v>20</v>
      </c>
      <c r="E90" s="7">
        <v>12042</v>
      </c>
      <c r="F90" s="6">
        <v>45994.659722222219</v>
      </c>
      <c r="G90" s="6">
        <v>45994.75</v>
      </c>
      <c r="H90" s="5" t="s">
        <v>25</v>
      </c>
      <c r="I90" s="5" t="s">
        <v>17</v>
      </c>
      <c r="J90" s="8">
        <v>424.09159014783859</v>
      </c>
      <c r="K90" s="8">
        <v>422.24674930143459</v>
      </c>
      <c r="L90" s="8">
        <v>229.82236567806299</v>
      </c>
      <c r="M90" s="8">
        <v>233.17900580295321</v>
      </c>
    </row>
    <row r="91" spans="1:13" x14ac:dyDescent="0.25">
      <c r="A91" s="5" t="s">
        <v>114</v>
      </c>
      <c r="B91" s="6">
        <v>45992</v>
      </c>
      <c r="C91" s="5" t="s">
        <v>28</v>
      </c>
      <c r="D91" s="5" t="s">
        <v>15</v>
      </c>
      <c r="E91" s="7">
        <v>12742</v>
      </c>
      <c r="F91" s="6">
        <v>45992.708333333343</v>
      </c>
      <c r="G91" s="6">
        <v>45992.732638888891</v>
      </c>
      <c r="H91" s="5" t="s">
        <v>25</v>
      </c>
      <c r="I91" s="5" t="s">
        <v>17</v>
      </c>
      <c r="J91" s="8">
        <v>416.55252548313649</v>
      </c>
      <c r="K91" s="8">
        <v>417.98222055630561</v>
      </c>
      <c r="L91" s="8">
        <v>232.12924388079361</v>
      </c>
      <c r="M91" s="8">
        <v>232.2627098170596</v>
      </c>
    </row>
    <row r="92" spans="1:13" x14ac:dyDescent="0.25">
      <c r="A92" s="5" t="s">
        <v>115</v>
      </c>
      <c r="B92" s="6">
        <v>45994</v>
      </c>
      <c r="C92" s="5" t="s">
        <v>32</v>
      </c>
      <c r="D92" s="5" t="s">
        <v>20</v>
      </c>
      <c r="E92" s="7">
        <v>5274</v>
      </c>
      <c r="F92" s="6">
        <v>45994.760416666657</v>
      </c>
      <c r="G92" s="6">
        <v>45994.836805555547</v>
      </c>
      <c r="H92" s="5" t="s">
        <v>16</v>
      </c>
      <c r="I92" s="5" t="s">
        <v>26</v>
      </c>
      <c r="J92" s="8">
        <v>174.2667548814984</v>
      </c>
      <c r="K92" s="8">
        <v>174.21095192216009</v>
      </c>
      <c r="L92" s="8">
        <v>505.84446713137612</v>
      </c>
      <c r="M92" s="8">
        <v>506.26293210828379</v>
      </c>
    </row>
    <row r="93" spans="1:13" x14ac:dyDescent="0.25">
      <c r="A93" s="5" t="s">
        <v>116</v>
      </c>
      <c r="B93" s="6">
        <v>45996</v>
      </c>
      <c r="C93" s="5" t="s">
        <v>19</v>
      </c>
      <c r="D93" s="5" t="s">
        <v>20</v>
      </c>
      <c r="E93" s="7">
        <v>9311</v>
      </c>
      <c r="F93" s="6">
        <v>45996.645833333343</v>
      </c>
      <c r="G93" s="6">
        <v>45996.697916666657</v>
      </c>
      <c r="H93" s="5" t="s">
        <v>22</v>
      </c>
      <c r="I93" s="5" t="s">
        <v>17</v>
      </c>
      <c r="J93" s="8">
        <v>195.32261507987729</v>
      </c>
      <c r="K93" s="8">
        <v>194.98681681391409</v>
      </c>
      <c r="L93" s="8">
        <v>230.24203130033169</v>
      </c>
      <c r="M93" s="8">
        <v>230.92871727297941</v>
      </c>
    </row>
    <row r="94" spans="1:13" x14ac:dyDescent="0.25">
      <c r="A94" s="5" t="s">
        <v>117</v>
      </c>
      <c r="B94" s="6">
        <v>45992</v>
      </c>
      <c r="C94" s="5" t="s">
        <v>32</v>
      </c>
      <c r="D94" s="5" t="s">
        <v>20</v>
      </c>
      <c r="E94" s="7">
        <v>23650</v>
      </c>
      <c r="F94" s="6">
        <v>45992.784722222219</v>
      </c>
      <c r="G94" s="6">
        <v>45992.861111111109</v>
      </c>
      <c r="H94" s="5" t="s">
        <v>22</v>
      </c>
      <c r="I94" s="5" t="s">
        <v>26</v>
      </c>
      <c r="J94" s="8">
        <v>174.22596958090219</v>
      </c>
      <c r="K94" s="8">
        <v>174.66870143580701</v>
      </c>
      <c r="L94" s="8">
        <v>512.40617690622139</v>
      </c>
      <c r="M94" s="8">
        <v>511.77527402126759</v>
      </c>
    </row>
    <row r="95" spans="1:13" x14ac:dyDescent="0.25">
      <c r="A95" s="5" t="s">
        <v>118</v>
      </c>
      <c r="B95" s="6">
        <v>45993</v>
      </c>
      <c r="C95" s="5" t="s">
        <v>32</v>
      </c>
      <c r="D95" s="5" t="s">
        <v>15</v>
      </c>
      <c r="E95" s="7">
        <v>13329</v>
      </c>
      <c r="F95" s="6">
        <v>45993.649305555547</v>
      </c>
      <c r="G95" s="6">
        <v>45993.677083333343</v>
      </c>
      <c r="H95" s="5" t="s">
        <v>25</v>
      </c>
      <c r="I95" s="5" t="s">
        <v>26</v>
      </c>
      <c r="J95" s="8">
        <v>175.40823818553909</v>
      </c>
      <c r="K95" s="8">
        <v>175.04409054136039</v>
      </c>
      <c r="L95" s="8">
        <v>512.07878076708039</v>
      </c>
      <c r="M95" s="8">
        <v>508.56000422691938</v>
      </c>
    </row>
    <row r="96" spans="1:13" x14ac:dyDescent="0.25">
      <c r="A96" s="5" t="s">
        <v>119</v>
      </c>
      <c r="B96" s="6">
        <v>45994</v>
      </c>
      <c r="C96" s="5" t="s">
        <v>14</v>
      </c>
      <c r="D96" s="5" t="s">
        <v>20</v>
      </c>
      <c r="E96" s="7">
        <v>22182</v>
      </c>
      <c r="F96" s="6">
        <v>45994.631944444453</v>
      </c>
      <c r="G96" s="6">
        <v>45994.71875</v>
      </c>
      <c r="H96" s="5" t="s">
        <v>22</v>
      </c>
      <c r="I96" s="5" t="s">
        <v>17</v>
      </c>
      <c r="J96" s="8">
        <v>188.1125521177772</v>
      </c>
      <c r="K96" s="8">
        <v>187.63836813274759</v>
      </c>
      <c r="L96" s="8">
        <v>230.28476705234829</v>
      </c>
      <c r="M96" s="8">
        <v>230.98457206269509</v>
      </c>
    </row>
    <row r="97" spans="1:13" x14ac:dyDescent="0.25">
      <c r="A97" s="5" t="s">
        <v>120</v>
      </c>
      <c r="B97" s="6">
        <v>45993</v>
      </c>
      <c r="C97" s="5" t="s">
        <v>14</v>
      </c>
      <c r="D97" s="5" t="s">
        <v>15</v>
      </c>
      <c r="E97" s="7">
        <v>6003</v>
      </c>
      <c r="F97" s="6">
        <v>45993.711805555547</v>
      </c>
      <c r="G97" s="6">
        <v>45993.784722222219</v>
      </c>
      <c r="H97" s="5" t="s">
        <v>25</v>
      </c>
      <c r="I97" s="5" t="s">
        <v>17</v>
      </c>
      <c r="J97" s="8">
        <v>188.54894817134911</v>
      </c>
      <c r="K97" s="8">
        <v>188.2634442494311</v>
      </c>
      <c r="L97" s="8">
        <v>231.61730703328021</v>
      </c>
      <c r="M97" s="8">
        <v>230.9108031497193</v>
      </c>
    </row>
    <row r="98" spans="1:13" x14ac:dyDescent="0.25">
      <c r="A98" s="5" t="s">
        <v>121</v>
      </c>
      <c r="B98" s="6">
        <v>45995</v>
      </c>
      <c r="C98" s="5" t="s">
        <v>32</v>
      </c>
      <c r="D98" s="5" t="s">
        <v>20</v>
      </c>
      <c r="E98" s="7">
        <v>9337</v>
      </c>
      <c r="F98" s="6">
        <v>45995.690972222219</v>
      </c>
      <c r="G98" s="6">
        <v>45995.743055555547</v>
      </c>
      <c r="H98" s="5" t="s">
        <v>25</v>
      </c>
      <c r="I98" s="5" t="s">
        <v>26</v>
      </c>
      <c r="J98" s="8">
        <v>172.4264573652639</v>
      </c>
      <c r="K98" s="8">
        <v>172.62175748973311</v>
      </c>
      <c r="L98" s="8">
        <v>506.00277292088958</v>
      </c>
      <c r="M98" s="8">
        <v>506.11097429488109</v>
      </c>
    </row>
    <row r="99" spans="1:13" x14ac:dyDescent="0.25">
      <c r="A99" s="5" t="s">
        <v>122</v>
      </c>
      <c r="B99" s="6">
        <v>45992</v>
      </c>
      <c r="C99" s="5" t="s">
        <v>14</v>
      </c>
      <c r="D99" s="5" t="s">
        <v>20</v>
      </c>
      <c r="E99" s="7">
        <v>7156</v>
      </c>
      <c r="F99" s="6">
        <v>45992.788194444453</v>
      </c>
      <c r="G99" s="6">
        <v>45992.84375</v>
      </c>
      <c r="H99" s="5" t="s">
        <v>16</v>
      </c>
      <c r="I99" s="5" t="s">
        <v>17</v>
      </c>
      <c r="J99" s="8">
        <v>185.808757457133</v>
      </c>
      <c r="K99" s="8">
        <v>186.33969051756009</v>
      </c>
      <c r="L99" s="8">
        <v>232.831182845043</v>
      </c>
      <c r="M99" s="8">
        <v>232.61834201164049</v>
      </c>
    </row>
    <row r="100" spans="1:13" x14ac:dyDescent="0.25">
      <c r="A100" s="5" t="s">
        <v>123</v>
      </c>
      <c r="B100" s="6">
        <v>45993</v>
      </c>
      <c r="C100" s="5" t="s">
        <v>19</v>
      </c>
      <c r="D100" s="5" t="s">
        <v>20</v>
      </c>
      <c r="E100" s="7">
        <v>12865</v>
      </c>
      <c r="F100" s="6">
        <v>45993.760416666657</v>
      </c>
      <c r="G100" s="6">
        <v>45993.78125</v>
      </c>
      <c r="H100" s="5" t="s">
        <v>22</v>
      </c>
      <c r="I100" s="5" t="s">
        <v>17</v>
      </c>
      <c r="J100" s="8">
        <v>194.90426263802831</v>
      </c>
      <c r="K100" s="8">
        <v>194.93228017132941</v>
      </c>
      <c r="L100" s="8">
        <v>230.93951744827839</v>
      </c>
      <c r="M100" s="8">
        <v>230.77380094781699</v>
      </c>
    </row>
    <row r="101" spans="1:13" x14ac:dyDescent="0.25">
      <c r="A101" s="5" t="s">
        <v>124</v>
      </c>
      <c r="B101" s="6">
        <v>45995</v>
      </c>
      <c r="C101" s="5" t="s">
        <v>19</v>
      </c>
      <c r="D101" s="5" t="s">
        <v>20</v>
      </c>
      <c r="E101" s="7">
        <v>6813</v>
      </c>
      <c r="F101" s="6">
        <v>45995.6875</v>
      </c>
      <c r="G101" s="6">
        <v>45995.770833333343</v>
      </c>
      <c r="H101" s="5" t="s">
        <v>16</v>
      </c>
      <c r="I101" s="5" t="s">
        <v>17</v>
      </c>
      <c r="J101" s="8">
        <v>197.4207046823899</v>
      </c>
      <c r="K101" s="8">
        <v>198.21216449430261</v>
      </c>
      <c r="L101" s="8">
        <v>229.84314797088291</v>
      </c>
      <c r="M101" s="8">
        <v>230.39167093881781</v>
      </c>
    </row>
    <row r="102" spans="1:13" x14ac:dyDescent="0.25">
      <c r="A102" s="5" t="s">
        <v>125</v>
      </c>
      <c r="B102" s="6">
        <v>45994</v>
      </c>
      <c r="C102" s="5" t="s">
        <v>19</v>
      </c>
      <c r="D102" s="5" t="s">
        <v>20</v>
      </c>
      <c r="E102" s="7">
        <v>18621</v>
      </c>
      <c r="F102" s="6">
        <v>45994.625</v>
      </c>
      <c r="G102" s="6">
        <v>45994.649305555547</v>
      </c>
      <c r="H102" s="5" t="s">
        <v>22</v>
      </c>
      <c r="I102" s="5" t="s">
        <v>17</v>
      </c>
      <c r="J102" s="8">
        <v>192.8412793609121</v>
      </c>
      <c r="K102" s="8">
        <v>192.87999388554519</v>
      </c>
      <c r="L102" s="8">
        <v>230.26243626964211</v>
      </c>
      <c r="M102" s="8">
        <v>230.4463309069348</v>
      </c>
    </row>
    <row r="103" spans="1:13" x14ac:dyDescent="0.25">
      <c r="A103" s="5" t="s">
        <v>126</v>
      </c>
      <c r="B103" s="6">
        <v>45993</v>
      </c>
      <c r="C103" s="5" t="s">
        <v>28</v>
      </c>
      <c r="D103" s="5" t="s">
        <v>15</v>
      </c>
      <c r="E103" s="7">
        <v>13541</v>
      </c>
      <c r="F103" s="6">
        <v>45993.663194444453</v>
      </c>
      <c r="G103" s="6">
        <v>45993.729166666657</v>
      </c>
      <c r="H103" s="5" t="s">
        <v>25</v>
      </c>
      <c r="I103" s="5" t="s">
        <v>17</v>
      </c>
      <c r="J103" s="8">
        <v>417.86569756595497</v>
      </c>
      <c r="K103" s="8">
        <v>419.62212583067799</v>
      </c>
      <c r="L103" s="8">
        <v>232.48558609526231</v>
      </c>
      <c r="M103" s="8">
        <v>231.87263145259871</v>
      </c>
    </row>
    <row r="104" spans="1:13" x14ac:dyDescent="0.25">
      <c r="A104" s="5" t="s">
        <v>127</v>
      </c>
      <c r="B104" s="6">
        <v>45992</v>
      </c>
      <c r="C104" s="5" t="s">
        <v>32</v>
      </c>
      <c r="D104" s="5" t="s">
        <v>15</v>
      </c>
      <c r="E104" s="7">
        <v>13053</v>
      </c>
      <c r="F104" s="6">
        <v>45992.78125</v>
      </c>
      <c r="G104" s="6">
        <v>45992.875</v>
      </c>
      <c r="H104" s="5" t="s">
        <v>25</v>
      </c>
      <c r="I104" s="5" t="s">
        <v>26</v>
      </c>
      <c r="J104" s="8">
        <v>174.4314765019671</v>
      </c>
      <c r="K104" s="8">
        <v>175.44775991811039</v>
      </c>
      <c r="L104" s="8">
        <v>513.00987877326236</v>
      </c>
      <c r="M104" s="8">
        <v>512.89556060119321</v>
      </c>
    </row>
    <row r="105" spans="1:13" x14ac:dyDescent="0.25">
      <c r="A105" s="5" t="s">
        <v>128</v>
      </c>
      <c r="B105" s="6">
        <v>45995</v>
      </c>
      <c r="C105" s="5" t="s">
        <v>19</v>
      </c>
      <c r="D105" s="5" t="s">
        <v>20</v>
      </c>
      <c r="E105" s="7">
        <v>10912</v>
      </c>
      <c r="F105" s="6">
        <v>45995.701388888891</v>
      </c>
      <c r="G105" s="6">
        <v>45995.788194444453</v>
      </c>
      <c r="H105" s="5" t="s">
        <v>25</v>
      </c>
      <c r="I105" s="5" t="s">
        <v>17</v>
      </c>
      <c r="J105" s="8">
        <v>196.87209294302269</v>
      </c>
      <c r="K105" s="8">
        <v>198.6942673784001</v>
      </c>
      <c r="L105" s="8">
        <v>230.69127875713411</v>
      </c>
      <c r="M105" s="8">
        <v>229.72512255708239</v>
      </c>
    </row>
    <row r="106" spans="1:13" x14ac:dyDescent="0.25">
      <c r="A106" s="5" t="s">
        <v>129</v>
      </c>
      <c r="B106" s="6">
        <v>45993</v>
      </c>
      <c r="C106" s="5" t="s">
        <v>24</v>
      </c>
      <c r="D106" s="5" t="s">
        <v>20</v>
      </c>
      <c r="E106" s="7">
        <v>9256</v>
      </c>
      <c r="F106" s="6">
        <v>45993.638888888891</v>
      </c>
      <c r="G106" s="6">
        <v>45993.711805555547</v>
      </c>
      <c r="H106" s="5" t="s">
        <v>25</v>
      </c>
      <c r="I106" s="5" t="s">
        <v>26</v>
      </c>
      <c r="J106" s="8">
        <v>242.74072285653759</v>
      </c>
      <c r="K106" s="8">
        <v>244.02587846910541</v>
      </c>
      <c r="L106" s="8">
        <v>511.7520838853751</v>
      </c>
      <c r="M106" s="8">
        <v>507.40199579196371</v>
      </c>
    </row>
    <row r="107" spans="1:13" x14ac:dyDescent="0.25">
      <c r="A107" s="5" t="s">
        <v>130</v>
      </c>
      <c r="B107" s="6">
        <v>45995</v>
      </c>
      <c r="C107" s="5" t="s">
        <v>14</v>
      </c>
      <c r="D107" s="5" t="s">
        <v>20</v>
      </c>
      <c r="E107" s="7">
        <v>3579</v>
      </c>
      <c r="F107" s="6">
        <v>45995.746527777781</v>
      </c>
      <c r="G107" s="6">
        <v>45995.791666666657</v>
      </c>
      <c r="H107" s="5" t="s">
        <v>16</v>
      </c>
      <c r="I107" s="5" t="s">
        <v>17</v>
      </c>
      <c r="J107" s="8">
        <v>185.05659056921189</v>
      </c>
      <c r="K107" s="8">
        <v>185.29212306075229</v>
      </c>
      <c r="L107" s="8">
        <v>230.35121396091549</v>
      </c>
      <c r="M107" s="8">
        <v>229.89603822687289</v>
      </c>
    </row>
    <row r="108" spans="1:13" x14ac:dyDescent="0.25">
      <c r="A108" s="5" t="s">
        <v>131</v>
      </c>
      <c r="B108" s="6">
        <v>45992</v>
      </c>
      <c r="C108" s="5" t="s">
        <v>28</v>
      </c>
      <c r="D108" s="5" t="s">
        <v>20</v>
      </c>
      <c r="E108" s="7">
        <v>17016</v>
      </c>
      <c r="F108" s="6">
        <v>45992.649305555547</v>
      </c>
      <c r="G108" s="6">
        <v>45992.725694444453</v>
      </c>
      <c r="H108" s="5" t="s">
        <v>22</v>
      </c>
      <c r="I108" s="5" t="s">
        <v>17</v>
      </c>
      <c r="J108" s="8">
        <v>413.63479176956741</v>
      </c>
      <c r="K108" s="8">
        <v>417.46867261895869</v>
      </c>
      <c r="L108" s="8">
        <v>233.3725118941488</v>
      </c>
      <c r="M108" s="8">
        <v>232.37235484921561</v>
      </c>
    </row>
    <row r="109" spans="1:13" x14ac:dyDescent="0.25">
      <c r="A109" s="5" t="s">
        <v>132</v>
      </c>
      <c r="B109" s="6">
        <v>45994</v>
      </c>
      <c r="C109" s="5" t="s">
        <v>32</v>
      </c>
      <c r="D109" s="5" t="s">
        <v>15</v>
      </c>
      <c r="E109" s="7">
        <v>8349</v>
      </c>
      <c r="F109" s="6">
        <v>45994.770833333343</v>
      </c>
      <c r="G109" s="6">
        <v>45994.840277777781</v>
      </c>
      <c r="H109" s="5" t="s">
        <v>25</v>
      </c>
      <c r="I109" s="5" t="s">
        <v>26</v>
      </c>
      <c r="J109" s="8">
        <v>174.1137685108159</v>
      </c>
      <c r="K109" s="8">
        <v>174.12162053516971</v>
      </c>
      <c r="L109" s="8">
        <v>506.24491822393549</v>
      </c>
      <c r="M109" s="8">
        <v>506.04146831986998</v>
      </c>
    </row>
    <row r="110" spans="1:13" x14ac:dyDescent="0.25">
      <c r="A110" s="5" t="s">
        <v>133</v>
      </c>
      <c r="B110" s="6">
        <v>45994</v>
      </c>
      <c r="C110" s="5" t="s">
        <v>28</v>
      </c>
      <c r="D110" s="5" t="s">
        <v>20</v>
      </c>
      <c r="E110" s="7">
        <v>4232</v>
      </c>
      <c r="F110" s="6">
        <v>45994.725694444453</v>
      </c>
      <c r="G110" s="6">
        <v>45994.753472222219</v>
      </c>
      <c r="H110" s="5" t="s">
        <v>16</v>
      </c>
      <c r="I110" s="5" t="s">
        <v>17</v>
      </c>
      <c r="J110" s="8">
        <v>422.55809437203771</v>
      </c>
      <c r="K110" s="8">
        <v>422.76015760344097</v>
      </c>
      <c r="L110" s="8">
        <v>231.2624793779145</v>
      </c>
      <c r="M110" s="8">
        <v>232.71255660919749</v>
      </c>
    </row>
    <row r="111" spans="1:13" x14ac:dyDescent="0.25">
      <c r="A111" s="5" t="s">
        <v>134</v>
      </c>
      <c r="B111" s="6">
        <v>45993</v>
      </c>
      <c r="C111" s="5" t="s">
        <v>24</v>
      </c>
      <c r="D111" s="5" t="s">
        <v>20</v>
      </c>
      <c r="E111" s="7">
        <v>15680</v>
      </c>
      <c r="F111" s="6">
        <v>45993.607638888891</v>
      </c>
      <c r="G111" s="6">
        <v>45993.708333333343</v>
      </c>
      <c r="H111" s="5" t="s">
        <v>22</v>
      </c>
      <c r="I111" s="5" t="s">
        <v>26</v>
      </c>
      <c r="J111" s="8">
        <v>243.04671770305839</v>
      </c>
      <c r="K111" s="8">
        <v>243.92274569635691</v>
      </c>
      <c r="L111" s="8">
        <v>513.85957508990134</v>
      </c>
      <c r="M111" s="8">
        <v>507.34829829734241</v>
      </c>
    </row>
    <row r="112" spans="1:13" x14ac:dyDescent="0.25">
      <c r="A112" s="5" t="s">
        <v>135</v>
      </c>
      <c r="B112" s="6">
        <v>45993</v>
      </c>
      <c r="C112" s="5" t="s">
        <v>24</v>
      </c>
      <c r="D112" s="5" t="s">
        <v>15</v>
      </c>
      <c r="E112" s="7">
        <v>5661</v>
      </c>
      <c r="F112" s="6">
        <v>45993.6875</v>
      </c>
      <c r="G112" s="6">
        <v>45993.736111111109</v>
      </c>
      <c r="H112" s="5" t="s">
        <v>16</v>
      </c>
      <c r="I112" s="5" t="s">
        <v>26</v>
      </c>
      <c r="J112" s="8">
        <v>243.45912576518219</v>
      </c>
      <c r="K112" s="8">
        <v>244.11376608387869</v>
      </c>
      <c r="L112" s="8">
        <v>508.48174259943551</v>
      </c>
      <c r="M112" s="8">
        <v>508.31898952632952</v>
      </c>
    </row>
    <row r="113" spans="1:13" x14ac:dyDescent="0.25">
      <c r="A113" s="5" t="s">
        <v>136</v>
      </c>
      <c r="B113" s="6">
        <v>45994</v>
      </c>
      <c r="C113" s="5" t="s">
        <v>24</v>
      </c>
      <c r="D113" s="5" t="s">
        <v>15</v>
      </c>
      <c r="E113" s="7">
        <v>7141</v>
      </c>
      <c r="F113" s="6">
        <v>45994.631944444453</v>
      </c>
      <c r="G113" s="6">
        <v>45994.725694444453</v>
      </c>
      <c r="H113" s="5" t="s">
        <v>25</v>
      </c>
      <c r="I113" s="5" t="s">
        <v>26</v>
      </c>
      <c r="J113" s="8">
        <v>245.06974864561681</v>
      </c>
      <c r="K113" s="8">
        <v>245.75039107993899</v>
      </c>
      <c r="L113" s="8">
        <v>510.81513095666969</v>
      </c>
      <c r="M113" s="8">
        <v>508.44101845256</v>
      </c>
    </row>
    <row r="114" spans="1:13" x14ac:dyDescent="0.25">
      <c r="A114" s="5" t="s">
        <v>137</v>
      </c>
      <c r="B114" s="6">
        <v>45995</v>
      </c>
      <c r="C114" s="5" t="s">
        <v>28</v>
      </c>
      <c r="D114" s="5" t="s">
        <v>20</v>
      </c>
      <c r="E114" s="7">
        <v>14286</v>
      </c>
      <c r="F114" s="6">
        <v>45995.690972222219</v>
      </c>
      <c r="G114" s="6">
        <v>45995.78125</v>
      </c>
      <c r="H114" s="5" t="s">
        <v>25</v>
      </c>
      <c r="I114" s="5" t="s">
        <v>17</v>
      </c>
      <c r="J114" s="8">
        <v>423.7863093390522</v>
      </c>
      <c r="K114" s="8">
        <v>423.34585915196601</v>
      </c>
      <c r="L114" s="8">
        <v>230.1088950829361</v>
      </c>
      <c r="M114" s="8">
        <v>230.01871205280059</v>
      </c>
    </row>
    <row r="115" spans="1:13" x14ac:dyDescent="0.25">
      <c r="A115" s="5" t="s">
        <v>138</v>
      </c>
      <c r="B115" s="6">
        <v>45993</v>
      </c>
      <c r="C115" s="5" t="s">
        <v>19</v>
      </c>
      <c r="D115" s="5" t="s">
        <v>20</v>
      </c>
      <c r="E115" s="7">
        <v>15765</v>
      </c>
      <c r="F115" s="6">
        <v>45993.611111111109</v>
      </c>
      <c r="G115" s="6">
        <v>45993.677083333343</v>
      </c>
      <c r="H115" s="5" t="s">
        <v>25</v>
      </c>
      <c r="I115" s="5" t="s">
        <v>17</v>
      </c>
      <c r="J115" s="8">
        <v>194.43164918314821</v>
      </c>
      <c r="K115" s="8">
        <v>194.97336209892609</v>
      </c>
      <c r="L115" s="8">
        <v>232.45133866308029</v>
      </c>
      <c r="M115" s="8">
        <v>232.11201490480181</v>
      </c>
    </row>
    <row r="116" spans="1:13" x14ac:dyDescent="0.25">
      <c r="A116" s="5" t="s">
        <v>139</v>
      </c>
      <c r="B116" s="6">
        <v>45992</v>
      </c>
      <c r="C116" s="5" t="s">
        <v>32</v>
      </c>
      <c r="D116" s="5" t="s">
        <v>20</v>
      </c>
      <c r="E116" s="7">
        <v>23328</v>
      </c>
      <c r="F116" s="6">
        <v>45992.618055555547</v>
      </c>
      <c r="G116" s="6">
        <v>45992.680555555547</v>
      </c>
      <c r="H116" s="5" t="s">
        <v>22</v>
      </c>
      <c r="I116" s="5" t="s">
        <v>26</v>
      </c>
      <c r="J116" s="8">
        <v>175.16337591659291</v>
      </c>
      <c r="K116" s="8">
        <v>174.9762039787102</v>
      </c>
      <c r="L116" s="8">
        <v>515.54304929689818</v>
      </c>
      <c r="M116" s="8">
        <v>511.4023048347434</v>
      </c>
    </row>
    <row r="117" spans="1:13" x14ac:dyDescent="0.25">
      <c r="A117" s="5" t="s">
        <v>140</v>
      </c>
      <c r="B117" s="6">
        <v>45992</v>
      </c>
      <c r="C117" s="5" t="s">
        <v>28</v>
      </c>
      <c r="D117" s="5" t="s">
        <v>15</v>
      </c>
      <c r="E117" s="7">
        <v>7600</v>
      </c>
      <c r="F117" s="6">
        <v>45992.652777777781</v>
      </c>
      <c r="G117" s="6">
        <v>45992.6875</v>
      </c>
      <c r="H117" s="5" t="s">
        <v>16</v>
      </c>
      <c r="I117" s="5" t="s">
        <v>17</v>
      </c>
      <c r="J117" s="8">
        <v>413.68175476048299</v>
      </c>
      <c r="K117" s="8">
        <v>414.80857502878922</v>
      </c>
      <c r="L117" s="8">
        <v>233.3097333014303</v>
      </c>
      <c r="M117" s="8">
        <v>231.850123736049</v>
      </c>
    </row>
    <row r="118" spans="1:13" x14ac:dyDescent="0.25">
      <c r="A118" s="5" t="s">
        <v>141</v>
      </c>
      <c r="B118" s="6">
        <v>45992</v>
      </c>
      <c r="C118" s="5" t="s">
        <v>32</v>
      </c>
      <c r="D118" s="5" t="s">
        <v>15</v>
      </c>
      <c r="E118" s="7">
        <v>4117</v>
      </c>
      <c r="F118" s="6">
        <v>45992.725694444453</v>
      </c>
      <c r="G118" s="6">
        <v>45992.829861111109</v>
      </c>
      <c r="H118" s="5" t="s">
        <v>16</v>
      </c>
      <c r="I118" s="5" t="s">
        <v>26</v>
      </c>
      <c r="J118" s="8">
        <v>174.7386822327428</v>
      </c>
      <c r="K118" s="8">
        <v>174.1790033993185</v>
      </c>
      <c r="L118" s="8">
        <v>512.10908420817827</v>
      </c>
      <c r="M118" s="8">
        <v>512.11973035645076</v>
      </c>
    </row>
    <row r="119" spans="1:13" x14ac:dyDescent="0.25">
      <c r="A119" s="5" t="s">
        <v>142</v>
      </c>
      <c r="B119" s="6">
        <v>45994</v>
      </c>
      <c r="C119" s="5" t="s">
        <v>19</v>
      </c>
      <c r="D119" s="5" t="s">
        <v>20</v>
      </c>
      <c r="E119" s="7">
        <v>6527</v>
      </c>
      <c r="F119" s="6">
        <v>45994.631944444453</v>
      </c>
      <c r="G119" s="6">
        <v>45994.722222222219</v>
      </c>
      <c r="H119" s="5" t="s">
        <v>16</v>
      </c>
      <c r="I119" s="5" t="s">
        <v>17</v>
      </c>
      <c r="J119" s="8">
        <v>192.65578996543809</v>
      </c>
      <c r="K119" s="8">
        <v>194.60316961238871</v>
      </c>
      <c r="L119" s="8">
        <v>230.28476705234829</v>
      </c>
      <c r="M119" s="8">
        <v>231.38624850510291</v>
      </c>
    </row>
    <row r="120" spans="1:13" x14ac:dyDescent="0.25">
      <c r="A120" s="5" t="s">
        <v>143</v>
      </c>
      <c r="B120" s="6">
        <v>45992</v>
      </c>
      <c r="C120" s="5" t="s">
        <v>19</v>
      </c>
      <c r="D120" s="5" t="s">
        <v>15</v>
      </c>
      <c r="E120" s="7">
        <v>9932</v>
      </c>
      <c r="F120" s="6">
        <v>45992.618055555547</v>
      </c>
      <c r="G120" s="6">
        <v>45992.670138888891</v>
      </c>
      <c r="H120" s="5" t="s">
        <v>25</v>
      </c>
      <c r="I120" s="5" t="s">
        <v>17</v>
      </c>
      <c r="J120" s="8">
        <v>195.2214282473706</v>
      </c>
      <c r="K120" s="8">
        <v>194.93367542306649</v>
      </c>
      <c r="L120" s="8">
        <v>234.87710479892689</v>
      </c>
      <c r="M120" s="8">
        <v>232.5646195532687</v>
      </c>
    </row>
    <row r="121" spans="1:13" x14ac:dyDescent="0.25">
      <c r="A121" s="5" t="s">
        <v>144</v>
      </c>
      <c r="B121" s="6">
        <v>45996</v>
      </c>
      <c r="C121" s="5" t="s">
        <v>28</v>
      </c>
      <c r="D121" s="5" t="s">
        <v>20</v>
      </c>
      <c r="E121" s="7">
        <v>8664</v>
      </c>
      <c r="F121" s="6">
        <v>45996.604166666657</v>
      </c>
      <c r="G121" s="6">
        <v>45996.625</v>
      </c>
      <c r="H121" s="5" t="s">
        <v>25</v>
      </c>
      <c r="I121" s="5" t="s">
        <v>17</v>
      </c>
      <c r="J121" s="8">
        <v>424.03776625083458</v>
      </c>
      <c r="K121" s="8">
        <v>423.32520237293289</v>
      </c>
      <c r="L121" s="8">
        <v>229.93022864326369</v>
      </c>
      <c r="M121" s="8">
        <v>230.16992976344409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6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1" customWidth="1"/>
    <col min="4" max="4" width="10" customWidth="1"/>
    <col min="5" max="6" width="12" customWidth="1"/>
    <col min="7" max="7" width="10" customWidth="1"/>
    <col min="8" max="8" width="20" customWidth="1"/>
    <col min="9" max="9" width="23" customWidth="1"/>
  </cols>
  <sheetData>
    <row r="1" spans="1:9" x14ac:dyDescent="0.25">
      <c r="A1" s="4" t="s">
        <v>145</v>
      </c>
      <c r="B1" s="4" t="s">
        <v>0</v>
      </c>
      <c r="C1" s="4" t="s">
        <v>146</v>
      </c>
      <c r="D1" s="4" t="s">
        <v>147</v>
      </c>
      <c r="E1" s="4" t="s">
        <v>148</v>
      </c>
      <c r="F1" s="4" t="s">
        <v>149</v>
      </c>
      <c r="G1" s="4" t="s">
        <v>150</v>
      </c>
      <c r="H1" s="4" t="s">
        <v>151</v>
      </c>
      <c r="I1" s="4" t="s">
        <v>152</v>
      </c>
    </row>
    <row r="2" spans="1:9" x14ac:dyDescent="0.25">
      <c r="A2" s="5" t="s">
        <v>153</v>
      </c>
      <c r="B2" s="5" t="s">
        <v>13</v>
      </c>
      <c r="C2" s="6">
        <v>45993.690972222219</v>
      </c>
      <c r="D2" s="7">
        <v>88</v>
      </c>
      <c r="E2" s="8">
        <v>188.79</v>
      </c>
      <c r="F2" s="5" t="s">
        <v>154</v>
      </c>
      <c r="G2" s="8">
        <v>0.05</v>
      </c>
      <c r="H2" s="9">
        <v>16613.52</v>
      </c>
      <c r="I2" s="9">
        <v>8.3067600000000005E-2</v>
      </c>
    </row>
    <row r="3" spans="1:9" x14ac:dyDescent="0.25">
      <c r="A3" s="5" t="s">
        <v>155</v>
      </c>
      <c r="B3" s="5" t="s">
        <v>13</v>
      </c>
      <c r="C3" s="6">
        <v>45993.715277777781</v>
      </c>
      <c r="D3" s="7">
        <v>20</v>
      </c>
      <c r="E3" s="8">
        <v>188.72</v>
      </c>
      <c r="F3" s="5" t="s">
        <v>156</v>
      </c>
      <c r="G3" s="8">
        <v>0.15</v>
      </c>
      <c r="H3" s="9">
        <v>3774.4</v>
      </c>
      <c r="I3" s="9">
        <v>5.6616E-2</v>
      </c>
    </row>
    <row r="4" spans="1:9" x14ac:dyDescent="0.25">
      <c r="A4" s="5" t="s">
        <v>157</v>
      </c>
      <c r="B4" s="5" t="s">
        <v>13</v>
      </c>
      <c r="C4" s="6">
        <v>45993.743055555547</v>
      </c>
      <c r="D4" s="7">
        <v>807</v>
      </c>
      <c r="E4" s="8">
        <v>188.78</v>
      </c>
      <c r="F4" s="5" t="s">
        <v>156</v>
      </c>
      <c r="G4" s="8">
        <v>0.15</v>
      </c>
      <c r="H4" s="9">
        <v>152345.46</v>
      </c>
      <c r="I4" s="9">
        <v>2.2851819</v>
      </c>
    </row>
    <row r="5" spans="1:9" x14ac:dyDescent="0.25">
      <c r="A5" s="5" t="s">
        <v>158</v>
      </c>
      <c r="B5" s="5" t="s">
        <v>13</v>
      </c>
      <c r="C5" s="6">
        <v>45993.746527777781</v>
      </c>
      <c r="D5" s="7">
        <v>603</v>
      </c>
      <c r="E5" s="8">
        <v>188.61</v>
      </c>
      <c r="F5" s="5" t="s">
        <v>159</v>
      </c>
      <c r="G5" s="8">
        <v>0.1</v>
      </c>
      <c r="H5" s="9">
        <v>113731.83</v>
      </c>
      <c r="I5" s="9">
        <v>1.1373183</v>
      </c>
    </row>
    <row r="6" spans="1:9" x14ac:dyDescent="0.25">
      <c r="A6" s="5" t="s">
        <v>160</v>
      </c>
      <c r="B6" s="5" t="s">
        <v>13</v>
      </c>
      <c r="C6" s="6">
        <v>45993.75</v>
      </c>
      <c r="D6" s="7">
        <v>1379</v>
      </c>
      <c r="E6" s="8">
        <v>188.89</v>
      </c>
      <c r="F6" s="5" t="s">
        <v>159</v>
      </c>
      <c r="G6" s="8">
        <v>0.1</v>
      </c>
      <c r="H6" s="9">
        <v>260479.31</v>
      </c>
      <c r="I6" s="9">
        <v>2.6047931000000002</v>
      </c>
    </row>
    <row r="7" spans="1:9" x14ac:dyDescent="0.25">
      <c r="A7" s="5" t="s">
        <v>161</v>
      </c>
      <c r="B7" s="5" t="s">
        <v>13</v>
      </c>
      <c r="C7" s="6">
        <v>45993.760416666657</v>
      </c>
      <c r="D7" s="7">
        <v>45</v>
      </c>
      <c r="E7" s="8">
        <v>189.05</v>
      </c>
      <c r="F7" s="5" t="s">
        <v>159</v>
      </c>
      <c r="G7" s="8">
        <v>0.1</v>
      </c>
      <c r="H7" s="9">
        <v>8507.25</v>
      </c>
      <c r="I7" s="9">
        <v>8.5072499999999995E-2</v>
      </c>
    </row>
    <row r="8" spans="1:9" x14ac:dyDescent="0.25">
      <c r="A8" s="5" t="s">
        <v>162</v>
      </c>
      <c r="B8" s="5" t="s">
        <v>13</v>
      </c>
      <c r="C8" s="6">
        <v>45993.767361111109</v>
      </c>
      <c r="D8" s="7">
        <v>486</v>
      </c>
      <c r="E8" s="8">
        <v>189.29</v>
      </c>
      <c r="F8" s="5" t="s">
        <v>156</v>
      </c>
      <c r="G8" s="8">
        <v>0.15</v>
      </c>
      <c r="H8" s="9">
        <v>91994.94</v>
      </c>
      <c r="I8" s="9">
        <v>1.3799241</v>
      </c>
    </row>
    <row r="9" spans="1:9" x14ac:dyDescent="0.25">
      <c r="A9" s="5" t="s">
        <v>163</v>
      </c>
      <c r="B9" s="5" t="s">
        <v>13</v>
      </c>
      <c r="C9" s="6">
        <v>45993.777777777781</v>
      </c>
      <c r="D9" s="7">
        <v>1362</v>
      </c>
      <c r="E9" s="8">
        <v>188.82</v>
      </c>
      <c r="F9" s="5" t="s">
        <v>159</v>
      </c>
      <c r="G9" s="8">
        <v>0.1</v>
      </c>
      <c r="H9" s="9">
        <v>257172.84</v>
      </c>
      <c r="I9" s="9">
        <v>2.5717284</v>
      </c>
    </row>
    <row r="10" spans="1:9" x14ac:dyDescent="0.25">
      <c r="A10" s="5" t="s">
        <v>164</v>
      </c>
      <c r="B10" s="5" t="s">
        <v>18</v>
      </c>
      <c r="C10" s="6">
        <v>45996.649305555547</v>
      </c>
      <c r="D10" s="7">
        <v>140</v>
      </c>
      <c r="E10" s="8">
        <v>195.08</v>
      </c>
      <c r="F10" s="5" t="s">
        <v>156</v>
      </c>
      <c r="G10" s="8">
        <v>0.15</v>
      </c>
      <c r="H10" s="9">
        <v>27311.200000000001</v>
      </c>
      <c r="I10" s="9">
        <v>0.40966799999999998</v>
      </c>
    </row>
    <row r="11" spans="1:9" x14ac:dyDescent="0.25">
      <c r="A11" s="5" t="s">
        <v>165</v>
      </c>
      <c r="B11" s="5" t="s">
        <v>18</v>
      </c>
      <c r="C11" s="6">
        <v>45996.652777777781</v>
      </c>
      <c r="D11" s="7">
        <v>663</v>
      </c>
      <c r="E11" s="8">
        <v>195.01</v>
      </c>
      <c r="F11" s="5" t="s">
        <v>154</v>
      </c>
      <c r="G11" s="8">
        <v>0.05</v>
      </c>
      <c r="H11" s="9">
        <v>129291.63</v>
      </c>
      <c r="I11" s="9">
        <v>0.64645815000000006</v>
      </c>
    </row>
    <row r="12" spans="1:9" x14ac:dyDescent="0.25">
      <c r="A12" s="5" t="s">
        <v>166</v>
      </c>
      <c r="B12" s="5" t="s">
        <v>18</v>
      </c>
      <c r="C12" s="6">
        <v>45996.65625</v>
      </c>
      <c r="D12" s="7">
        <v>136</v>
      </c>
      <c r="E12" s="8">
        <v>194.88</v>
      </c>
      <c r="F12" s="5" t="s">
        <v>156</v>
      </c>
      <c r="G12" s="8">
        <v>0.15</v>
      </c>
      <c r="H12" s="9">
        <v>26503.68</v>
      </c>
      <c r="I12" s="9">
        <v>0.39755519999999989</v>
      </c>
    </row>
    <row r="13" spans="1:9" x14ac:dyDescent="0.25">
      <c r="A13" s="5" t="s">
        <v>167</v>
      </c>
      <c r="B13" s="5" t="s">
        <v>18</v>
      </c>
      <c r="C13" s="6">
        <v>45996.659722222219</v>
      </c>
      <c r="D13" s="7">
        <v>107</v>
      </c>
      <c r="E13" s="8">
        <v>195.05</v>
      </c>
      <c r="F13" s="5" t="s">
        <v>159</v>
      </c>
      <c r="G13" s="8">
        <v>0.1</v>
      </c>
      <c r="H13" s="9">
        <v>20870.349999999999</v>
      </c>
      <c r="I13" s="9">
        <v>0.20870349999999999</v>
      </c>
    </row>
    <row r="14" spans="1:9" x14ac:dyDescent="0.25">
      <c r="A14" s="5" t="s">
        <v>168</v>
      </c>
      <c r="B14" s="5" t="s">
        <v>18</v>
      </c>
      <c r="C14" s="6">
        <v>45996.663194444453</v>
      </c>
      <c r="D14" s="7">
        <v>165</v>
      </c>
      <c r="E14" s="8">
        <v>194.67</v>
      </c>
      <c r="F14" s="5" t="s">
        <v>156</v>
      </c>
      <c r="G14" s="8">
        <v>0.15</v>
      </c>
      <c r="H14" s="9">
        <v>32120.55</v>
      </c>
      <c r="I14" s="9">
        <v>0.48180824999999988</v>
      </c>
    </row>
    <row r="15" spans="1:9" x14ac:dyDescent="0.25">
      <c r="A15" s="5" t="s">
        <v>169</v>
      </c>
      <c r="B15" s="5" t="s">
        <v>18</v>
      </c>
      <c r="C15" s="6">
        <v>45996.666666666657</v>
      </c>
      <c r="D15" s="7">
        <v>454</v>
      </c>
      <c r="E15" s="8">
        <v>194.8</v>
      </c>
      <c r="F15" s="5" t="s">
        <v>154</v>
      </c>
      <c r="G15" s="8">
        <v>0.05</v>
      </c>
      <c r="H15" s="9">
        <v>88439.200000000012</v>
      </c>
      <c r="I15" s="9">
        <v>0.44219600000000009</v>
      </c>
    </row>
    <row r="16" spans="1:9" x14ac:dyDescent="0.25">
      <c r="A16" s="5" t="s">
        <v>170</v>
      </c>
      <c r="B16" s="5" t="s">
        <v>18</v>
      </c>
      <c r="C16" s="6">
        <v>45996.670138888891</v>
      </c>
      <c r="D16" s="7">
        <v>491</v>
      </c>
      <c r="E16" s="8">
        <v>194.9</v>
      </c>
      <c r="F16" s="5" t="s">
        <v>156</v>
      </c>
      <c r="G16" s="8">
        <v>0.15</v>
      </c>
      <c r="H16" s="9">
        <v>95695.900000000009</v>
      </c>
      <c r="I16" s="9">
        <v>1.4354385000000001</v>
      </c>
    </row>
    <row r="17" spans="1:9" x14ac:dyDescent="0.25">
      <c r="A17" s="5" t="s">
        <v>171</v>
      </c>
      <c r="B17" s="5" t="s">
        <v>18</v>
      </c>
      <c r="C17" s="6">
        <v>45996.673611111109</v>
      </c>
      <c r="D17" s="7">
        <v>1009</v>
      </c>
      <c r="E17" s="8">
        <v>194.77</v>
      </c>
      <c r="F17" s="5" t="s">
        <v>159</v>
      </c>
      <c r="G17" s="8">
        <v>0.1</v>
      </c>
      <c r="H17" s="9">
        <v>196522.93</v>
      </c>
      <c r="I17" s="9">
        <v>1.9652293000000001</v>
      </c>
    </row>
    <row r="18" spans="1:9" x14ac:dyDescent="0.25">
      <c r="A18" s="5" t="s">
        <v>172</v>
      </c>
      <c r="B18" s="5" t="s">
        <v>21</v>
      </c>
      <c r="C18" s="6">
        <v>45996.697916666657</v>
      </c>
      <c r="D18" s="7">
        <v>4917</v>
      </c>
      <c r="E18" s="8">
        <v>195.13</v>
      </c>
      <c r="F18" s="5" t="s">
        <v>156</v>
      </c>
      <c r="G18" s="8">
        <v>0.15</v>
      </c>
      <c r="H18" s="9">
        <v>959454.21</v>
      </c>
      <c r="I18" s="9">
        <v>14.391813150000001</v>
      </c>
    </row>
    <row r="19" spans="1:9" x14ac:dyDescent="0.25">
      <c r="A19" s="5" t="s">
        <v>173</v>
      </c>
      <c r="B19" s="5" t="s">
        <v>21</v>
      </c>
      <c r="C19" s="6">
        <v>45996.701388888891</v>
      </c>
      <c r="D19" s="7">
        <v>5863</v>
      </c>
      <c r="E19" s="8">
        <v>194.92</v>
      </c>
      <c r="F19" s="5" t="s">
        <v>159</v>
      </c>
      <c r="G19" s="8">
        <v>0.1</v>
      </c>
      <c r="H19" s="9">
        <v>1142815.96</v>
      </c>
      <c r="I19" s="9">
        <v>11.428159600000001</v>
      </c>
    </row>
    <row r="20" spans="1:9" x14ac:dyDescent="0.25">
      <c r="A20" s="5" t="s">
        <v>174</v>
      </c>
      <c r="B20" s="5" t="s">
        <v>21</v>
      </c>
      <c r="C20" s="6">
        <v>45996.708333333343</v>
      </c>
      <c r="D20" s="7">
        <v>339</v>
      </c>
      <c r="E20" s="8">
        <v>194.93</v>
      </c>
      <c r="F20" s="5" t="s">
        <v>156</v>
      </c>
      <c r="G20" s="8">
        <v>0.15</v>
      </c>
      <c r="H20" s="9">
        <v>66081.27</v>
      </c>
      <c r="I20" s="9">
        <v>0.9912190500000001</v>
      </c>
    </row>
    <row r="21" spans="1:9" x14ac:dyDescent="0.25">
      <c r="A21" s="5" t="s">
        <v>175</v>
      </c>
      <c r="B21" s="5" t="s">
        <v>21</v>
      </c>
      <c r="C21" s="6">
        <v>45996.711805555547</v>
      </c>
      <c r="D21" s="7">
        <v>1896</v>
      </c>
      <c r="E21" s="8">
        <v>195.17</v>
      </c>
      <c r="F21" s="5" t="s">
        <v>156</v>
      </c>
      <c r="G21" s="8">
        <v>0.15</v>
      </c>
      <c r="H21" s="9">
        <v>370042.31999999989</v>
      </c>
      <c r="I21" s="9">
        <v>5.5506347999999992</v>
      </c>
    </row>
    <row r="22" spans="1:9" x14ac:dyDescent="0.25">
      <c r="A22" s="5" t="s">
        <v>176</v>
      </c>
      <c r="B22" s="5" t="s">
        <v>21</v>
      </c>
      <c r="C22" s="6">
        <v>45996.715277777781</v>
      </c>
      <c r="D22" s="7">
        <v>3453</v>
      </c>
      <c r="E22" s="8">
        <v>195.14</v>
      </c>
      <c r="F22" s="5" t="s">
        <v>156</v>
      </c>
      <c r="G22" s="8">
        <v>0.15</v>
      </c>
      <c r="H22" s="9">
        <v>673818.41999999993</v>
      </c>
      <c r="I22" s="9">
        <v>10.107276300000001</v>
      </c>
    </row>
    <row r="23" spans="1:9" x14ac:dyDescent="0.25">
      <c r="A23" s="5" t="s">
        <v>177</v>
      </c>
      <c r="B23" s="5" t="s">
        <v>21</v>
      </c>
      <c r="C23" s="6">
        <v>45996.71875</v>
      </c>
      <c r="D23" s="7">
        <v>4265</v>
      </c>
      <c r="E23" s="8">
        <v>194.94</v>
      </c>
      <c r="F23" s="5" t="s">
        <v>154</v>
      </c>
      <c r="G23" s="8">
        <v>0.05</v>
      </c>
      <c r="H23" s="9">
        <v>831419.1</v>
      </c>
      <c r="I23" s="9">
        <v>4.1570954999999996</v>
      </c>
    </row>
    <row r="24" spans="1:9" x14ac:dyDescent="0.25">
      <c r="A24" s="5" t="s">
        <v>178</v>
      </c>
      <c r="B24" s="5" t="s">
        <v>21</v>
      </c>
      <c r="C24" s="6">
        <v>45996.722222222219</v>
      </c>
      <c r="D24" s="7">
        <v>1783</v>
      </c>
      <c r="E24" s="8">
        <v>195.24</v>
      </c>
      <c r="F24" s="5" t="s">
        <v>156</v>
      </c>
      <c r="G24" s="8">
        <v>0.15</v>
      </c>
      <c r="H24" s="9">
        <v>348112.92</v>
      </c>
      <c r="I24" s="9">
        <v>5.2216938000000006</v>
      </c>
    </row>
    <row r="25" spans="1:9" x14ac:dyDescent="0.25">
      <c r="A25" s="5" t="s">
        <v>179</v>
      </c>
      <c r="B25" s="5" t="s">
        <v>23</v>
      </c>
      <c r="C25" s="6">
        <v>45992.732638888891</v>
      </c>
      <c r="D25" s="7">
        <v>84</v>
      </c>
      <c r="E25" s="8">
        <v>244.27</v>
      </c>
      <c r="F25" s="5" t="s">
        <v>154</v>
      </c>
      <c r="G25" s="8">
        <v>0.05</v>
      </c>
      <c r="H25" s="9">
        <v>20518.68</v>
      </c>
      <c r="I25" s="9">
        <v>0.1025934</v>
      </c>
    </row>
    <row r="26" spans="1:9" x14ac:dyDescent="0.25">
      <c r="A26" s="5" t="s">
        <v>180</v>
      </c>
      <c r="B26" s="5" t="s">
        <v>23</v>
      </c>
      <c r="C26" s="6">
        <v>45992.746527777781</v>
      </c>
      <c r="D26" s="7">
        <v>147</v>
      </c>
      <c r="E26" s="8">
        <v>243.78</v>
      </c>
      <c r="F26" s="5" t="s">
        <v>154</v>
      </c>
      <c r="G26" s="8">
        <v>0.05</v>
      </c>
      <c r="H26" s="9">
        <v>35835.660000000003</v>
      </c>
      <c r="I26" s="9">
        <v>0.17917830000000001</v>
      </c>
    </row>
    <row r="27" spans="1:9" x14ac:dyDescent="0.25">
      <c r="A27" s="5" t="s">
        <v>181</v>
      </c>
      <c r="B27" s="5" t="s">
        <v>23</v>
      </c>
      <c r="C27" s="6">
        <v>45992.805555555547</v>
      </c>
      <c r="D27" s="7">
        <v>6192</v>
      </c>
      <c r="E27" s="8">
        <v>243.01</v>
      </c>
      <c r="F27" s="5" t="s">
        <v>159</v>
      </c>
      <c r="G27" s="8">
        <v>0.1</v>
      </c>
      <c r="H27" s="9">
        <v>1504717.92</v>
      </c>
      <c r="I27" s="9">
        <v>15.0471792</v>
      </c>
    </row>
    <row r="28" spans="1:9" x14ac:dyDescent="0.25">
      <c r="A28" s="5" t="s">
        <v>182</v>
      </c>
      <c r="B28" s="5" t="s">
        <v>27</v>
      </c>
      <c r="C28" s="6">
        <v>45994.701388888891</v>
      </c>
      <c r="D28" s="7">
        <v>90</v>
      </c>
      <c r="E28" s="8">
        <v>423.62</v>
      </c>
      <c r="F28" s="5" t="s">
        <v>156</v>
      </c>
      <c r="G28" s="8">
        <v>0.15</v>
      </c>
      <c r="H28" s="9">
        <v>38125.800000000003</v>
      </c>
      <c r="I28" s="9">
        <v>0.57188700000000003</v>
      </c>
    </row>
    <row r="29" spans="1:9" x14ac:dyDescent="0.25">
      <c r="A29" s="5" t="s">
        <v>183</v>
      </c>
      <c r="B29" s="5" t="s">
        <v>27</v>
      </c>
      <c r="C29" s="6">
        <v>45994.704861111109</v>
      </c>
      <c r="D29" s="7">
        <v>3371</v>
      </c>
      <c r="E29" s="8">
        <v>423.1</v>
      </c>
      <c r="F29" s="5" t="s">
        <v>156</v>
      </c>
      <c r="G29" s="8">
        <v>0.15</v>
      </c>
      <c r="H29" s="9">
        <v>1426270.1</v>
      </c>
      <c r="I29" s="9">
        <v>21.3940515</v>
      </c>
    </row>
    <row r="30" spans="1:9" x14ac:dyDescent="0.25">
      <c r="A30" s="5" t="s">
        <v>184</v>
      </c>
      <c r="B30" s="5" t="s">
        <v>27</v>
      </c>
      <c r="C30" s="6">
        <v>45994.711805555547</v>
      </c>
      <c r="D30" s="7">
        <v>138</v>
      </c>
      <c r="E30" s="8">
        <v>423.19</v>
      </c>
      <c r="F30" s="5" t="s">
        <v>156</v>
      </c>
      <c r="G30" s="8">
        <v>0.15</v>
      </c>
      <c r="H30" s="9">
        <v>58400.22</v>
      </c>
      <c r="I30" s="9">
        <v>0.87600329999999993</v>
      </c>
    </row>
    <row r="31" spans="1:9" x14ac:dyDescent="0.25">
      <c r="A31" s="5" t="s">
        <v>185</v>
      </c>
      <c r="B31" s="5" t="s">
        <v>27</v>
      </c>
      <c r="C31" s="6">
        <v>45994.729166666657</v>
      </c>
      <c r="D31" s="7">
        <v>7603</v>
      </c>
      <c r="E31" s="8">
        <v>422.18</v>
      </c>
      <c r="F31" s="5" t="s">
        <v>159</v>
      </c>
      <c r="G31" s="8">
        <v>0.1</v>
      </c>
      <c r="H31" s="9">
        <v>3209834.54</v>
      </c>
      <c r="I31" s="9">
        <v>32.098345399999999</v>
      </c>
    </row>
    <row r="32" spans="1:9" x14ac:dyDescent="0.25">
      <c r="A32" s="5" t="s">
        <v>186</v>
      </c>
      <c r="B32" s="5" t="s">
        <v>29</v>
      </c>
      <c r="C32" s="6">
        <v>45992.732638888891</v>
      </c>
      <c r="D32" s="7">
        <v>1569</v>
      </c>
      <c r="E32" s="8">
        <v>417.98</v>
      </c>
      <c r="F32" s="5" t="s">
        <v>154</v>
      </c>
      <c r="G32" s="8">
        <v>0.05</v>
      </c>
      <c r="H32" s="9">
        <v>655810.62</v>
      </c>
      <c r="I32" s="9">
        <v>3.2790531000000001</v>
      </c>
    </row>
    <row r="33" spans="1:9" x14ac:dyDescent="0.25">
      <c r="A33" s="5" t="s">
        <v>187</v>
      </c>
      <c r="B33" s="5" t="s">
        <v>29</v>
      </c>
      <c r="C33" s="6">
        <v>45992.739583333343</v>
      </c>
      <c r="D33" s="7">
        <v>1180</v>
      </c>
      <c r="E33" s="8">
        <v>417.9</v>
      </c>
      <c r="F33" s="5" t="s">
        <v>156</v>
      </c>
      <c r="G33" s="8">
        <v>0.15</v>
      </c>
      <c r="H33" s="9">
        <v>493122</v>
      </c>
      <c r="I33" s="9">
        <v>7.3968299999999996</v>
      </c>
    </row>
    <row r="34" spans="1:9" x14ac:dyDescent="0.25">
      <c r="A34" s="5" t="s">
        <v>188</v>
      </c>
      <c r="B34" s="5" t="s">
        <v>29</v>
      </c>
      <c r="C34" s="6">
        <v>45992.743055555547</v>
      </c>
      <c r="D34" s="7">
        <v>396</v>
      </c>
      <c r="E34" s="8">
        <v>418.27</v>
      </c>
      <c r="F34" s="5" t="s">
        <v>154</v>
      </c>
      <c r="G34" s="8">
        <v>0.05</v>
      </c>
      <c r="H34" s="9">
        <v>165634.92000000001</v>
      </c>
      <c r="I34" s="9">
        <v>0.82817459999999987</v>
      </c>
    </row>
    <row r="35" spans="1:9" x14ac:dyDescent="0.25">
      <c r="A35" s="5" t="s">
        <v>189</v>
      </c>
      <c r="B35" s="5" t="s">
        <v>29</v>
      </c>
      <c r="C35" s="6">
        <v>45992.75</v>
      </c>
      <c r="D35" s="7">
        <v>402</v>
      </c>
      <c r="E35" s="8">
        <v>418.52</v>
      </c>
      <c r="F35" s="5" t="s">
        <v>156</v>
      </c>
      <c r="G35" s="8">
        <v>0.15</v>
      </c>
      <c r="H35" s="9">
        <v>168245.04</v>
      </c>
      <c r="I35" s="9">
        <v>2.5236755999999998</v>
      </c>
    </row>
    <row r="36" spans="1:9" x14ac:dyDescent="0.25">
      <c r="A36" s="5" t="s">
        <v>190</v>
      </c>
      <c r="B36" s="5" t="s">
        <v>29</v>
      </c>
      <c r="C36" s="6">
        <v>45992.760416666657</v>
      </c>
      <c r="D36" s="7">
        <v>102</v>
      </c>
      <c r="E36" s="8">
        <v>417.64</v>
      </c>
      <c r="F36" s="5" t="s">
        <v>156</v>
      </c>
      <c r="G36" s="8">
        <v>0.15</v>
      </c>
      <c r="H36" s="9">
        <v>42599.28</v>
      </c>
      <c r="I36" s="9">
        <v>0.63898920000000003</v>
      </c>
    </row>
    <row r="37" spans="1:9" x14ac:dyDescent="0.25">
      <c r="A37" s="5" t="s">
        <v>191</v>
      </c>
      <c r="B37" s="5" t="s">
        <v>29</v>
      </c>
      <c r="C37" s="6">
        <v>45992.767361111109</v>
      </c>
      <c r="D37" s="7">
        <v>1660</v>
      </c>
      <c r="E37" s="8">
        <v>417.89</v>
      </c>
      <c r="F37" s="5" t="s">
        <v>159</v>
      </c>
      <c r="G37" s="8">
        <v>0.1</v>
      </c>
      <c r="H37" s="9">
        <v>693697.4</v>
      </c>
      <c r="I37" s="9">
        <v>6.9369740000000002</v>
      </c>
    </row>
    <row r="38" spans="1:9" x14ac:dyDescent="0.25">
      <c r="A38" s="5" t="s">
        <v>192</v>
      </c>
      <c r="B38" s="5" t="s">
        <v>29</v>
      </c>
      <c r="C38" s="6">
        <v>45992.78125</v>
      </c>
      <c r="D38" s="7">
        <v>1069</v>
      </c>
      <c r="E38" s="8">
        <v>418.13</v>
      </c>
      <c r="F38" s="5" t="s">
        <v>159</v>
      </c>
      <c r="G38" s="8">
        <v>0.1</v>
      </c>
      <c r="H38" s="9">
        <v>446980.97</v>
      </c>
      <c r="I38" s="9">
        <v>4.4698096999999999</v>
      </c>
    </row>
    <row r="39" spans="1:9" x14ac:dyDescent="0.25">
      <c r="A39" s="5" t="s">
        <v>193</v>
      </c>
      <c r="B39" s="5" t="s">
        <v>29</v>
      </c>
      <c r="C39" s="6">
        <v>45992.798611111109</v>
      </c>
      <c r="D39" s="7">
        <v>231</v>
      </c>
      <c r="E39" s="8">
        <v>418.55</v>
      </c>
      <c r="F39" s="5" t="s">
        <v>156</v>
      </c>
      <c r="G39" s="8">
        <v>0.15</v>
      </c>
      <c r="H39" s="9">
        <v>96685.05</v>
      </c>
      <c r="I39" s="9">
        <v>1.4502757500000001</v>
      </c>
    </row>
    <row r="40" spans="1:9" x14ac:dyDescent="0.25">
      <c r="A40" s="5" t="s">
        <v>194</v>
      </c>
      <c r="B40" s="5" t="s">
        <v>30</v>
      </c>
      <c r="C40" s="6">
        <v>45996.635416666657</v>
      </c>
      <c r="D40" s="7">
        <v>4526</v>
      </c>
      <c r="E40" s="8">
        <v>194.92</v>
      </c>
      <c r="F40" s="5" t="s">
        <v>154</v>
      </c>
      <c r="G40" s="8">
        <v>0.05</v>
      </c>
      <c r="H40" s="9">
        <v>882207.91999999993</v>
      </c>
      <c r="I40" s="9">
        <v>4.4110396000000014</v>
      </c>
    </row>
    <row r="41" spans="1:9" x14ac:dyDescent="0.25">
      <c r="A41" s="5" t="s">
        <v>195</v>
      </c>
      <c r="B41" s="5" t="s">
        <v>30</v>
      </c>
      <c r="C41" s="6">
        <v>45996.666666666657</v>
      </c>
      <c r="D41" s="7">
        <v>1197</v>
      </c>
      <c r="E41" s="8">
        <v>194.77</v>
      </c>
      <c r="F41" s="5" t="s">
        <v>156</v>
      </c>
      <c r="G41" s="8">
        <v>0.15</v>
      </c>
      <c r="H41" s="9">
        <v>233139.69</v>
      </c>
      <c r="I41" s="9">
        <v>3.497095349999999</v>
      </c>
    </row>
    <row r="42" spans="1:9" x14ac:dyDescent="0.25">
      <c r="A42" s="5" t="s">
        <v>196</v>
      </c>
      <c r="B42" s="5" t="s">
        <v>30</v>
      </c>
      <c r="C42" s="6">
        <v>45996.690972222219</v>
      </c>
      <c r="D42" s="7">
        <v>938</v>
      </c>
      <c r="E42" s="8">
        <v>195.04</v>
      </c>
      <c r="F42" s="5" t="s">
        <v>156</v>
      </c>
      <c r="G42" s="8">
        <v>0.15</v>
      </c>
      <c r="H42" s="9">
        <v>182947.52</v>
      </c>
      <c r="I42" s="9">
        <v>2.7442128000000001</v>
      </c>
    </row>
    <row r="43" spans="1:9" x14ac:dyDescent="0.25">
      <c r="A43" s="5" t="s">
        <v>197</v>
      </c>
      <c r="B43" s="5" t="s">
        <v>31</v>
      </c>
      <c r="C43" s="6">
        <v>45996.704861111109</v>
      </c>
      <c r="D43" s="7">
        <v>411</v>
      </c>
      <c r="E43" s="8">
        <v>173.08</v>
      </c>
      <c r="F43" s="5" t="s">
        <v>154</v>
      </c>
      <c r="G43" s="8">
        <v>0.05</v>
      </c>
      <c r="H43" s="9">
        <v>71135.88</v>
      </c>
      <c r="I43" s="9">
        <v>0.35567939999999998</v>
      </c>
    </row>
    <row r="44" spans="1:9" x14ac:dyDescent="0.25">
      <c r="A44" s="5" t="s">
        <v>198</v>
      </c>
      <c r="B44" s="5" t="s">
        <v>31</v>
      </c>
      <c r="C44" s="6">
        <v>45996.725694444453</v>
      </c>
      <c r="D44" s="7">
        <v>873</v>
      </c>
      <c r="E44" s="8">
        <v>173.86</v>
      </c>
      <c r="F44" s="5" t="s">
        <v>156</v>
      </c>
      <c r="G44" s="8">
        <v>0.15</v>
      </c>
      <c r="H44" s="9">
        <v>151779.78</v>
      </c>
      <c r="I44" s="9">
        <v>2.2766967</v>
      </c>
    </row>
    <row r="45" spans="1:9" x14ac:dyDescent="0.25">
      <c r="A45" s="5" t="s">
        <v>199</v>
      </c>
      <c r="B45" s="5" t="s">
        <v>31</v>
      </c>
      <c r="C45" s="6">
        <v>45996.729166666657</v>
      </c>
      <c r="D45" s="7">
        <v>2390</v>
      </c>
      <c r="E45" s="8">
        <v>174</v>
      </c>
      <c r="F45" s="5" t="s">
        <v>156</v>
      </c>
      <c r="G45" s="8">
        <v>0.15</v>
      </c>
      <c r="H45" s="9">
        <v>415860</v>
      </c>
      <c r="I45" s="9">
        <v>6.2378999999999998</v>
      </c>
    </row>
    <row r="46" spans="1:9" x14ac:dyDescent="0.25">
      <c r="A46" s="5" t="s">
        <v>200</v>
      </c>
      <c r="B46" s="5" t="s">
        <v>31</v>
      </c>
      <c r="C46" s="6">
        <v>45996.739583333343</v>
      </c>
      <c r="D46" s="7">
        <v>228</v>
      </c>
      <c r="E46" s="8">
        <v>174.18</v>
      </c>
      <c r="F46" s="5" t="s">
        <v>156</v>
      </c>
      <c r="G46" s="8">
        <v>0.15</v>
      </c>
      <c r="H46" s="9">
        <v>39713.040000000001</v>
      </c>
      <c r="I46" s="9">
        <v>0.59569559999999999</v>
      </c>
    </row>
    <row r="47" spans="1:9" x14ac:dyDescent="0.25">
      <c r="A47" s="5" t="s">
        <v>201</v>
      </c>
      <c r="B47" s="5" t="s">
        <v>31</v>
      </c>
      <c r="C47" s="6">
        <v>45996.743055555547</v>
      </c>
      <c r="D47" s="7">
        <v>5</v>
      </c>
      <c r="E47" s="8">
        <v>174.24</v>
      </c>
      <c r="F47" s="5" t="s">
        <v>159</v>
      </c>
      <c r="G47" s="8">
        <v>0.1</v>
      </c>
      <c r="H47" s="9">
        <v>871.2</v>
      </c>
      <c r="I47" s="9">
        <v>8.712000000000001E-3</v>
      </c>
    </row>
    <row r="48" spans="1:9" x14ac:dyDescent="0.25">
      <c r="A48" s="5" t="s">
        <v>202</v>
      </c>
      <c r="B48" s="5" t="s">
        <v>31</v>
      </c>
      <c r="C48" s="6">
        <v>45996.746527777781</v>
      </c>
      <c r="D48" s="7">
        <v>135</v>
      </c>
      <c r="E48" s="8">
        <v>174.39</v>
      </c>
      <c r="F48" s="5" t="s">
        <v>156</v>
      </c>
      <c r="G48" s="8">
        <v>0.15</v>
      </c>
      <c r="H48" s="9">
        <v>23542.65</v>
      </c>
      <c r="I48" s="9">
        <v>0.35313974999999997</v>
      </c>
    </row>
    <row r="49" spans="1:9" x14ac:dyDescent="0.25">
      <c r="A49" s="5" t="s">
        <v>203</v>
      </c>
      <c r="B49" s="5" t="s">
        <v>31</v>
      </c>
      <c r="C49" s="6">
        <v>45996.75</v>
      </c>
      <c r="D49" s="7">
        <v>926</v>
      </c>
      <c r="E49" s="8">
        <v>174.54</v>
      </c>
      <c r="F49" s="5" t="s">
        <v>156</v>
      </c>
      <c r="G49" s="8">
        <v>0.15</v>
      </c>
      <c r="H49" s="9">
        <v>161624.04</v>
      </c>
      <c r="I49" s="9">
        <v>2.4243606</v>
      </c>
    </row>
    <row r="50" spans="1:9" x14ac:dyDescent="0.25">
      <c r="A50" s="5" t="s">
        <v>204</v>
      </c>
      <c r="B50" s="5" t="s">
        <v>31</v>
      </c>
      <c r="C50" s="6">
        <v>45996.753472222219</v>
      </c>
      <c r="D50" s="7">
        <v>419</v>
      </c>
      <c r="E50" s="8">
        <v>174.66</v>
      </c>
      <c r="F50" s="5" t="s">
        <v>154</v>
      </c>
      <c r="G50" s="8">
        <v>0.05</v>
      </c>
      <c r="H50" s="9">
        <v>73182.539999999994</v>
      </c>
      <c r="I50" s="9">
        <v>0.36591269999999998</v>
      </c>
    </row>
    <row r="51" spans="1:9" x14ac:dyDescent="0.25">
      <c r="A51" s="5" t="s">
        <v>205</v>
      </c>
      <c r="B51" s="5" t="s">
        <v>31</v>
      </c>
      <c r="C51" s="6">
        <v>45996.760416666657</v>
      </c>
      <c r="D51" s="7">
        <v>411</v>
      </c>
      <c r="E51" s="8">
        <v>174.55</v>
      </c>
      <c r="F51" s="5" t="s">
        <v>156</v>
      </c>
      <c r="G51" s="8">
        <v>0.15</v>
      </c>
      <c r="H51" s="9">
        <v>71740.05</v>
      </c>
      <c r="I51" s="9">
        <v>1.0761007499999999</v>
      </c>
    </row>
    <row r="52" spans="1:9" x14ac:dyDescent="0.25">
      <c r="A52" s="5" t="s">
        <v>206</v>
      </c>
      <c r="B52" s="5" t="s">
        <v>31</v>
      </c>
      <c r="C52" s="6">
        <v>45996.763888888891</v>
      </c>
      <c r="D52" s="7">
        <v>419</v>
      </c>
      <c r="E52" s="8">
        <v>174.55</v>
      </c>
      <c r="F52" s="5" t="s">
        <v>154</v>
      </c>
      <c r="G52" s="8">
        <v>0.05</v>
      </c>
      <c r="H52" s="9">
        <v>73136.450000000012</v>
      </c>
      <c r="I52" s="9">
        <v>0.36568224999999999</v>
      </c>
    </row>
    <row r="53" spans="1:9" x14ac:dyDescent="0.25">
      <c r="A53" s="5" t="s">
        <v>207</v>
      </c>
      <c r="B53" s="5" t="s">
        <v>33</v>
      </c>
      <c r="C53" s="6">
        <v>45992.729166666657</v>
      </c>
      <c r="D53" s="7">
        <v>161</v>
      </c>
      <c r="E53" s="8">
        <v>417.41</v>
      </c>
      <c r="F53" s="5" t="s">
        <v>159</v>
      </c>
      <c r="G53" s="8">
        <v>0.1</v>
      </c>
      <c r="H53" s="9">
        <v>67203.010000000009</v>
      </c>
      <c r="I53" s="9">
        <v>0.67203010000000007</v>
      </c>
    </row>
    <row r="54" spans="1:9" x14ac:dyDescent="0.25">
      <c r="A54" s="5" t="s">
        <v>208</v>
      </c>
      <c r="B54" s="5" t="s">
        <v>33</v>
      </c>
      <c r="C54" s="6">
        <v>45992.732638888891</v>
      </c>
      <c r="D54" s="7">
        <v>1517</v>
      </c>
      <c r="E54" s="8">
        <v>417.68</v>
      </c>
      <c r="F54" s="5" t="s">
        <v>156</v>
      </c>
      <c r="G54" s="8">
        <v>0.15</v>
      </c>
      <c r="H54" s="9">
        <v>633620.56000000006</v>
      </c>
      <c r="I54" s="9">
        <v>9.5043084000000011</v>
      </c>
    </row>
    <row r="55" spans="1:9" x14ac:dyDescent="0.25">
      <c r="A55" s="5" t="s">
        <v>209</v>
      </c>
      <c r="B55" s="5" t="s">
        <v>33</v>
      </c>
      <c r="C55" s="6">
        <v>45992.739583333343</v>
      </c>
      <c r="D55" s="7">
        <v>346</v>
      </c>
      <c r="E55" s="8">
        <v>417.74</v>
      </c>
      <c r="F55" s="5" t="s">
        <v>156</v>
      </c>
      <c r="G55" s="8">
        <v>0.15</v>
      </c>
      <c r="H55" s="9">
        <v>144538.04</v>
      </c>
      <c r="I55" s="9">
        <v>2.1680706000000001</v>
      </c>
    </row>
    <row r="56" spans="1:9" x14ac:dyDescent="0.25">
      <c r="A56" s="5" t="s">
        <v>210</v>
      </c>
      <c r="B56" s="5" t="s">
        <v>33</v>
      </c>
      <c r="C56" s="6">
        <v>45992.743055555547</v>
      </c>
      <c r="D56" s="7">
        <v>3189</v>
      </c>
      <c r="E56" s="8">
        <v>418.07</v>
      </c>
      <c r="F56" s="5" t="s">
        <v>156</v>
      </c>
      <c r="G56" s="8">
        <v>0.15</v>
      </c>
      <c r="H56" s="9">
        <v>1333225.23</v>
      </c>
      <c r="I56" s="9">
        <v>19.998378450000001</v>
      </c>
    </row>
    <row r="57" spans="1:9" x14ac:dyDescent="0.25">
      <c r="A57" s="5" t="s">
        <v>211</v>
      </c>
      <c r="B57" s="5" t="s">
        <v>33</v>
      </c>
      <c r="C57" s="6">
        <v>45992.746527777781</v>
      </c>
      <c r="D57" s="7">
        <v>569</v>
      </c>
      <c r="E57" s="8">
        <v>418.7</v>
      </c>
      <c r="F57" s="5" t="s">
        <v>154</v>
      </c>
      <c r="G57" s="8">
        <v>0.05</v>
      </c>
      <c r="H57" s="9">
        <v>238240.3</v>
      </c>
      <c r="I57" s="9">
        <v>1.1912015</v>
      </c>
    </row>
    <row r="58" spans="1:9" x14ac:dyDescent="0.25">
      <c r="A58" s="5" t="s">
        <v>212</v>
      </c>
      <c r="B58" s="5" t="s">
        <v>33</v>
      </c>
      <c r="C58" s="6">
        <v>45992.753472222219</v>
      </c>
      <c r="D58" s="7">
        <v>495</v>
      </c>
      <c r="E58" s="8">
        <v>418.37</v>
      </c>
      <c r="F58" s="5" t="s">
        <v>156</v>
      </c>
      <c r="G58" s="8">
        <v>0.15</v>
      </c>
      <c r="H58" s="9">
        <v>207093.15</v>
      </c>
      <c r="I58" s="9">
        <v>3.1063972500000001</v>
      </c>
    </row>
    <row r="59" spans="1:9" x14ac:dyDescent="0.25">
      <c r="A59" s="5" t="s">
        <v>213</v>
      </c>
      <c r="B59" s="5" t="s">
        <v>33</v>
      </c>
      <c r="C59" s="6">
        <v>45992.756944444453</v>
      </c>
      <c r="D59" s="7">
        <v>1096</v>
      </c>
      <c r="E59" s="8">
        <v>418.45</v>
      </c>
      <c r="F59" s="5" t="s">
        <v>159</v>
      </c>
      <c r="G59" s="8">
        <v>0.1</v>
      </c>
      <c r="H59" s="9">
        <v>458621.2</v>
      </c>
      <c r="I59" s="9">
        <v>4.5862120000000006</v>
      </c>
    </row>
    <row r="60" spans="1:9" x14ac:dyDescent="0.25">
      <c r="A60" s="5" t="s">
        <v>214</v>
      </c>
      <c r="B60" s="5" t="s">
        <v>33</v>
      </c>
      <c r="C60" s="6">
        <v>45992.760416666657</v>
      </c>
      <c r="D60" s="7">
        <v>929</v>
      </c>
      <c r="E60" s="8">
        <v>417.52</v>
      </c>
      <c r="F60" s="5" t="s">
        <v>156</v>
      </c>
      <c r="G60" s="8">
        <v>0.15</v>
      </c>
      <c r="H60" s="9">
        <v>387876.08</v>
      </c>
      <c r="I60" s="9">
        <v>5.8181411999999986</v>
      </c>
    </row>
    <row r="61" spans="1:9" x14ac:dyDescent="0.25">
      <c r="A61" s="5" t="s">
        <v>215</v>
      </c>
      <c r="B61" s="5" t="s">
        <v>33</v>
      </c>
      <c r="C61" s="6">
        <v>45992.763888888891</v>
      </c>
      <c r="D61" s="7">
        <v>1595</v>
      </c>
      <c r="E61" s="8">
        <v>417.5</v>
      </c>
      <c r="F61" s="5" t="s">
        <v>156</v>
      </c>
      <c r="G61" s="8">
        <v>0.15</v>
      </c>
      <c r="H61" s="9">
        <v>665912.5</v>
      </c>
      <c r="I61" s="9">
        <v>9.9886874999999993</v>
      </c>
    </row>
    <row r="62" spans="1:9" x14ac:dyDescent="0.25">
      <c r="A62" s="5" t="s">
        <v>216</v>
      </c>
      <c r="B62" s="5" t="s">
        <v>33</v>
      </c>
      <c r="C62" s="6">
        <v>45992.767361111109</v>
      </c>
      <c r="D62" s="7">
        <v>988</v>
      </c>
      <c r="E62" s="8">
        <v>417.92</v>
      </c>
      <c r="F62" s="5" t="s">
        <v>154</v>
      </c>
      <c r="G62" s="8">
        <v>0.05</v>
      </c>
      <c r="H62" s="9">
        <v>412904.96000000002</v>
      </c>
      <c r="I62" s="9">
        <v>2.0645248</v>
      </c>
    </row>
    <row r="63" spans="1:9" x14ac:dyDescent="0.25">
      <c r="A63" s="5" t="s">
        <v>217</v>
      </c>
      <c r="B63" s="5" t="s">
        <v>33</v>
      </c>
      <c r="C63" s="6">
        <v>45992.770833333343</v>
      </c>
      <c r="D63" s="7">
        <v>220</v>
      </c>
      <c r="E63" s="8">
        <v>418.64</v>
      </c>
      <c r="F63" s="5" t="s">
        <v>156</v>
      </c>
      <c r="G63" s="8">
        <v>0.15</v>
      </c>
      <c r="H63" s="9">
        <v>92100.800000000003</v>
      </c>
      <c r="I63" s="9">
        <v>1.3815120000000001</v>
      </c>
    </row>
    <row r="64" spans="1:9" x14ac:dyDescent="0.25">
      <c r="A64" s="5" t="s">
        <v>218</v>
      </c>
      <c r="B64" s="5" t="s">
        <v>33</v>
      </c>
      <c r="C64" s="6">
        <v>45992.774305555547</v>
      </c>
      <c r="D64" s="7">
        <v>480</v>
      </c>
      <c r="E64" s="8">
        <v>417.9</v>
      </c>
      <c r="F64" s="5" t="s">
        <v>159</v>
      </c>
      <c r="G64" s="8">
        <v>0.1</v>
      </c>
      <c r="H64" s="9">
        <v>200592</v>
      </c>
      <c r="I64" s="9">
        <v>2.0059200000000001</v>
      </c>
    </row>
    <row r="65" spans="1:9" x14ac:dyDescent="0.25">
      <c r="A65" s="5" t="s">
        <v>219</v>
      </c>
      <c r="B65" s="5" t="s">
        <v>33</v>
      </c>
      <c r="C65" s="6">
        <v>45992.777777777781</v>
      </c>
      <c r="D65" s="7">
        <v>662</v>
      </c>
      <c r="E65" s="8">
        <v>418</v>
      </c>
      <c r="F65" s="5" t="s">
        <v>159</v>
      </c>
      <c r="G65" s="8">
        <v>0.1</v>
      </c>
      <c r="H65" s="9">
        <v>276716</v>
      </c>
      <c r="I65" s="9">
        <v>2.7671600000000001</v>
      </c>
    </row>
    <row r="66" spans="1:9" x14ac:dyDescent="0.25">
      <c r="A66" s="5" t="s">
        <v>220</v>
      </c>
      <c r="B66" s="5" t="s">
        <v>33</v>
      </c>
      <c r="C66" s="6">
        <v>45992.78125</v>
      </c>
      <c r="D66" s="7">
        <v>794</v>
      </c>
      <c r="E66" s="8">
        <v>418.1</v>
      </c>
      <c r="F66" s="5" t="s">
        <v>156</v>
      </c>
      <c r="G66" s="8">
        <v>0.15</v>
      </c>
      <c r="H66" s="9">
        <v>331971.40000000002</v>
      </c>
      <c r="I66" s="9">
        <v>4.979571</v>
      </c>
    </row>
    <row r="67" spans="1:9" x14ac:dyDescent="0.25">
      <c r="A67" s="5" t="s">
        <v>221</v>
      </c>
      <c r="B67" s="5" t="s">
        <v>34</v>
      </c>
      <c r="C67" s="6">
        <v>45996.618055555547</v>
      </c>
      <c r="D67" s="7">
        <v>1945</v>
      </c>
      <c r="E67" s="8">
        <v>185.04</v>
      </c>
      <c r="F67" s="5" t="s">
        <v>156</v>
      </c>
      <c r="G67" s="8">
        <v>0.15</v>
      </c>
      <c r="H67" s="9">
        <v>359902.8</v>
      </c>
      <c r="I67" s="9">
        <v>5.398542</v>
      </c>
    </row>
    <row r="68" spans="1:9" x14ac:dyDescent="0.25">
      <c r="A68" s="5" t="s">
        <v>222</v>
      </c>
      <c r="B68" s="5" t="s">
        <v>34</v>
      </c>
      <c r="C68" s="6">
        <v>45996.621527777781</v>
      </c>
      <c r="D68" s="7">
        <v>1769</v>
      </c>
      <c r="E68" s="8">
        <v>185.21</v>
      </c>
      <c r="F68" s="5" t="s">
        <v>156</v>
      </c>
      <c r="G68" s="8">
        <v>0.15</v>
      </c>
      <c r="H68" s="9">
        <v>327636.49</v>
      </c>
      <c r="I68" s="9">
        <v>4.9145473500000003</v>
      </c>
    </row>
    <row r="69" spans="1:9" x14ac:dyDescent="0.25">
      <c r="A69" s="5" t="s">
        <v>223</v>
      </c>
      <c r="B69" s="5" t="s">
        <v>34</v>
      </c>
      <c r="C69" s="6">
        <v>45996.625</v>
      </c>
      <c r="D69" s="7">
        <v>412</v>
      </c>
      <c r="E69" s="8">
        <v>185.36</v>
      </c>
      <c r="F69" s="5" t="s">
        <v>156</v>
      </c>
      <c r="G69" s="8">
        <v>0.15</v>
      </c>
      <c r="H69" s="9">
        <v>76368.320000000007</v>
      </c>
      <c r="I69" s="9">
        <v>1.1455248</v>
      </c>
    </row>
    <row r="70" spans="1:9" x14ac:dyDescent="0.25">
      <c r="A70" s="5" t="s">
        <v>224</v>
      </c>
      <c r="B70" s="5" t="s">
        <v>34</v>
      </c>
      <c r="C70" s="6">
        <v>45996.628472222219</v>
      </c>
      <c r="D70" s="7">
        <v>1118</v>
      </c>
      <c r="E70" s="8">
        <v>185.33</v>
      </c>
      <c r="F70" s="5" t="s">
        <v>159</v>
      </c>
      <c r="G70" s="8">
        <v>0.1</v>
      </c>
      <c r="H70" s="9">
        <v>207198.94</v>
      </c>
      <c r="I70" s="9">
        <v>2.0719894000000001</v>
      </c>
    </row>
    <row r="71" spans="1:9" x14ac:dyDescent="0.25">
      <c r="A71" s="5" t="s">
        <v>225</v>
      </c>
      <c r="B71" s="5" t="s">
        <v>34</v>
      </c>
      <c r="C71" s="6">
        <v>45996.635416666657</v>
      </c>
      <c r="D71" s="7">
        <v>2318</v>
      </c>
      <c r="E71" s="8">
        <v>185.63</v>
      </c>
      <c r="F71" s="5" t="s">
        <v>156</v>
      </c>
      <c r="G71" s="8">
        <v>0.15</v>
      </c>
      <c r="H71" s="9">
        <v>430290.34</v>
      </c>
      <c r="I71" s="9">
        <v>6.454355099999999</v>
      </c>
    </row>
    <row r="72" spans="1:9" x14ac:dyDescent="0.25">
      <c r="A72" s="5" t="s">
        <v>226</v>
      </c>
      <c r="B72" s="5" t="s">
        <v>34</v>
      </c>
      <c r="C72" s="6">
        <v>45996.638888888891</v>
      </c>
      <c r="D72" s="7">
        <v>688</v>
      </c>
      <c r="E72" s="8">
        <v>185.63</v>
      </c>
      <c r="F72" s="5" t="s">
        <v>156</v>
      </c>
      <c r="G72" s="8">
        <v>0.15</v>
      </c>
      <c r="H72" s="9">
        <v>127713.44</v>
      </c>
      <c r="I72" s="9">
        <v>1.9157016</v>
      </c>
    </row>
    <row r="73" spans="1:9" x14ac:dyDescent="0.25">
      <c r="A73" s="5" t="s">
        <v>227</v>
      </c>
      <c r="B73" s="5" t="s">
        <v>34</v>
      </c>
      <c r="C73" s="6">
        <v>45996.642361111109</v>
      </c>
      <c r="D73" s="7">
        <v>1521</v>
      </c>
      <c r="E73" s="8">
        <v>185.54</v>
      </c>
      <c r="F73" s="5" t="s">
        <v>154</v>
      </c>
      <c r="G73" s="8">
        <v>0.05</v>
      </c>
      <c r="H73" s="9">
        <v>282206.34000000003</v>
      </c>
      <c r="I73" s="9">
        <v>1.4110317000000001</v>
      </c>
    </row>
    <row r="74" spans="1:9" x14ac:dyDescent="0.25">
      <c r="A74" s="5" t="s">
        <v>228</v>
      </c>
      <c r="B74" s="5" t="s">
        <v>34</v>
      </c>
      <c r="C74" s="6">
        <v>45996.645833333343</v>
      </c>
      <c r="D74" s="7">
        <v>2382</v>
      </c>
      <c r="E74" s="8">
        <v>185.62</v>
      </c>
      <c r="F74" s="5" t="s">
        <v>154</v>
      </c>
      <c r="G74" s="8">
        <v>0.05</v>
      </c>
      <c r="H74" s="9">
        <v>442146.84</v>
      </c>
      <c r="I74" s="9">
        <v>2.210734200000001</v>
      </c>
    </row>
    <row r="75" spans="1:9" x14ac:dyDescent="0.25">
      <c r="A75" s="5" t="s">
        <v>229</v>
      </c>
      <c r="B75" s="5" t="s">
        <v>34</v>
      </c>
      <c r="C75" s="6">
        <v>45996.649305555547</v>
      </c>
      <c r="D75" s="7">
        <v>664</v>
      </c>
      <c r="E75" s="8">
        <v>185.82</v>
      </c>
      <c r="F75" s="5" t="s">
        <v>156</v>
      </c>
      <c r="G75" s="8">
        <v>0.15</v>
      </c>
      <c r="H75" s="9">
        <v>123384.48</v>
      </c>
      <c r="I75" s="9">
        <v>1.8507671999999999</v>
      </c>
    </row>
    <row r="76" spans="1:9" x14ac:dyDescent="0.25">
      <c r="A76" s="5" t="s">
        <v>230</v>
      </c>
      <c r="B76" s="5" t="s">
        <v>35</v>
      </c>
      <c r="C76" s="6">
        <v>45995.694444444453</v>
      </c>
      <c r="D76" s="7">
        <v>1849</v>
      </c>
      <c r="E76" s="8">
        <v>423.84</v>
      </c>
      <c r="F76" s="5" t="s">
        <v>156</v>
      </c>
      <c r="G76" s="8">
        <v>0.15</v>
      </c>
      <c r="H76" s="9">
        <v>783680.15999999992</v>
      </c>
      <c r="I76" s="9">
        <v>11.7552024</v>
      </c>
    </row>
    <row r="77" spans="1:9" x14ac:dyDescent="0.25">
      <c r="A77" s="5" t="s">
        <v>231</v>
      </c>
      <c r="B77" s="5" t="s">
        <v>35</v>
      </c>
      <c r="C77" s="6">
        <v>45995.697916666657</v>
      </c>
      <c r="D77" s="7">
        <v>1608</v>
      </c>
      <c r="E77" s="8">
        <v>424.66</v>
      </c>
      <c r="F77" s="5" t="s">
        <v>156</v>
      </c>
      <c r="G77" s="8">
        <v>0.15</v>
      </c>
      <c r="H77" s="9">
        <v>682853.28</v>
      </c>
      <c r="I77" s="9">
        <v>10.2427992</v>
      </c>
    </row>
    <row r="78" spans="1:9" x14ac:dyDescent="0.25">
      <c r="A78" s="5" t="s">
        <v>232</v>
      </c>
      <c r="B78" s="5" t="s">
        <v>35</v>
      </c>
      <c r="C78" s="6">
        <v>45995.704861111109</v>
      </c>
      <c r="D78" s="7">
        <v>10773</v>
      </c>
      <c r="E78" s="8">
        <v>424.14</v>
      </c>
      <c r="F78" s="5" t="s">
        <v>156</v>
      </c>
      <c r="G78" s="8">
        <v>0.15</v>
      </c>
      <c r="H78" s="9">
        <v>4569260.22</v>
      </c>
      <c r="I78" s="9">
        <v>68.538903299999987</v>
      </c>
    </row>
    <row r="79" spans="1:9" x14ac:dyDescent="0.25">
      <c r="A79" s="5" t="s">
        <v>233</v>
      </c>
      <c r="B79" s="5" t="s">
        <v>35</v>
      </c>
      <c r="C79" s="6">
        <v>45995.708333333343</v>
      </c>
      <c r="D79" s="7">
        <v>3611</v>
      </c>
      <c r="E79" s="8">
        <v>424.32</v>
      </c>
      <c r="F79" s="5" t="s">
        <v>156</v>
      </c>
      <c r="G79" s="8">
        <v>0.15</v>
      </c>
      <c r="H79" s="9">
        <v>1532219.52</v>
      </c>
      <c r="I79" s="9">
        <v>22.983292800000001</v>
      </c>
    </row>
    <row r="80" spans="1:9" x14ac:dyDescent="0.25">
      <c r="A80" s="5" t="s">
        <v>234</v>
      </c>
      <c r="B80" s="5" t="s">
        <v>35</v>
      </c>
      <c r="C80" s="6">
        <v>45995.715277777781</v>
      </c>
      <c r="D80" s="7">
        <v>2077</v>
      </c>
      <c r="E80" s="8">
        <v>424.74</v>
      </c>
      <c r="F80" s="5" t="s">
        <v>156</v>
      </c>
      <c r="G80" s="8">
        <v>0.15</v>
      </c>
      <c r="H80" s="9">
        <v>882184.98</v>
      </c>
      <c r="I80" s="9">
        <v>13.2327747</v>
      </c>
    </row>
    <row r="81" spans="1:9" x14ac:dyDescent="0.25">
      <c r="A81" s="5" t="s">
        <v>235</v>
      </c>
      <c r="B81" s="5" t="s">
        <v>36</v>
      </c>
      <c r="C81" s="6">
        <v>45994.684027777781</v>
      </c>
      <c r="D81" s="7">
        <v>1413</v>
      </c>
      <c r="E81" s="8">
        <v>244.21</v>
      </c>
      <c r="F81" s="5" t="s">
        <v>154</v>
      </c>
      <c r="G81" s="8">
        <v>0.05</v>
      </c>
      <c r="H81" s="9">
        <v>345068.73</v>
      </c>
      <c r="I81" s="9">
        <v>1.7253436499999999</v>
      </c>
    </row>
    <row r="82" spans="1:9" x14ac:dyDescent="0.25">
      <c r="A82" s="5" t="s">
        <v>236</v>
      </c>
      <c r="B82" s="5" t="s">
        <v>36</v>
      </c>
      <c r="C82" s="6">
        <v>45994.690972222219</v>
      </c>
      <c r="D82" s="7">
        <v>2417</v>
      </c>
      <c r="E82" s="8">
        <v>243.67</v>
      </c>
      <c r="F82" s="5" t="s">
        <v>156</v>
      </c>
      <c r="G82" s="8">
        <v>0.15</v>
      </c>
      <c r="H82" s="9">
        <v>588950.39</v>
      </c>
      <c r="I82" s="9">
        <v>8.8342558499999999</v>
      </c>
    </row>
    <row r="83" spans="1:9" x14ac:dyDescent="0.25">
      <c r="A83" s="5" t="s">
        <v>237</v>
      </c>
      <c r="B83" s="5" t="s">
        <v>36</v>
      </c>
      <c r="C83" s="6">
        <v>45994.694444444453</v>
      </c>
      <c r="D83" s="7">
        <v>1488</v>
      </c>
      <c r="E83" s="8">
        <v>243.96</v>
      </c>
      <c r="F83" s="5" t="s">
        <v>156</v>
      </c>
      <c r="G83" s="8">
        <v>0.15</v>
      </c>
      <c r="H83" s="9">
        <v>363012.48</v>
      </c>
      <c r="I83" s="9">
        <v>5.4451872000000003</v>
      </c>
    </row>
    <row r="84" spans="1:9" x14ac:dyDescent="0.25">
      <c r="A84" s="5" t="s">
        <v>238</v>
      </c>
      <c r="B84" s="5" t="s">
        <v>36</v>
      </c>
      <c r="C84" s="6">
        <v>45994.697916666657</v>
      </c>
      <c r="D84" s="7">
        <v>179</v>
      </c>
      <c r="E84" s="8">
        <v>244.25</v>
      </c>
      <c r="F84" s="5" t="s">
        <v>159</v>
      </c>
      <c r="G84" s="8">
        <v>0.1</v>
      </c>
      <c r="H84" s="9">
        <v>43720.75</v>
      </c>
      <c r="I84" s="9">
        <v>0.43720750000000003</v>
      </c>
    </row>
    <row r="85" spans="1:9" x14ac:dyDescent="0.25">
      <c r="A85" s="5" t="s">
        <v>239</v>
      </c>
      <c r="B85" s="5" t="s">
        <v>36</v>
      </c>
      <c r="C85" s="6">
        <v>45994.701388888891</v>
      </c>
      <c r="D85" s="7">
        <v>2538</v>
      </c>
      <c r="E85" s="8">
        <v>244.22</v>
      </c>
      <c r="F85" s="5" t="s">
        <v>159</v>
      </c>
      <c r="G85" s="8">
        <v>0.1</v>
      </c>
      <c r="H85" s="9">
        <v>619830.36</v>
      </c>
      <c r="I85" s="9">
        <v>6.1983036</v>
      </c>
    </row>
    <row r="86" spans="1:9" x14ac:dyDescent="0.25">
      <c r="A86" s="5" t="s">
        <v>240</v>
      </c>
      <c r="B86" s="5" t="s">
        <v>36</v>
      </c>
      <c r="C86" s="6">
        <v>45994.708333333343</v>
      </c>
      <c r="D86" s="7">
        <v>253</v>
      </c>
      <c r="E86" s="8">
        <v>244.82</v>
      </c>
      <c r="F86" s="5" t="s">
        <v>154</v>
      </c>
      <c r="G86" s="8">
        <v>0.05</v>
      </c>
      <c r="H86" s="9">
        <v>61939.46</v>
      </c>
      <c r="I86" s="9">
        <v>0.30969730000000001</v>
      </c>
    </row>
    <row r="87" spans="1:9" x14ac:dyDescent="0.25">
      <c r="A87" s="5" t="s">
        <v>241</v>
      </c>
      <c r="B87" s="5" t="s">
        <v>36</v>
      </c>
      <c r="C87" s="6">
        <v>45994.711805555547</v>
      </c>
      <c r="D87" s="7">
        <v>1705</v>
      </c>
      <c r="E87" s="8">
        <v>244.95</v>
      </c>
      <c r="F87" s="5" t="s">
        <v>156</v>
      </c>
      <c r="G87" s="8">
        <v>0.15</v>
      </c>
      <c r="H87" s="9">
        <v>417639.75</v>
      </c>
      <c r="I87" s="9">
        <v>6.2645962499999994</v>
      </c>
    </row>
    <row r="88" spans="1:9" x14ac:dyDescent="0.25">
      <c r="A88" s="5" t="s">
        <v>242</v>
      </c>
      <c r="B88" s="5" t="s">
        <v>36</v>
      </c>
      <c r="C88" s="6">
        <v>45994.739583333343</v>
      </c>
      <c r="D88" s="7">
        <v>119</v>
      </c>
      <c r="E88" s="8">
        <v>246.02</v>
      </c>
      <c r="F88" s="5" t="s">
        <v>156</v>
      </c>
      <c r="G88" s="8">
        <v>0.15</v>
      </c>
      <c r="H88" s="9">
        <v>29276.38</v>
      </c>
      <c r="I88" s="9">
        <v>0.43914570000000003</v>
      </c>
    </row>
    <row r="89" spans="1:9" x14ac:dyDescent="0.25">
      <c r="A89" s="5" t="s">
        <v>243</v>
      </c>
      <c r="B89" s="5" t="s">
        <v>36</v>
      </c>
      <c r="C89" s="6">
        <v>45994.767361111109</v>
      </c>
      <c r="D89" s="7">
        <v>970</v>
      </c>
      <c r="E89" s="8">
        <v>246.65</v>
      </c>
      <c r="F89" s="5" t="s">
        <v>159</v>
      </c>
      <c r="G89" s="8">
        <v>0.1</v>
      </c>
      <c r="H89" s="9">
        <v>239250.5</v>
      </c>
      <c r="I89" s="9">
        <v>2.3925049999999999</v>
      </c>
    </row>
    <row r="90" spans="1:9" x14ac:dyDescent="0.25">
      <c r="A90" s="5" t="s">
        <v>244</v>
      </c>
      <c r="B90" s="5" t="s">
        <v>36</v>
      </c>
      <c r="C90" s="6">
        <v>45994.774305555547</v>
      </c>
      <c r="D90" s="7">
        <v>642</v>
      </c>
      <c r="E90" s="8">
        <v>246.3</v>
      </c>
      <c r="F90" s="5" t="s">
        <v>159</v>
      </c>
      <c r="G90" s="8">
        <v>0.1</v>
      </c>
      <c r="H90" s="9">
        <v>158124.6</v>
      </c>
      <c r="I90" s="9">
        <v>1.5812459999999999</v>
      </c>
    </row>
    <row r="91" spans="1:9" x14ac:dyDescent="0.25">
      <c r="A91" s="5" t="s">
        <v>245</v>
      </c>
      <c r="B91" s="5" t="s">
        <v>37</v>
      </c>
      <c r="C91" s="6">
        <v>45992.788194444453</v>
      </c>
      <c r="D91" s="7">
        <v>7812</v>
      </c>
      <c r="E91" s="8">
        <v>173.88</v>
      </c>
      <c r="F91" s="5" t="s">
        <v>156</v>
      </c>
      <c r="G91" s="8">
        <v>0.15</v>
      </c>
      <c r="H91" s="9">
        <v>1358350.56</v>
      </c>
      <c r="I91" s="9">
        <v>20.3752584</v>
      </c>
    </row>
    <row r="92" spans="1:9" x14ac:dyDescent="0.25">
      <c r="A92" s="5" t="s">
        <v>246</v>
      </c>
      <c r="B92" s="5" t="s">
        <v>37</v>
      </c>
      <c r="C92" s="6">
        <v>45992.791666666657</v>
      </c>
      <c r="D92" s="7">
        <v>2113</v>
      </c>
      <c r="E92" s="8">
        <v>174.17</v>
      </c>
      <c r="F92" s="5" t="s">
        <v>159</v>
      </c>
      <c r="G92" s="8">
        <v>0.1</v>
      </c>
      <c r="H92" s="9">
        <v>368021.21</v>
      </c>
      <c r="I92" s="9">
        <v>3.6802120999999999</v>
      </c>
    </row>
    <row r="93" spans="1:9" x14ac:dyDescent="0.25">
      <c r="A93" s="5" t="s">
        <v>247</v>
      </c>
      <c r="B93" s="5" t="s">
        <v>37</v>
      </c>
      <c r="C93" s="6">
        <v>45992.795138888891</v>
      </c>
      <c r="D93" s="7">
        <v>143</v>
      </c>
      <c r="E93" s="8">
        <v>174.23</v>
      </c>
      <c r="F93" s="5" t="s">
        <v>156</v>
      </c>
      <c r="G93" s="8">
        <v>0.15</v>
      </c>
      <c r="H93" s="9">
        <v>24914.89</v>
      </c>
      <c r="I93" s="9">
        <v>0.37372335000000001</v>
      </c>
    </row>
    <row r="94" spans="1:9" x14ac:dyDescent="0.25">
      <c r="A94" s="5" t="s">
        <v>248</v>
      </c>
      <c r="B94" s="5" t="s">
        <v>37</v>
      </c>
      <c r="C94" s="6">
        <v>45992.802083333343</v>
      </c>
      <c r="D94" s="7">
        <v>668</v>
      </c>
      <c r="E94" s="8">
        <v>174.32</v>
      </c>
      <c r="F94" s="5" t="s">
        <v>156</v>
      </c>
      <c r="G94" s="8">
        <v>0.15</v>
      </c>
      <c r="H94" s="9">
        <v>116445.75999999999</v>
      </c>
      <c r="I94" s="9">
        <v>1.7466864</v>
      </c>
    </row>
    <row r="95" spans="1:9" x14ac:dyDescent="0.25">
      <c r="A95" s="5" t="s">
        <v>249</v>
      </c>
      <c r="B95" s="5" t="s">
        <v>37</v>
      </c>
      <c r="C95" s="6">
        <v>45992.805555555547</v>
      </c>
      <c r="D95" s="7">
        <v>2285</v>
      </c>
      <c r="E95" s="8">
        <v>174.5</v>
      </c>
      <c r="F95" s="5" t="s">
        <v>159</v>
      </c>
      <c r="G95" s="8">
        <v>0.1</v>
      </c>
      <c r="H95" s="9">
        <v>398732.5</v>
      </c>
      <c r="I95" s="9">
        <v>3.9873249999999998</v>
      </c>
    </row>
    <row r="96" spans="1:9" x14ac:dyDescent="0.25">
      <c r="A96" s="5" t="s">
        <v>250</v>
      </c>
      <c r="B96" s="5" t="s">
        <v>37</v>
      </c>
      <c r="C96" s="6">
        <v>45992.809027777781</v>
      </c>
      <c r="D96" s="7">
        <v>1544</v>
      </c>
      <c r="E96" s="8">
        <v>174.56</v>
      </c>
      <c r="F96" s="5" t="s">
        <v>159</v>
      </c>
      <c r="G96" s="8">
        <v>0.1</v>
      </c>
      <c r="H96" s="9">
        <v>269520.64000000001</v>
      </c>
      <c r="I96" s="9">
        <v>2.6952064</v>
      </c>
    </row>
    <row r="97" spans="1:9" x14ac:dyDescent="0.25">
      <c r="A97" s="5" t="s">
        <v>251</v>
      </c>
      <c r="B97" s="5" t="s">
        <v>37</v>
      </c>
      <c r="C97" s="6">
        <v>45992.8125</v>
      </c>
      <c r="D97" s="7">
        <v>3407</v>
      </c>
      <c r="E97" s="8">
        <v>174.6</v>
      </c>
      <c r="F97" s="5" t="s">
        <v>156</v>
      </c>
      <c r="G97" s="8">
        <v>0.15</v>
      </c>
      <c r="H97" s="9">
        <v>594862.19999999995</v>
      </c>
      <c r="I97" s="9">
        <v>8.9229329999999987</v>
      </c>
    </row>
    <row r="98" spans="1:9" x14ac:dyDescent="0.25">
      <c r="A98" s="5" t="s">
        <v>252</v>
      </c>
      <c r="B98" s="5" t="s">
        <v>37</v>
      </c>
      <c r="C98" s="6">
        <v>45992.815972222219</v>
      </c>
      <c r="D98" s="7">
        <v>1192</v>
      </c>
      <c r="E98" s="8">
        <v>174.73</v>
      </c>
      <c r="F98" s="5" t="s">
        <v>156</v>
      </c>
      <c r="G98" s="8">
        <v>0.15</v>
      </c>
      <c r="H98" s="9">
        <v>208278.16</v>
      </c>
      <c r="I98" s="9">
        <v>3.1241724</v>
      </c>
    </row>
    <row r="99" spans="1:9" x14ac:dyDescent="0.25">
      <c r="A99" s="5" t="s">
        <v>253</v>
      </c>
      <c r="B99" s="5" t="s">
        <v>38</v>
      </c>
      <c r="C99" s="6">
        <v>45992.763888888891</v>
      </c>
      <c r="D99" s="7">
        <v>349</v>
      </c>
      <c r="E99" s="8">
        <v>193.8</v>
      </c>
      <c r="F99" s="5" t="s">
        <v>159</v>
      </c>
      <c r="G99" s="8">
        <v>0.1</v>
      </c>
      <c r="H99" s="9">
        <v>67636.2</v>
      </c>
      <c r="I99" s="9">
        <v>0.67636200000000002</v>
      </c>
    </row>
    <row r="100" spans="1:9" x14ac:dyDescent="0.25">
      <c r="A100" s="5" t="s">
        <v>254</v>
      </c>
      <c r="B100" s="5" t="s">
        <v>38</v>
      </c>
      <c r="C100" s="6">
        <v>45992.767361111109</v>
      </c>
      <c r="D100" s="7">
        <v>247</v>
      </c>
      <c r="E100" s="8">
        <v>193.96</v>
      </c>
      <c r="F100" s="5" t="s">
        <v>156</v>
      </c>
      <c r="G100" s="8">
        <v>0.15</v>
      </c>
      <c r="H100" s="9">
        <v>47908.12</v>
      </c>
      <c r="I100" s="9">
        <v>0.71862179999999998</v>
      </c>
    </row>
    <row r="101" spans="1:9" x14ac:dyDescent="0.25">
      <c r="A101" s="5" t="s">
        <v>255</v>
      </c>
      <c r="B101" s="5" t="s">
        <v>38</v>
      </c>
      <c r="C101" s="6">
        <v>45992.777777777781</v>
      </c>
      <c r="D101" s="7">
        <v>284</v>
      </c>
      <c r="E101" s="8">
        <v>193.69</v>
      </c>
      <c r="F101" s="5" t="s">
        <v>159</v>
      </c>
      <c r="G101" s="8">
        <v>0.1</v>
      </c>
      <c r="H101" s="9">
        <v>55007.96</v>
      </c>
      <c r="I101" s="9">
        <v>0.5500796</v>
      </c>
    </row>
    <row r="102" spans="1:9" x14ac:dyDescent="0.25">
      <c r="A102" s="5" t="s">
        <v>256</v>
      </c>
      <c r="B102" s="5" t="s">
        <v>38</v>
      </c>
      <c r="C102" s="6">
        <v>45992.784722222219</v>
      </c>
      <c r="D102" s="7">
        <v>837</v>
      </c>
      <c r="E102" s="8">
        <v>194.03</v>
      </c>
      <c r="F102" s="5" t="s">
        <v>156</v>
      </c>
      <c r="G102" s="8">
        <v>0.15</v>
      </c>
      <c r="H102" s="9">
        <v>162403.10999999999</v>
      </c>
      <c r="I102" s="9">
        <v>2.4360466500000002</v>
      </c>
    </row>
    <row r="103" spans="1:9" x14ac:dyDescent="0.25">
      <c r="A103" s="5" t="s">
        <v>257</v>
      </c>
      <c r="B103" s="5" t="s">
        <v>38</v>
      </c>
      <c r="C103" s="6">
        <v>45992.791666666657</v>
      </c>
      <c r="D103" s="7">
        <v>111</v>
      </c>
      <c r="E103" s="8">
        <v>194.12</v>
      </c>
      <c r="F103" s="5" t="s">
        <v>156</v>
      </c>
      <c r="G103" s="8">
        <v>0.15</v>
      </c>
      <c r="H103" s="9">
        <v>21547.32</v>
      </c>
      <c r="I103" s="9">
        <v>0.32320979999999999</v>
      </c>
    </row>
    <row r="104" spans="1:9" x14ac:dyDescent="0.25">
      <c r="A104" s="5" t="s">
        <v>258</v>
      </c>
      <c r="B104" s="5" t="s">
        <v>38</v>
      </c>
      <c r="C104" s="6">
        <v>45992.798611111109</v>
      </c>
      <c r="D104" s="7">
        <v>439</v>
      </c>
      <c r="E104" s="8">
        <v>194.16</v>
      </c>
      <c r="F104" s="5" t="s">
        <v>159</v>
      </c>
      <c r="G104" s="8">
        <v>0.1</v>
      </c>
      <c r="H104" s="9">
        <v>85236.24</v>
      </c>
      <c r="I104" s="9">
        <v>0.85236240000000019</v>
      </c>
    </row>
    <row r="105" spans="1:9" x14ac:dyDescent="0.25">
      <c r="A105" s="5" t="s">
        <v>259</v>
      </c>
      <c r="B105" s="5" t="s">
        <v>38</v>
      </c>
      <c r="C105" s="6">
        <v>45992.802083333343</v>
      </c>
      <c r="D105" s="7">
        <v>45</v>
      </c>
      <c r="E105" s="8">
        <v>194.16</v>
      </c>
      <c r="F105" s="5" t="s">
        <v>159</v>
      </c>
      <c r="G105" s="8">
        <v>0.1</v>
      </c>
      <c r="H105" s="9">
        <v>8737.2000000000007</v>
      </c>
      <c r="I105" s="9">
        <v>8.7372000000000019E-2</v>
      </c>
    </row>
    <row r="106" spans="1:9" x14ac:dyDescent="0.25">
      <c r="A106" s="5" t="s">
        <v>260</v>
      </c>
      <c r="B106" s="5" t="s">
        <v>38</v>
      </c>
      <c r="C106" s="6">
        <v>45992.836805555547</v>
      </c>
      <c r="D106" s="7">
        <v>317</v>
      </c>
      <c r="E106" s="8">
        <v>194.02</v>
      </c>
      <c r="F106" s="5" t="s">
        <v>159</v>
      </c>
      <c r="G106" s="8">
        <v>0.1</v>
      </c>
      <c r="H106" s="9">
        <v>61504.34</v>
      </c>
      <c r="I106" s="9">
        <v>0.61504340000000013</v>
      </c>
    </row>
    <row r="107" spans="1:9" x14ac:dyDescent="0.25">
      <c r="A107" s="5" t="s">
        <v>261</v>
      </c>
      <c r="B107" s="5" t="s">
        <v>38</v>
      </c>
      <c r="C107" s="6">
        <v>45992.840277777781</v>
      </c>
      <c r="D107" s="7">
        <v>411</v>
      </c>
      <c r="E107" s="8">
        <v>194.39</v>
      </c>
      <c r="F107" s="5" t="s">
        <v>154</v>
      </c>
      <c r="G107" s="8">
        <v>0.05</v>
      </c>
      <c r="H107" s="9">
        <v>79894.289999999994</v>
      </c>
      <c r="I107" s="9">
        <v>0.39947145000000001</v>
      </c>
    </row>
    <row r="108" spans="1:9" x14ac:dyDescent="0.25">
      <c r="A108" s="5" t="s">
        <v>262</v>
      </c>
      <c r="B108" s="5" t="s">
        <v>38</v>
      </c>
      <c r="C108" s="6">
        <v>45992.854166666657</v>
      </c>
      <c r="D108" s="7">
        <v>123</v>
      </c>
      <c r="E108" s="8">
        <v>194.82</v>
      </c>
      <c r="F108" s="5" t="s">
        <v>159</v>
      </c>
      <c r="G108" s="8">
        <v>0.1</v>
      </c>
      <c r="H108" s="9">
        <v>23962.86</v>
      </c>
      <c r="I108" s="9">
        <v>0.2396286</v>
      </c>
    </row>
    <row r="109" spans="1:9" x14ac:dyDescent="0.25">
      <c r="A109" s="5" t="s">
        <v>263</v>
      </c>
      <c r="B109" s="5" t="s">
        <v>38</v>
      </c>
      <c r="C109" s="6">
        <v>45992.857638888891</v>
      </c>
      <c r="D109" s="7">
        <v>1186</v>
      </c>
      <c r="E109" s="8">
        <v>194.65</v>
      </c>
      <c r="F109" s="5" t="s">
        <v>156</v>
      </c>
      <c r="G109" s="8">
        <v>0.15</v>
      </c>
      <c r="H109" s="9">
        <v>230854.9</v>
      </c>
      <c r="I109" s="9">
        <v>3.4628234999999998</v>
      </c>
    </row>
    <row r="110" spans="1:9" x14ac:dyDescent="0.25">
      <c r="A110" s="5" t="s">
        <v>264</v>
      </c>
      <c r="B110" s="5" t="s">
        <v>38</v>
      </c>
      <c r="C110" s="6">
        <v>45992.861111111109</v>
      </c>
      <c r="D110" s="7">
        <v>48</v>
      </c>
      <c r="E110" s="8">
        <v>194.78</v>
      </c>
      <c r="F110" s="5" t="s">
        <v>159</v>
      </c>
      <c r="G110" s="8">
        <v>0.1</v>
      </c>
      <c r="H110" s="9">
        <v>9349.44</v>
      </c>
      <c r="I110" s="9">
        <v>9.3494400000000005E-2</v>
      </c>
    </row>
    <row r="111" spans="1:9" x14ac:dyDescent="0.25">
      <c r="A111" s="5" t="s">
        <v>265</v>
      </c>
      <c r="B111" s="5" t="s">
        <v>39</v>
      </c>
      <c r="C111" s="6">
        <v>45994.607638888891</v>
      </c>
      <c r="D111" s="7">
        <v>756</v>
      </c>
      <c r="E111" s="8">
        <v>174.19</v>
      </c>
      <c r="F111" s="5" t="s">
        <v>154</v>
      </c>
      <c r="G111" s="8">
        <v>0.05</v>
      </c>
      <c r="H111" s="9">
        <v>131687.64000000001</v>
      </c>
      <c r="I111" s="9">
        <v>0.65843819999999997</v>
      </c>
    </row>
    <row r="112" spans="1:9" x14ac:dyDescent="0.25">
      <c r="A112" s="5" t="s">
        <v>266</v>
      </c>
      <c r="B112" s="5" t="s">
        <v>39</v>
      </c>
      <c r="C112" s="6">
        <v>45994.621527777781</v>
      </c>
      <c r="D112" s="7">
        <v>2007</v>
      </c>
      <c r="E112" s="8">
        <v>174.05</v>
      </c>
      <c r="F112" s="5" t="s">
        <v>154</v>
      </c>
      <c r="G112" s="8">
        <v>0.05</v>
      </c>
      <c r="H112" s="9">
        <v>349318.35</v>
      </c>
      <c r="I112" s="9">
        <v>1.7465917500000001</v>
      </c>
    </row>
    <row r="113" spans="1:9" x14ac:dyDescent="0.25">
      <c r="A113" s="5" t="s">
        <v>267</v>
      </c>
      <c r="B113" s="5" t="s">
        <v>39</v>
      </c>
      <c r="C113" s="6">
        <v>45994.625</v>
      </c>
      <c r="D113" s="7">
        <v>198</v>
      </c>
      <c r="E113" s="8">
        <v>174.31</v>
      </c>
      <c r="F113" s="5" t="s">
        <v>156</v>
      </c>
      <c r="G113" s="8">
        <v>0.15</v>
      </c>
      <c r="H113" s="9">
        <v>34513.379999999997</v>
      </c>
      <c r="I113" s="9">
        <v>0.51770070000000001</v>
      </c>
    </row>
    <row r="114" spans="1:9" x14ac:dyDescent="0.25">
      <c r="A114" s="5" t="s">
        <v>268</v>
      </c>
      <c r="B114" s="5" t="s">
        <v>39</v>
      </c>
      <c r="C114" s="6">
        <v>45994.628472222219</v>
      </c>
      <c r="D114" s="7">
        <v>749</v>
      </c>
      <c r="E114" s="8">
        <v>174.34</v>
      </c>
      <c r="F114" s="5" t="s">
        <v>156</v>
      </c>
      <c r="G114" s="8">
        <v>0.15</v>
      </c>
      <c r="H114" s="9">
        <v>130580.66</v>
      </c>
      <c r="I114" s="9">
        <v>1.9587098999999999</v>
      </c>
    </row>
    <row r="115" spans="1:9" x14ac:dyDescent="0.25">
      <c r="A115" s="5" t="s">
        <v>269</v>
      </c>
      <c r="B115" s="5" t="s">
        <v>39</v>
      </c>
      <c r="C115" s="6">
        <v>45994.635416666657</v>
      </c>
      <c r="D115" s="7">
        <v>1274</v>
      </c>
      <c r="E115" s="8">
        <v>174.04</v>
      </c>
      <c r="F115" s="5" t="s">
        <v>159</v>
      </c>
      <c r="G115" s="8">
        <v>0.1</v>
      </c>
      <c r="H115" s="9">
        <v>221726.96</v>
      </c>
      <c r="I115" s="9">
        <v>2.2172695999999998</v>
      </c>
    </row>
    <row r="116" spans="1:9" x14ac:dyDescent="0.25">
      <c r="A116" s="5" t="s">
        <v>270</v>
      </c>
      <c r="B116" s="5" t="s">
        <v>39</v>
      </c>
      <c r="C116" s="6">
        <v>45994.638888888891</v>
      </c>
      <c r="D116" s="7">
        <v>1092</v>
      </c>
      <c r="E116" s="8">
        <v>173.9</v>
      </c>
      <c r="F116" s="5" t="s">
        <v>156</v>
      </c>
      <c r="G116" s="8">
        <v>0.15</v>
      </c>
      <c r="H116" s="9">
        <v>189898.8</v>
      </c>
      <c r="I116" s="9">
        <v>2.8484820000000002</v>
      </c>
    </row>
    <row r="117" spans="1:9" x14ac:dyDescent="0.25">
      <c r="A117" s="5" t="s">
        <v>271</v>
      </c>
      <c r="B117" s="5" t="s">
        <v>39</v>
      </c>
      <c r="C117" s="6">
        <v>45994.645833333343</v>
      </c>
      <c r="D117" s="7">
        <v>219</v>
      </c>
      <c r="E117" s="8">
        <v>173.68</v>
      </c>
      <c r="F117" s="5" t="s">
        <v>156</v>
      </c>
      <c r="G117" s="8">
        <v>0.15</v>
      </c>
      <c r="H117" s="9">
        <v>38035.919999999998</v>
      </c>
      <c r="I117" s="9">
        <v>0.57053880000000001</v>
      </c>
    </row>
    <row r="118" spans="1:9" x14ac:dyDescent="0.25">
      <c r="A118" s="5" t="s">
        <v>272</v>
      </c>
      <c r="B118" s="5" t="s">
        <v>39</v>
      </c>
      <c r="C118" s="6">
        <v>45994.649305555547</v>
      </c>
      <c r="D118" s="7">
        <v>1359</v>
      </c>
      <c r="E118" s="8">
        <v>173.62</v>
      </c>
      <c r="F118" s="5" t="s">
        <v>154</v>
      </c>
      <c r="G118" s="8">
        <v>0.05</v>
      </c>
      <c r="H118" s="9">
        <v>235949.58</v>
      </c>
      <c r="I118" s="9">
        <v>1.1797479</v>
      </c>
    </row>
    <row r="119" spans="1:9" x14ac:dyDescent="0.25">
      <c r="A119" s="5" t="s">
        <v>273</v>
      </c>
      <c r="B119" s="5" t="s">
        <v>39</v>
      </c>
      <c r="C119" s="6">
        <v>45994.652777777781</v>
      </c>
      <c r="D119" s="7">
        <v>423</v>
      </c>
      <c r="E119" s="8">
        <v>173.67</v>
      </c>
      <c r="F119" s="5" t="s">
        <v>156</v>
      </c>
      <c r="G119" s="8">
        <v>0.15</v>
      </c>
      <c r="H119" s="9">
        <v>73462.409999999989</v>
      </c>
      <c r="I119" s="9">
        <v>1.10193615</v>
      </c>
    </row>
    <row r="120" spans="1:9" x14ac:dyDescent="0.25">
      <c r="A120" s="5" t="s">
        <v>274</v>
      </c>
      <c r="B120" s="5" t="s">
        <v>39</v>
      </c>
      <c r="C120" s="6">
        <v>45994.65625</v>
      </c>
      <c r="D120" s="7">
        <v>1216</v>
      </c>
      <c r="E120" s="8">
        <v>173.79</v>
      </c>
      <c r="F120" s="5" t="s">
        <v>159</v>
      </c>
      <c r="G120" s="8">
        <v>0.1</v>
      </c>
      <c r="H120" s="9">
        <v>211328.64000000001</v>
      </c>
      <c r="I120" s="9">
        <v>2.1132863999999998</v>
      </c>
    </row>
    <row r="121" spans="1:9" x14ac:dyDescent="0.25">
      <c r="A121" s="5" t="s">
        <v>275</v>
      </c>
      <c r="B121" s="5" t="s">
        <v>39</v>
      </c>
      <c r="C121" s="6">
        <v>45994.659722222219</v>
      </c>
      <c r="D121" s="7">
        <v>888</v>
      </c>
      <c r="E121" s="8">
        <v>173.79</v>
      </c>
      <c r="F121" s="5" t="s">
        <v>156</v>
      </c>
      <c r="G121" s="8">
        <v>0.15</v>
      </c>
      <c r="H121" s="9">
        <v>154325.51999999999</v>
      </c>
      <c r="I121" s="9">
        <v>2.3148827999999999</v>
      </c>
    </row>
    <row r="122" spans="1:9" x14ac:dyDescent="0.25">
      <c r="A122" s="5" t="s">
        <v>276</v>
      </c>
      <c r="B122" s="5" t="s">
        <v>39</v>
      </c>
      <c r="C122" s="6">
        <v>45994.663194444453</v>
      </c>
      <c r="D122" s="7">
        <v>70</v>
      </c>
      <c r="E122" s="8">
        <v>173.88</v>
      </c>
      <c r="F122" s="5" t="s">
        <v>154</v>
      </c>
      <c r="G122" s="8">
        <v>0.05</v>
      </c>
      <c r="H122" s="9">
        <v>12171.6</v>
      </c>
      <c r="I122" s="9">
        <v>6.0858000000000002E-2</v>
      </c>
    </row>
    <row r="123" spans="1:9" x14ac:dyDescent="0.25">
      <c r="A123" s="5" t="s">
        <v>277</v>
      </c>
      <c r="B123" s="5" t="s">
        <v>39</v>
      </c>
      <c r="C123" s="6">
        <v>45994.677083333343</v>
      </c>
      <c r="D123" s="7">
        <v>188</v>
      </c>
      <c r="E123" s="8">
        <v>174.5</v>
      </c>
      <c r="F123" s="5" t="s">
        <v>156</v>
      </c>
      <c r="G123" s="8">
        <v>0.15</v>
      </c>
      <c r="H123" s="9">
        <v>32806</v>
      </c>
      <c r="I123" s="9">
        <v>0.49209000000000003</v>
      </c>
    </row>
    <row r="124" spans="1:9" x14ac:dyDescent="0.25">
      <c r="A124" s="5" t="s">
        <v>278</v>
      </c>
      <c r="B124" s="5" t="s">
        <v>40</v>
      </c>
      <c r="C124" s="6">
        <v>45994.631944444453</v>
      </c>
      <c r="D124" s="7">
        <v>328</v>
      </c>
      <c r="E124" s="8">
        <v>422.04</v>
      </c>
      <c r="F124" s="5" t="s">
        <v>156</v>
      </c>
      <c r="G124" s="8">
        <v>0.15</v>
      </c>
      <c r="H124" s="9">
        <v>138429.12</v>
      </c>
      <c r="I124" s="9">
        <v>2.0764368000000002</v>
      </c>
    </row>
    <row r="125" spans="1:9" x14ac:dyDescent="0.25">
      <c r="A125" s="5" t="s">
        <v>279</v>
      </c>
      <c r="B125" s="5" t="s">
        <v>40</v>
      </c>
      <c r="C125" s="6">
        <v>45994.635416666657</v>
      </c>
      <c r="D125" s="7">
        <v>3576</v>
      </c>
      <c r="E125" s="8">
        <v>422.5</v>
      </c>
      <c r="F125" s="5" t="s">
        <v>159</v>
      </c>
      <c r="G125" s="8">
        <v>0.1</v>
      </c>
      <c r="H125" s="9">
        <v>1510860</v>
      </c>
      <c r="I125" s="9">
        <v>15.108599999999999</v>
      </c>
    </row>
    <row r="126" spans="1:9" x14ac:dyDescent="0.25">
      <c r="A126" s="5" t="s">
        <v>280</v>
      </c>
      <c r="B126" s="5" t="s">
        <v>40</v>
      </c>
      <c r="C126" s="6">
        <v>45994.645833333343</v>
      </c>
      <c r="D126" s="7">
        <v>90</v>
      </c>
      <c r="E126" s="8">
        <v>423.21</v>
      </c>
      <c r="F126" s="5" t="s">
        <v>154</v>
      </c>
      <c r="G126" s="8">
        <v>0.05</v>
      </c>
      <c r="H126" s="9">
        <v>38088.9</v>
      </c>
      <c r="I126" s="9">
        <v>0.19044449999999999</v>
      </c>
    </row>
    <row r="127" spans="1:9" x14ac:dyDescent="0.25">
      <c r="A127" s="5" t="s">
        <v>281</v>
      </c>
      <c r="B127" s="5" t="s">
        <v>40</v>
      </c>
      <c r="C127" s="6">
        <v>45994.690972222219</v>
      </c>
      <c r="D127" s="7">
        <v>2555</v>
      </c>
      <c r="E127" s="8">
        <v>424.06</v>
      </c>
      <c r="F127" s="5" t="s">
        <v>154</v>
      </c>
      <c r="G127" s="8">
        <v>0.05</v>
      </c>
      <c r="H127" s="9">
        <v>1083473.3</v>
      </c>
      <c r="I127" s="9">
        <v>5.4173665000000009</v>
      </c>
    </row>
    <row r="128" spans="1:9" x14ac:dyDescent="0.25">
      <c r="A128" s="5" t="s">
        <v>282</v>
      </c>
      <c r="B128" s="5" t="s">
        <v>40</v>
      </c>
      <c r="C128" s="6">
        <v>45994.701388888891</v>
      </c>
      <c r="D128" s="7">
        <v>843</v>
      </c>
      <c r="E128" s="8">
        <v>423.51</v>
      </c>
      <c r="F128" s="5" t="s">
        <v>156</v>
      </c>
      <c r="G128" s="8">
        <v>0.15</v>
      </c>
      <c r="H128" s="9">
        <v>357018.93</v>
      </c>
      <c r="I128" s="9">
        <v>5.3552839499999996</v>
      </c>
    </row>
    <row r="129" spans="1:9" x14ac:dyDescent="0.25">
      <c r="A129" s="5" t="s">
        <v>283</v>
      </c>
      <c r="B129" s="5" t="s">
        <v>41</v>
      </c>
      <c r="C129" s="6">
        <v>45992.645833333343</v>
      </c>
      <c r="D129" s="7">
        <v>1325</v>
      </c>
      <c r="E129" s="8">
        <v>175.4</v>
      </c>
      <c r="F129" s="5" t="s">
        <v>159</v>
      </c>
      <c r="G129" s="8">
        <v>0.1</v>
      </c>
      <c r="H129" s="9">
        <v>232405</v>
      </c>
      <c r="I129" s="9">
        <v>2.3240500000000002</v>
      </c>
    </row>
    <row r="130" spans="1:9" x14ac:dyDescent="0.25">
      <c r="A130" s="5" t="s">
        <v>284</v>
      </c>
      <c r="B130" s="5" t="s">
        <v>41</v>
      </c>
      <c r="C130" s="6">
        <v>45992.649305555547</v>
      </c>
      <c r="D130" s="7">
        <v>2792</v>
      </c>
      <c r="E130" s="8">
        <v>175.36</v>
      </c>
      <c r="F130" s="5" t="s">
        <v>159</v>
      </c>
      <c r="G130" s="8">
        <v>0.1</v>
      </c>
      <c r="H130" s="9">
        <v>489605.12000000011</v>
      </c>
      <c r="I130" s="9">
        <v>4.8960512000000014</v>
      </c>
    </row>
    <row r="131" spans="1:9" x14ac:dyDescent="0.25">
      <c r="A131" s="5" t="s">
        <v>285</v>
      </c>
      <c r="B131" s="5" t="s">
        <v>41</v>
      </c>
      <c r="C131" s="6">
        <v>45992.65625</v>
      </c>
      <c r="D131" s="7">
        <v>3299</v>
      </c>
      <c r="E131" s="8">
        <v>175.27</v>
      </c>
      <c r="F131" s="5" t="s">
        <v>156</v>
      </c>
      <c r="G131" s="8">
        <v>0.15</v>
      </c>
      <c r="H131" s="9">
        <v>578215.73</v>
      </c>
      <c r="I131" s="9">
        <v>8.6732359499999987</v>
      </c>
    </row>
    <row r="132" spans="1:9" x14ac:dyDescent="0.25">
      <c r="A132" s="5" t="s">
        <v>286</v>
      </c>
      <c r="B132" s="5" t="s">
        <v>41</v>
      </c>
      <c r="C132" s="6">
        <v>45992.659722222219</v>
      </c>
      <c r="D132" s="7">
        <v>2133</v>
      </c>
      <c r="E132" s="8">
        <v>175.23</v>
      </c>
      <c r="F132" s="5" t="s">
        <v>159</v>
      </c>
      <c r="G132" s="8">
        <v>0.1</v>
      </c>
      <c r="H132" s="9">
        <v>373765.59</v>
      </c>
      <c r="I132" s="9">
        <v>3.7376559</v>
      </c>
    </row>
    <row r="133" spans="1:9" x14ac:dyDescent="0.25">
      <c r="A133" s="5" t="s">
        <v>287</v>
      </c>
      <c r="B133" s="5" t="s">
        <v>41</v>
      </c>
      <c r="C133" s="6">
        <v>45992.663194444453</v>
      </c>
      <c r="D133" s="7">
        <v>965</v>
      </c>
      <c r="E133" s="8">
        <v>175.28</v>
      </c>
      <c r="F133" s="5" t="s">
        <v>156</v>
      </c>
      <c r="G133" s="8">
        <v>0.15</v>
      </c>
      <c r="H133" s="9">
        <v>169145.2</v>
      </c>
      <c r="I133" s="9">
        <v>2.5371779999999999</v>
      </c>
    </row>
    <row r="134" spans="1:9" x14ac:dyDescent="0.25">
      <c r="A134" s="5" t="s">
        <v>288</v>
      </c>
      <c r="B134" s="5" t="s">
        <v>41</v>
      </c>
      <c r="C134" s="6">
        <v>45992.670138888891</v>
      </c>
      <c r="D134" s="7">
        <v>3059</v>
      </c>
      <c r="E134" s="8">
        <v>175.44</v>
      </c>
      <c r="F134" s="5" t="s">
        <v>154</v>
      </c>
      <c r="G134" s="8">
        <v>0.05</v>
      </c>
      <c r="H134" s="9">
        <v>536670.96</v>
      </c>
      <c r="I134" s="9">
        <v>2.6833548</v>
      </c>
    </row>
    <row r="135" spans="1:9" x14ac:dyDescent="0.25">
      <c r="A135" s="5" t="s">
        <v>289</v>
      </c>
      <c r="B135" s="5" t="s">
        <v>41</v>
      </c>
      <c r="C135" s="6">
        <v>45992.694444444453</v>
      </c>
      <c r="D135" s="7">
        <v>872</v>
      </c>
      <c r="E135" s="8">
        <v>175.09</v>
      </c>
      <c r="F135" s="5" t="s">
        <v>156</v>
      </c>
      <c r="G135" s="8">
        <v>0.15</v>
      </c>
      <c r="H135" s="9">
        <v>152678.48000000001</v>
      </c>
      <c r="I135" s="9">
        <v>2.2901772</v>
      </c>
    </row>
    <row r="136" spans="1:9" x14ac:dyDescent="0.25">
      <c r="A136" s="5" t="s">
        <v>290</v>
      </c>
      <c r="B136" s="5" t="s">
        <v>41</v>
      </c>
      <c r="C136" s="6">
        <v>45992.704861111109</v>
      </c>
      <c r="D136" s="7">
        <v>11</v>
      </c>
      <c r="E136" s="8">
        <v>175.01</v>
      </c>
      <c r="F136" s="5" t="s">
        <v>159</v>
      </c>
      <c r="G136" s="8">
        <v>0.1</v>
      </c>
      <c r="H136" s="9">
        <v>1925.11</v>
      </c>
      <c r="I136" s="9">
        <v>1.92511E-2</v>
      </c>
    </row>
    <row r="137" spans="1:9" x14ac:dyDescent="0.25">
      <c r="A137" s="5" t="s">
        <v>291</v>
      </c>
      <c r="B137" s="5" t="s">
        <v>42</v>
      </c>
      <c r="C137" s="6">
        <v>45996.670138888891</v>
      </c>
      <c r="D137" s="7">
        <v>648</v>
      </c>
      <c r="E137" s="8">
        <v>172.19</v>
      </c>
      <c r="F137" s="5" t="s">
        <v>156</v>
      </c>
      <c r="G137" s="8">
        <v>0.15</v>
      </c>
      <c r="H137" s="9">
        <v>111579.12</v>
      </c>
      <c r="I137" s="9">
        <v>1.6736868</v>
      </c>
    </row>
    <row r="138" spans="1:9" x14ac:dyDescent="0.25">
      <c r="A138" s="5" t="s">
        <v>292</v>
      </c>
      <c r="B138" s="5" t="s">
        <v>42</v>
      </c>
      <c r="C138" s="6">
        <v>45996.680555555547</v>
      </c>
      <c r="D138" s="7">
        <v>483</v>
      </c>
      <c r="E138" s="8">
        <v>172.22</v>
      </c>
      <c r="F138" s="5" t="s">
        <v>154</v>
      </c>
      <c r="G138" s="8">
        <v>0.05</v>
      </c>
      <c r="H138" s="9">
        <v>83182.259999999995</v>
      </c>
      <c r="I138" s="9">
        <v>0.41591129999999998</v>
      </c>
    </row>
    <row r="139" spans="1:9" x14ac:dyDescent="0.25">
      <c r="A139" s="5" t="s">
        <v>293</v>
      </c>
      <c r="B139" s="5" t="s">
        <v>42</v>
      </c>
      <c r="C139" s="6">
        <v>45996.684027777781</v>
      </c>
      <c r="D139" s="7">
        <v>1434</v>
      </c>
      <c r="E139" s="8">
        <v>172.11</v>
      </c>
      <c r="F139" s="5" t="s">
        <v>156</v>
      </c>
      <c r="G139" s="8">
        <v>0.15</v>
      </c>
      <c r="H139" s="9">
        <v>246805.74</v>
      </c>
      <c r="I139" s="9">
        <v>3.7020860999999998</v>
      </c>
    </row>
    <row r="140" spans="1:9" x14ac:dyDescent="0.25">
      <c r="A140" s="5" t="s">
        <v>294</v>
      </c>
      <c r="B140" s="5" t="s">
        <v>42</v>
      </c>
      <c r="C140" s="6">
        <v>45996.6875</v>
      </c>
      <c r="D140" s="7">
        <v>140</v>
      </c>
      <c r="E140" s="8">
        <v>172.04</v>
      </c>
      <c r="F140" s="5" t="s">
        <v>156</v>
      </c>
      <c r="G140" s="8">
        <v>0.15</v>
      </c>
      <c r="H140" s="9">
        <v>24085.599999999999</v>
      </c>
      <c r="I140" s="9">
        <v>0.36128399999999999</v>
      </c>
    </row>
    <row r="141" spans="1:9" x14ac:dyDescent="0.25">
      <c r="A141" s="5" t="s">
        <v>295</v>
      </c>
      <c r="B141" s="5" t="s">
        <v>42</v>
      </c>
      <c r="C141" s="6">
        <v>45996.704861111109</v>
      </c>
      <c r="D141" s="7">
        <v>1089</v>
      </c>
      <c r="E141" s="8">
        <v>172.99</v>
      </c>
      <c r="F141" s="5" t="s">
        <v>156</v>
      </c>
      <c r="G141" s="8">
        <v>0.15</v>
      </c>
      <c r="H141" s="9">
        <v>188386.11</v>
      </c>
      <c r="I141" s="9">
        <v>2.8257916500000002</v>
      </c>
    </row>
    <row r="142" spans="1:9" x14ac:dyDescent="0.25">
      <c r="A142" s="5" t="s">
        <v>296</v>
      </c>
      <c r="B142" s="5" t="s">
        <v>42</v>
      </c>
      <c r="C142" s="6">
        <v>45996.715277777781</v>
      </c>
      <c r="D142" s="7">
        <v>278</v>
      </c>
      <c r="E142" s="8">
        <v>173.31</v>
      </c>
      <c r="F142" s="5" t="s">
        <v>154</v>
      </c>
      <c r="G142" s="8">
        <v>0.05</v>
      </c>
      <c r="H142" s="9">
        <v>48180.18</v>
      </c>
      <c r="I142" s="9">
        <v>0.2409009</v>
      </c>
    </row>
    <row r="143" spans="1:9" x14ac:dyDescent="0.25">
      <c r="A143" s="5" t="s">
        <v>297</v>
      </c>
      <c r="B143" s="5" t="s">
        <v>42</v>
      </c>
      <c r="C143" s="6">
        <v>45996.729166666657</v>
      </c>
      <c r="D143" s="7">
        <v>2078</v>
      </c>
      <c r="E143" s="8">
        <v>173.88</v>
      </c>
      <c r="F143" s="5" t="s">
        <v>159</v>
      </c>
      <c r="G143" s="8">
        <v>0.1</v>
      </c>
      <c r="H143" s="9">
        <v>361322.64</v>
      </c>
      <c r="I143" s="9">
        <v>3.6132263999999998</v>
      </c>
    </row>
    <row r="144" spans="1:9" x14ac:dyDescent="0.25">
      <c r="A144" s="5" t="s">
        <v>298</v>
      </c>
      <c r="B144" s="5" t="s">
        <v>42</v>
      </c>
      <c r="C144" s="6">
        <v>45996.732638888891</v>
      </c>
      <c r="D144" s="7">
        <v>1266</v>
      </c>
      <c r="E144" s="8">
        <v>173.81</v>
      </c>
      <c r="F144" s="5" t="s">
        <v>156</v>
      </c>
      <c r="G144" s="8">
        <v>0.15</v>
      </c>
      <c r="H144" s="9">
        <v>220043.46</v>
      </c>
      <c r="I144" s="9">
        <v>3.3006519000000001</v>
      </c>
    </row>
    <row r="145" spans="1:9" x14ac:dyDescent="0.25">
      <c r="A145" s="5" t="s">
        <v>299</v>
      </c>
      <c r="B145" s="5" t="s">
        <v>42</v>
      </c>
      <c r="C145" s="6">
        <v>45996.739583333343</v>
      </c>
      <c r="D145" s="7">
        <v>70</v>
      </c>
      <c r="E145" s="8">
        <v>174.02</v>
      </c>
      <c r="F145" s="5" t="s">
        <v>154</v>
      </c>
      <c r="G145" s="8">
        <v>0.05</v>
      </c>
      <c r="H145" s="9">
        <v>12181.4</v>
      </c>
      <c r="I145" s="9">
        <v>6.0907000000000003E-2</v>
      </c>
    </row>
    <row r="146" spans="1:9" x14ac:dyDescent="0.25">
      <c r="A146" s="5" t="s">
        <v>300</v>
      </c>
      <c r="B146" s="5" t="s">
        <v>42</v>
      </c>
      <c r="C146" s="6">
        <v>45996.743055555547</v>
      </c>
      <c r="D146" s="7">
        <v>910</v>
      </c>
      <c r="E146" s="8">
        <v>174.14</v>
      </c>
      <c r="F146" s="5" t="s">
        <v>159</v>
      </c>
      <c r="G146" s="8">
        <v>0.1</v>
      </c>
      <c r="H146" s="9">
        <v>158467.4</v>
      </c>
      <c r="I146" s="9">
        <v>1.5846739999999999</v>
      </c>
    </row>
    <row r="147" spans="1:9" x14ac:dyDescent="0.25">
      <c r="A147" s="5" t="s">
        <v>301</v>
      </c>
      <c r="B147" s="5" t="s">
        <v>42</v>
      </c>
      <c r="C147" s="6">
        <v>45996.75</v>
      </c>
      <c r="D147" s="7">
        <v>923</v>
      </c>
      <c r="E147" s="8">
        <v>174.35</v>
      </c>
      <c r="F147" s="5" t="s">
        <v>159</v>
      </c>
      <c r="G147" s="8">
        <v>0.1</v>
      </c>
      <c r="H147" s="9">
        <v>160925.04999999999</v>
      </c>
      <c r="I147" s="9">
        <v>1.6092504999999999</v>
      </c>
    </row>
    <row r="148" spans="1:9" x14ac:dyDescent="0.25">
      <c r="A148" s="5" t="s">
        <v>302</v>
      </c>
      <c r="B148" s="5" t="s">
        <v>42</v>
      </c>
      <c r="C148" s="6">
        <v>45996.753472222219</v>
      </c>
      <c r="D148" s="7">
        <v>752</v>
      </c>
      <c r="E148" s="8">
        <v>174.63</v>
      </c>
      <c r="F148" s="5" t="s">
        <v>159</v>
      </c>
      <c r="G148" s="8">
        <v>0.1</v>
      </c>
      <c r="H148" s="9">
        <v>131321.76</v>
      </c>
      <c r="I148" s="9">
        <v>1.3132176</v>
      </c>
    </row>
    <row r="149" spans="1:9" x14ac:dyDescent="0.25">
      <c r="A149" s="5" t="s">
        <v>303</v>
      </c>
      <c r="B149" s="5" t="s">
        <v>42</v>
      </c>
      <c r="C149" s="6">
        <v>45996.760416666657</v>
      </c>
      <c r="D149" s="7">
        <v>2286</v>
      </c>
      <c r="E149" s="8">
        <v>174.37</v>
      </c>
      <c r="F149" s="5" t="s">
        <v>156</v>
      </c>
      <c r="G149" s="8">
        <v>0.15</v>
      </c>
      <c r="H149" s="9">
        <v>398609.82</v>
      </c>
      <c r="I149" s="9">
        <v>5.9791473000000002</v>
      </c>
    </row>
    <row r="150" spans="1:9" x14ac:dyDescent="0.25">
      <c r="A150" s="5" t="s">
        <v>304</v>
      </c>
      <c r="B150" s="5" t="s">
        <v>43</v>
      </c>
      <c r="C150" s="6">
        <v>45993.635416666657</v>
      </c>
      <c r="D150" s="7">
        <v>2036</v>
      </c>
      <c r="E150" s="8">
        <v>175.74</v>
      </c>
      <c r="F150" s="5" t="s">
        <v>159</v>
      </c>
      <c r="G150" s="8">
        <v>0.1</v>
      </c>
      <c r="H150" s="9">
        <v>357806.64</v>
      </c>
      <c r="I150" s="9">
        <v>3.5780664</v>
      </c>
    </row>
    <row r="151" spans="1:9" x14ac:dyDescent="0.25">
      <c r="A151" s="5" t="s">
        <v>305</v>
      </c>
      <c r="B151" s="5" t="s">
        <v>43</v>
      </c>
      <c r="C151" s="6">
        <v>45993.638888888891</v>
      </c>
      <c r="D151" s="7">
        <v>867</v>
      </c>
      <c r="E151" s="8">
        <v>175.86</v>
      </c>
      <c r="F151" s="5" t="s">
        <v>156</v>
      </c>
      <c r="G151" s="8">
        <v>0.15</v>
      </c>
      <c r="H151" s="9">
        <v>152470.62</v>
      </c>
      <c r="I151" s="9">
        <v>2.287059300000001</v>
      </c>
    </row>
    <row r="152" spans="1:9" x14ac:dyDescent="0.25">
      <c r="A152" s="5" t="s">
        <v>306</v>
      </c>
      <c r="B152" s="5" t="s">
        <v>43</v>
      </c>
      <c r="C152" s="6">
        <v>45993.642361111109</v>
      </c>
      <c r="D152" s="7">
        <v>955</v>
      </c>
      <c r="E152" s="8">
        <v>176.05</v>
      </c>
      <c r="F152" s="5" t="s">
        <v>159</v>
      </c>
      <c r="G152" s="8">
        <v>0.1</v>
      </c>
      <c r="H152" s="9">
        <v>168127.75</v>
      </c>
      <c r="I152" s="9">
        <v>1.6812775</v>
      </c>
    </row>
    <row r="153" spans="1:9" x14ac:dyDescent="0.25">
      <c r="A153" s="5" t="s">
        <v>307</v>
      </c>
      <c r="B153" s="5" t="s">
        <v>43</v>
      </c>
      <c r="C153" s="6">
        <v>45993.645833333343</v>
      </c>
      <c r="D153" s="7">
        <v>237</v>
      </c>
      <c r="E153" s="8">
        <v>175.91</v>
      </c>
      <c r="F153" s="5" t="s">
        <v>159</v>
      </c>
      <c r="G153" s="8">
        <v>0.1</v>
      </c>
      <c r="H153" s="9">
        <v>41690.67</v>
      </c>
      <c r="I153" s="9">
        <v>0.41690670000000002</v>
      </c>
    </row>
    <row r="154" spans="1:9" x14ac:dyDescent="0.25">
      <c r="A154" s="5" t="s">
        <v>308</v>
      </c>
      <c r="B154" s="5" t="s">
        <v>43</v>
      </c>
      <c r="C154" s="6">
        <v>45993.649305555547</v>
      </c>
      <c r="D154" s="7">
        <v>379</v>
      </c>
      <c r="E154" s="8">
        <v>175.56</v>
      </c>
      <c r="F154" s="5" t="s">
        <v>156</v>
      </c>
      <c r="G154" s="8">
        <v>0.15</v>
      </c>
      <c r="H154" s="9">
        <v>66537.240000000005</v>
      </c>
      <c r="I154" s="9">
        <v>0.99805860000000013</v>
      </c>
    </row>
    <row r="155" spans="1:9" x14ac:dyDescent="0.25">
      <c r="A155" s="5" t="s">
        <v>309</v>
      </c>
      <c r="B155" s="5" t="s">
        <v>43</v>
      </c>
      <c r="C155" s="6">
        <v>45993.652777777781</v>
      </c>
      <c r="D155" s="7">
        <v>726</v>
      </c>
      <c r="E155" s="8">
        <v>175.32</v>
      </c>
      <c r="F155" s="5" t="s">
        <v>154</v>
      </c>
      <c r="G155" s="8">
        <v>0.05</v>
      </c>
      <c r="H155" s="9">
        <v>127282.32</v>
      </c>
      <c r="I155" s="9">
        <v>0.63641159999999997</v>
      </c>
    </row>
    <row r="156" spans="1:9" x14ac:dyDescent="0.25">
      <c r="A156" s="5" t="s">
        <v>310</v>
      </c>
      <c r="B156" s="5" t="s">
        <v>43</v>
      </c>
      <c r="C156" s="6">
        <v>45993.65625</v>
      </c>
      <c r="D156" s="7">
        <v>476</v>
      </c>
      <c r="E156" s="8">
        <v>175.16</v>
      </c>
      <c r="F156" s="5" t="s">
        <v>154</v>
      </c>
      <c r="G156" s="8">
        <v>0.05</v>
      </c>
      <c r="H156" s="9">
        <v>83376.160000000003</v>
      </c>
      <c r="I156" s="9">
        <v>0.4168808</v>
      </c>
    </row>
    <row r="157" spans="1:9" x14ac:dyDescent="0.25">
      <c r="A157" s="5" t="s">
        <v>311</v>
      </c>
      <c r="B157" s="5" t="s">
        <v>43</v>
      </c>
      <c r="C157" s="6">
        <v>45993.659722222219</v>
      </c>
      <c r="D157" s="7">
        <v>272</v>
      </c>
      <c r="E157" s="8">
        <v>175.44</v>
      </c>
      <c r="F157" s="5" t="s">
        <v>159</v>
      </c>
      <c r="G157" s="8">
        <v>0.1</v>
      </c>
      <c r="H157" s="9">
        <v>47719.68</v>
      </c>
      <c r="I157" s="9">
        <v>0.47719679999999998</v>
      </c>
    </row>
    <row r="158" spans="1:9" x14ac:dyDescent="0.25">
      <c r="A158" s="5" t="s">
        <v>312</v>
      </c>
      <c r="B158" s="5" t="s">
        <v>43</v>
      </c>
      <c r="C158" s="6">
        <v>45993.663194444453</v>
      </c>
      <c r="D158" s="7">
        <v>69</v>
      </c>
      <c r="E158" s="8">
        <v>175.42</v>
      </c>
      <c r="F158" s="5" t="s">
        <v>156</v>
      </c>
      <c r="G158" s="8">
        <v>0.15</v>
      </c>
      <c r="H158" s="9">
        <v>12103.98</v>
      </c>
      <c r="I158" s="9">
        <v>0.18155969999999999</v>
      </c>
    </row>
    <row r="159" spans="1:9" x14ac:dyDescent="0.25">
      <c r="A159" s="5" t="s">
        <v>313</v>
      </c>
      <c r="B159" s="5" t="s">
        <v>44</v>
      </c>
      <c r="C159" s="6">
        <v>45995.791666666657</v>
      </c>
      <c r="D159" s="7">
        <v>479</v>
      </c>
      <c r="E159" s="8">
        <v>198.5</v>
      </c>
      <c r="F159" s="5" t="s">
        <v>156</v>
      </c>
      <c r="G159" s="8">
        <v>0.15</v>
      </c>
      <c r="H159" s="9">
        <v>95081.5</v>
      </c>
      <c r="I159" s="9">
        <v>1.4262224999999999</v>
      </c>
    </row>
    <row r="160" spans="1:9" x14ac:dyDescent="0.25">
      <c r="A160" s="5" t="s">
        <v>314</v>
      </c>
      <c r="B160" s="5" t="s">
        <v>44</v>
      </c>
      <c r="C160" s="6">
        <v>45995.795138888891</v>
      </c>
      <c r="D160" s="7">
        <v>129</v>
      </c>
      <c r="E160" s="8">
        <v>198.85</v>
      </c>
      <c r="F160" s="5" t="s">
        <v>154</v>
      </c>
      <c r="G160" s="8">
        <v>0.05</v>
      </c>
      <c r="H160" s="9">
        <v>25651.65</v>
      </c>
      <c r="I160" s="9">
        <v>0.12825824999999999</v>
      </c>
    </row>
    <row r="161" spans="1:9" x14ac:dyDescent="0.25">
      <c r="A161" s="5" t="s">
        <v>315</v>
      </c>
      <c r="B161" s="5" t="s">
        <v>44</v>
      </c>
      <c r="C161" s="6">
        <v>45995.798611111109</v>
      </c>
      <c r="D161" s="7">
        <v>94</v>
      </c>
      <c r="E161" s="8">
        <v>198.71</v>
      </c>
      <c r="F161" s="5" t="s">
        <v>156</v>
      </c>
      <c r="G161" s="8">
        <v>0.15</v>
      </c>
      <c r="H161" s="9">
        <v>18678.740000000002</v>
      </c>
      <c r="I161" s="9">
        <v>0.28018110000000002</v>
      </c>
    </row>
    <row r="162" spans="1:9" x14ac:dyDescent="0.25">
      <c r="A162" s="5" t="s">
        <v>316</v>
      </c>
      <c r="B162" s="5" t="s">
        <v>44</v>
      </c>
      <c r="C162" s="6">
        <v>45995.802083333343</v>
      </c>
      <c r="D162" s="7">
        <v>105</v>
      </c>
      <c r="E162" s="8">
        <v>198.91</v>
      </c>
      <c r="F162" s="5" t="s">
        <v>154</v>
      </c>
      <c r="G162" s="8">
        <v>0.05</v>
      </c>
      <c r="H162" s="9">
        <v>20885.55</v>
      </c>
      <c r="I162" s="9">
        <v>0.10442775</v>
      </c>
    </row>
    <row r="163" spans="1:9" x14ac:dyDescent="0.25">
      <c r="A163" s="5" t="s">
        <v>317</v>
      </c>
      <c r="B163" s="5" t="s">
        <v>44</v>
      </c>
      <c r="C163" s="6">
        <v>45995.826388888891</v>
      </c>
      <c r="D163" s="7">
        <v>269</v>
      </c>
      <c r="E163" s="8">
        <v>198.01</v>
      </c>
      <c r="F163" s="5" t="s">
        <v>156</v>
      </c>
      <c r="G163" s="8">
        <v>0.15</v>
      </c>
      <c r="H163" s="9">
        <v>53264.69</v>
      </c>
      <c r="I163" s="9">
        <v>0.79897034999999983</v>
      </c>
    </row>
    <row r="164" spans="1:9" x14ac:dyDescent="0.25">
      <c r="A164" s="5" t="s">
        <v>318</v>
      </c>
      <c r="B164" s="5" t="s">
        <v>44</v>
      </c>
      <c r="C164" s="6">
        <v>45995.829861111109</v>
      </c>
      <c r="D164" s="7">
        <v>122</v>
      </c>
      <c r="E164" s="8">
        <v>198.2</v>
      </c>
      <c r="F164" s="5" t="s">
        <v>154</v>
      </c>
      <c r="G164" s="8">
        <v>0.05</v>
      </c>
      <c r="H164" s="9">
        <v>24180.400000000001</v>
      </c>
      <c r="I164" s="9">
        <v>0.120902</v>
      </c>
    </row>
    <row r="165" spans="1:9" x14ac:dyDescent="0.25">
      <c r="A165" s="5" t="s">
        <v>319</v>
      </c>
      <c r="B165" s="5" t="s">
        <v>44</v>
      </c>
      <c r="C165" s="6">
        <v>45995.833333333343</v>
      </c>
      <c r="D165" s="7">
        <v>643</v>
      </c>
      <c r="E165" s="8">
        <v>198.26</v>
      </c>
      <c r="F165" s="5" t="s">
        <v>154</v>
      </c>
      <c r="G165" s="8">
        <v>0.05</v>
      </c>
      <c r="H165" s="9">
        <v>127481.18</v>
      </c>
      <c r="I165" s="9">
        <v>0.63740589999999997</v>
      </c>
    </row>
    <row r="166" spans="1:9" x14ac:dyDescent="0.25">
      <c r="A166" s="5" t="s">
        <v>320</v>
      </c>
      <c r="B166" s="5" t="s">
        <v>44</v>
      </c>
      <c r="C166" s="6">
        <v>45995.836805555547</v>
      </c>
      <c r="D166" s="7">
        <v>624</v>
      </c>
      <c r="E166" s="8">
        <v>198.06</v>
      </c>
      <c r="F166" s="5" t="s">
        <v>159</v>
      </c>
      <c r="G166" s="8">
        <v>0.1</v>
      </c>
      <c r="H166" s="9">
        <v>123589.44</v>
      </c>
      <c r="I166" s="9">
        <v>1.2358944000000001</v>
      </c>
    </row>
    <row r="167" spans="1:9" x14ac:dyDescent="0.25">
      <c r="A167" s="5" t="s">
        <v>321</v>
      </c>
      <c r="B167" s="5" t="s">
        <v>44</v>
      </c>
      <c r="C167" s="6">
        <v>45995.857638888891</v>
      </c>
      <c r="D167" s="7">
        <v>200</v>
      </c>
      <c r="E167" s="8">
        <v>197.73</v>
      </c>
      <c r="F167" s="5" t="s">
        <v>154</v>
      </c>
      <c r="G167" s="8">
        <v>0.05</v>
      </c>
      <c r="H167" s="9">
        <v>39546</v>
      </c>
      <c r="I167" s="9">
        <v>0.19772999999999999</v>
      </c>
    </row>
    <row r="168" spans="1:9" x14ac:dyDescent="0.25">
      <c r="A168" s="5" t="s">
        <v>322</v>
      </c>
      <c r="B168" s="5" t="s">
        <v>44</v>
      </c>
      <c r="C168" s="6">
        <v>45995.864583333343</v>
      </c>
      <c r="D168" s="7">
        <v>196</v>
      </c>
      <c r="E168" s="8">
        <v>197.08</v>
      </c>
      <c r="F168" s="5" t="s">
        <v>156</v>
      </c>
      <c r="G168" s="8">
        <v>0.15</v>
      </c>
      <c r="H168" s="9">
        <v>38627.68</v>
      </c>
      <c r="I168" s="9">
        <v>0.57941520000000002</v>
      </c>
    </row>
    <row r="169" spans="1:9" x14ac:dyDescent="0.25">
      <c r="A169" s="5" t="s">
        <v>323</v>
      </c>
      <c r="B169" s="5" t="s">
        <v>45</v>
      </c>
      <c r="C169" s="6">
        <v>45996.694444444453</v>
      </c>
      <c r="D169" s="7">
        <v>2435</v>
      </c>
      <c r="E169" s="8">
        <v>172.85</v>
      </c>
      <c r="F169" s="5" t="s">
        <v>154</v>
      </c>
      <c r="G169" s="8">
        <v>0.05</v>
      </c>
      <c r="H169" s="9">
        <v>420889.75</v>
      </c>
      <c r="I169" s="9">
        <v>2.10444875</v>
      </c>
    </row>
    <row r="170" spans="1:9" x14ac:dyDescent="0.25">
      <c r="A170" s="5" t="s">
        <v>324</v>
      </c>
      <c r="B170" s="5" t="s">
        <v>45</v>
      </c>
      <c r="C170" s="6">
        <v>45996.75</v>
      </c>
      <c r="D170" s="7">
        <v>8210</v>
      </c>
      <c r="E170" s="8">
        <v>174.46</v>
      </c>
      <c r="F170" s="5" t="s">
        <v>156</v>
      </c>
      <c r="G170" s="8">
        <v>0.15</v>
      </c>
      <c r="H170" s="9">
        <v>1432316.6</v>
      </c>
      <c r="I170" s="9">
        <v>21.484749000000001</v>
      </c>
    </row>
    <row r="171" spans="1:9" x14ac:dyDescent="0.25">
      <c r="A171" s="5" t="s">
        <v>325</v>
      </c>
      <c r="B171" s="5" t="s">
        <v>45</v>
      </c>
      <c r="C171" s="6">
        <v>45996.760416666657</v>
      </c>
      <c r="D171" s="7">
        <v>977</v>
      </c>
      <c r="E171" s="8">
        <v>174.47</v>
      </c>
      <c r="F171" s="5" t="s">
        <v>154</v>
      </c>
      <c r="G171" s="8">
        <v>0.05</v>
      </c>
      <c r="H171" s="9">
        <v>170457.19</v>
      </c>
      <c r="I171" s="9">
        <v>0.85228595000000007</v>
      </c>
    </row>
    <row r="172" spans="1:9" x14ac:dyDescent="0.25">
      <c r="A172" s="5" t="s">
        <v>326</v>
      </c>
      <c r="B172" s="5" t="s">
        <v>45</v>
      </c>
      <c r="C172" s="6">
        <v>45996.763888888891</v>
      </c>
      <c r="D172" s="7">
        <v>525</v>
      </c>
      <c r="E172" s="8">
        <v>174.55</v>
      </c>
      <c r="F172" s="5" t="s">
        <v>154</v>
      </c>
      <c r="G172" s="8">
        <v>0.05</v>
      </c>
      <c r="H172" s="9">
        <v>91638.75</v>
      </c>
      <c r="I172" s="9">
        <v>0.45819375000000001</v>
      </c>
    </row>
    <row r="173" spans="1:9" x14ac:dyDescent="0.25">
      <c r="A173" s="5" t="s">
        <v>327</v>
      </c>
      <c r="B173" s="5" t="s">
        <v>46</v>
      </c>
      <c r="C173" s="6">
        <v>45996.753472222219</v>
      </c>
      <c r="D173" s="7">
        <v>6743</v>
      </c>
      <c r="E173" s="8">
        <v>248.06</v>
      </c>
      <c r="F173" s="5" t="s">
        <v>159</v>
      </c>
      <c r="G173" s="8">
        <v>0.1</v>
      </c>
      <c r="H173" s="9">
        <v>1672668.58</v>
      </c>
      <c r="I173" s="9">
        <v>16.726685799999998</v>
      </c>
    </row>
    <row r="174" spans="1:9" x14ac:dyDescent="0.25">
      <c r="A174" s="5" t="s">
        <v>328</v>
      </c>
      <c r="B174" s="5" t="s">
        <v>46</v>
      </c>
      <c r="C174" s="6">
        <v>45996.770833333343</v>
      </c>
      <c r="D174" s="7">
        <v>980</v>
      </c>
      <c r="E174" s="8">
        <v>248</v>
      </c>
      <c r="F174" s="5" t="s">
        <v>156</v>
      </c>
      <c r="G174" s="8">
        <v>0.15</v>
      </c>
      <c r="H174" s="9">
        <v>243040</v>
      </c>
      <c r="I174" s="9">
        <v>3.6456</v>
      </c>
    </row>
    <row r="175" spans="1:9" x14ac:dyDescent="0.25">
      <c r="A175" s="5" t="s">
        <v>329</v>
      </c>
      <c r="B175" s="5" t="s">
        <v>46</v>
      </c>
      <c r="C175" s="6">
        <v>45996.819444444453</v>
      </c>
      <c r="D175" s="7">
        <v>1617</v>
      </c>
      <c r="E175" s="8">
        <v>247.31</v>
      </c>
      <c r="F175" s="5" t="s">
        <v>156</v>
      </c>
      <c r="G175" s="8">
        <v>0.15</v>
      </c>
      <c r="H175" s="9">
        <v>399900.27</v>
      </c>
      <c r="I175" s="9">
        <v>5.9985040500000002</v>
      </c>
    </row>
    <row r="176" spans="1:9" x14ac:dyDescent="0.25">
      <c r="A176" s="5" t="s">
        <v>330</v>
      </c>
      <c r="B176" s="5" t="s">
        <v>46</v>
      </c>
      <c r="C176" s="6">
        <v>45996.826388888891</v>
      </c>
      <c r="D176" s="7">
        <v>4489</v>
      </c>
      <c r="E176" s="8">
        <v>247.81</v>
      </c>
      <c r="F176" s="5" t="s">
        <v>159</v>
      </c>
      <c r="G176" s="8">
        <v>0.1</v>
      </c>
      <c r="H176" s="9">
        <v>1112419.0900000001</v>
      </c>
      <c r="I176" s="9">
        <v>11.1241909</v>
      </c>
    </row>
    <row r="177" spans="1:9" x14ac:dyDescent="0.25">
      <c r="A177" s="5" t="s">
        <v>331</v>
      </c>
      <c r="B177" s="5" t="s">
        <v>46</v>
      </c>
      <c r="C177" s="6">
        <v>45996.833333333343</v>
      </c>
      <c r="D177" s="7">
        <v>1476</v>
      </c>
      <c r="E177" s="8">
        <v>247.89</v>
      </c>
      <c r="F177" s="5" t="s">
        <v>154</v>
      </c>
      <c r="G177" s="8">
        <v>0.05</v>
      </c>
      <c r="H177" s="9">
        <v>365885.64</v>
      </c>
      <c r="I177" s="9">
        <v>1.8294281999999999</v>
      </c>
    </row>
    <row r="178" spans="1:9" x14ac:dyDescent="0.25">
      <c r="A178" s="5" t="s">
        <v>332</v>
      </c>
      <c r="B178" s="5" t="s">
        <v>47</v>
      </c>
      <c r="C178" s="6">
        <v>45995.701388888891</v>
      </c>
      <c r="D178" s="7">
        <v>905</v>
      </c>
      <c r="E178" s="8">
        <v>247.16</v>
      </c>
      <c r="F178" s="5" t="s">
        <v>156</v>
      </c>
      <c r="G178" s="8">
        <v>0.15</v>
      </c>
      <c r="H178" s="9">
        <v>223679.8</v>
      </c>
      <c r="I178" s="9">
        <v>3.355197</v>
      </c>
    </row>
    <row r="179" spans="1:9" x14ac:dyDescent="0.25">
      <c r="A179" s="5" t="s">
        <v>333</v>
      </c>
      <c r="B179" s="5" t="s">
        <v>47</v>
      </c>
      <c r="C179" s="6">
        <v>45995.704861111109</v>
      </c>
      <c r="D179" s="7">
        <v>277</v>
      </c>
      <c r="E179" s="8">
        <v>247.21</v>
      </c>
      <c r="F179" s="5" t="s">
        <v>156</v>
      </c>
      <c r="G179" s="8">
        <v>0.15</v>
      </c>
      <c r="H179" s="9">
        <v>68477.17</v>
      </c>
      <c r="I179" s="9">
        <v>1.0271575500000001</v>
      </c>
    </row>
    <row r="180" spans="1:9" x14ac:dyDescent="0.25">
      <c r="A180" s="5" t="s">
        <v>334</v>
      </c>
      <c r="B180" s="5" t="s">
        <v>47</v>
      </c>
      <c r="C180" s="6">
        <v>45995.71875</v>
      </c>
      <c r="D180" s="7">
        <v>3170</v>
      </c>
      <c r="E180" s="8">
        <v>247.93</v>
      </c>
      <c r="F180" s="5" t="s">
        <v>156</v>
      </c>
      <c r="G180" s="8">
        <v>0.15</v>
      </c>
      <c r="H180" s="9">
        <v>785938.1</v>
      </c>
      <c r="I180" s="9">
        <v>11.7890715</v>
      </c>
    </row>
    <row r="181" spans="1:9" x14ac:dyDescent="0.25">
      <c r="A181" s="5" t="s">
        <v>335</v>
      </c>
      <c r="B181" s="5" t="s">
        <v>47</v>
      </c>
      <c r="C181" s="6">
        <v>45995.722222222219</v>
      </c>
      <c r="D181" s="7">
        <v>463</v>
      </c>
      <c r="E181" s="8">
        <v>248.07</v>
      </c>
      <c r="F181" s="5" t="s">
        <v>154</v>
      </c>
      <c r="G181" s="8">
        <v>0.05</v>
      </c>
      <c r="H181" s="9">
        <v>114856.41</v>
      </c>
      <c r="I181" s="9">
        <v>0.5742820500000001</v>
      </c>
    </row>
    <row r="182" spans="1:9" x14ac:dyDescent="0.25">
      <c r="A182" s="5" t="s">
        <v>336</v>
      </c>
      <c r="B182" s="5" t="s">
        <v>47</v>
      </c>
      <c r="C182" s="6">
        <v>45995.736111111109</v>
      </c>
      <c r="D182" s="7">
        <v>437</v>
      </c>
      <c r="E182" s="8">
        <v>248.28</v>
      </c>
      <c r="F182" s="5" t="s">
        <v>159</v>
      </c>
      <c r="G182" s="8">
        <v>0.1</v>
      </c>
      <c r="H182" s="9">
        <v>108498.36</v>
      </c>
      <c r="I182" s="9">
        <v>1.0849835999999999</v>
      </c>
    </row>
    <row r="183" spans="1:9" x14ac:dyDescent="0.25">
      <c r="A183" s="5" t="s">
        <v>337</v>
      </c>
      <c r="B183" s="5" t="s">
        <v>47</v>
      </c>
      <c r="C183" s="6">
        <v>45995.739583333343</v>
      </c>
      <c r="D183" s="7">
        <v>331</v>
      </c>
      <c r="E183" s="8">
        <v>248.45</v>
      </c>
      <c r="F183" s="5" t="s">
        <v>154</v>
      </c>
      <c r="G183" s="8">
        <v>0.05</v>
      </c>
      <c r="H183" s="9">
        <v>82236.95</v>
      </c>
      <c r="I183" s="9">
        <v>0.41118474999999999</v>
      </c>
    </row>
    <row r="184" spans="1:9" x14ac:dyDescent="0.25">
      <c r="A184" s="5" t="s">
        <v>338</v>
      </c>
      <c r="B184" s="5" t="s">
        <v>47</v>
      </c>
      <c r="C184" s="6">
        <v>45995.743055555547</v>
      </c>
      <c r="D184" s="7">
        <v>3206</v>
      </c>
      <c r="E184" s="8">
        <v>248.13</v>
      </c>
      <c r="F184" s="5" t="s">
        <v>156</v>
      </c>
      <c r="G184" s="8">
        <v>0.15</v>
      </c>
      <c r="H184" s="9">
        <v>795504.78</v>
      </c>
      <c r="I184" s="9">
        <v>11.9325717</v>
      </c>
    </row>
    <row r="185" spans="1:9" x14ac:dyDescent="0.25">
      <c r="A185" s="5" t="s">
        <v>339</v>
      </c>
      <c r="B185" s="5" t="s">
        <v>47</v>
      </c>
      <c r="C185" s="6">
        <v>45995.746527777781</v>
      </c>
      <c r="D185" s="7">
        <v>306</v>
      </c>
      <c r="E185" s="8">
        <v>248.39</v>
      </c>
      <c r="F185" s="5" t="s">
        <v>159</v>
      </c>
      <c r="G185" s="8">
        <v>0.1</v>
      </c>
      <c r="H185" s="9">
        <v>76007.34</v>
      </c>
      <c r="I185" s="9">
        <v>0.76007340000000001</v>
      </c>
    </row>
    <row r="186" spans="1:9" x14ac:dyDescent="0.25">
      <c r="A186" s="5" t="s">
        <v>340</v>
      </c>
      <c r="B186" s="5" t="s">
        <v>47</v>
      </c>
      <c r="C186" s="6">
        <v>45995.75</v>
      </c>
      <c r="D186" s="7">
        <v>508</v>
      </c>
      <c r="E186" s="8">
        <v>248.27</v>
      </c>
      <c r="F186" s="5" t="s">
        <v>156</v>
      </c>
      <c r="G186" s="8">
        <v>0.15</v>
      </c>
      <c r="H186" s="9">
        <v>126121.16</v>
      </c>
      <c r="I186" s="9">
        <v>1.8918174000000001</v>
      </c>
    </row>
    <row r="187" spans="1:9" x14ac:dyDescent="0.25">
      <c r="A187" s="5" t="s">
        <v>341</v>
      </c>
      <c r="B187" s="5" t="s">
        <v>47</v>
      </c>
      <c r="C187" s="6">
        <v>45995.753472222219</v>
      </c>
      <c r="D187" s="7">
        <v>2603</v>
      </c>
      <c r="E187" s="8">
        <v>247.9</v>
      </c>
      <c r="F187" s="5" t="s">
        <v>156</v>
      </c>
      <c r="G187" s="8">
        <v>0.15</v>
      </c>
      <c r="H187" s="9">
        <v>645283.70000000007</v>
      </c>
      <c r="I187" s="9">
        <v>9.6792555</v>
      </c>
    </row>
    <row r="188" spans="1:9" x14ac:dyDescent="0.25">
      <c r="A188" s="5" t="s">
        <v>342</v>
      </c>
      <c r="B188" s="5" t="s">
        <v>48</v>
      </c>
      <c r="C188" s="6">
        <v>45993.618055555547</v>
      </c>
      <c r="D188" s="7">
        <v>793</v>
      </c>
      <c r="E188" s="8">
        <v>194.87</v>
      </c>
      <c r="F188" s="5" t="s">
        <v>156</v>
      </c>
      <c r="G188" s="8">
        <v>0.15</v>
      </c>
      <c r="H188" s="9">
        <v>154531.91</v>
      </c>
      <c r="I188" s="9">
        <v>2.3179786500000001</v>
      </c>
    </row>
    <row r="189" spans="1:9" x14ac:dyDescent="0.25">
      <c r="A189" s="5" t="s">
        <v>343</v>
      </c>
      <c r="B189" s="5" t="s">
        <v>48</v>
      </c>
      <c r="C189" s="6">
        <v>45993.621527777781</v>
      </c>
      <c r="D189" s="7">
        <v>1979</v>
      </c>
      <c r="E189" s="8">
        <v>194.68</v>
      </c>
      <c r="F189" s="5" t="s">
        <v>159</v>
      </c>
      <c r="G189" s="8">
        <v>0.1</v>
      </c>
      <c r="H189" s="9">
        <v>385271.72</v>
      </c>
      <c r="I189" s="9">
        <v>3.8527172000000012</v>
      </c>
    </row>
    <row r="190" spans="1:9" x14ac:dyDescent="0.25">
      <c r="A190" s="5" t="s">
        <v>344</v>
      </c>
      <c r="B190" s="5" t="s">
        <v>48</v>
      </c>
      <c r="C190" s="6">
        <v>45993.625</v>
      </c>
      <c r="D190" s="7">
        <v>19</v>
      </c>
      <c r="E190" s="8">
        <v>194.67</v>
      </c>
      <c r="F190" s="5" t="s">
        <v>156</v>
      </c>
      <c r="G190" s="8">
        <v>0.15</v>
      </c>
      <c r="H190" s="9">
        <v>3698.73</v>
      </c>
      <c r="I190" s="9">
        <v>5.5480949999999987E-2</v>
      </c>
    </row>
    <row r="191" spans="1:9" x14ac:dyDescent="0.25">
      <c r="A191" s="5" t="s">
        <v>345</v>
      </c>
      <c r="B191" s="5" t="s">
        <v>48</v>
      </c>
      <c r="C191" s="6">
        <v>45993.628472222219</v>
      </c>
      <c r="D191" s="7">
        <v>82</v>
      </c>
      <c r="E191" s="8">
        <v>194.6</v>
      </c>
      <c r="F191" s="5" t="s">
        <v>156</v>
      </c>
      <c r="G191" s="8">
        <v>0.15</v>
      </c>
      <c r="H191" s="9">
        <v>15957.2</v>
      </c>
      <c r="I191" s="9">
        <v>0.23935799999999999</v>
      </c>
    </row>
    <row r="192" spans="1:9" x14ac:dyDescent="0.25">
      <c r="A192" s="5" t="s">
        <v>346</v>
      </c>
      <c r="B192" s="5" t="s">
        <v>48</v>
      </c>
      <c r="C192" s="6">
        <v>45993.631944444453</v>
      </c>
      <c r="D192" s="7">
        <v>1920</v>
      </c>
      <c r="E192" s="8">
        <v>194.37</v>
      </c>
      <c r="F192" s="5" t="s">
        <v>159</v>
      </c>
      <c r="G192" s="8">
        <v>0.1</v>
      </c>
      <c r="H192" s="9">
        <v>373190.40000000002</v>
      </c>
      <c r="I192" s="9">
        <v>3.7319040000000001</v>
      </c>
    </row>
    <row r="193" spans="1:9" x14ac:dyDescent="0.25">
      <c r="A193" s="5" t="s">
        <v>347</v>
      </c>
      <c r="B193" s="5" t="s">
        <v>48</v>
      </c>
      <c r="C193" s="6">
        <v>45993.635416666657</v>
      </c>
      <c r="D193" s="7">
        <v>11</v>
      </c>
      <c r="E193" s="8">
        <v>194.36</v>
      </c>
      <c r="F193" s="5" t="s">
        <v>156</v>
      </c>
      <c r="G193" s="8">
        <v>0.15</v>
      </c>
      <c r="H193" s="9">
        <v>2137.96</v>
      </c>
      <c r="I193" s="9">
        <v>3.2069399999999998E-2</v>
      </c>
    </row>
    <row r="194" spans="1:9" x14ac:dyDescent="0.25">
      <c r="A194" s="5" t="s">
        <v>348</v>
      </c>
      <c r="B194" s="5" t="s">
        <v>48</v>
      </c>
      <c r="C194" s="6">
        <v>45993.638888888891</v>
      </c>
      <c r="D194" s="7">
        <v>664</v>
      </c>
      <c r="E194" s="8">
        <v>194.21</v>
      </c>
      <c r="F194" s="5" t="s">
        <v>159</v>
      </c>
      <c r="G194" s="8">
        <v>0.1</v>
      </c>
      <c r="H194" s="9">
        <v>128955.44</v>
      </c>
      <c r="I194" s="9">
        <v>1.2895544000000001</v>
      </c>
    </row>
    <row r="195" spans="1:9" x14ac:dyDescent="0.25">
      <c r="A195" s="5" t="s">
        <v>349</v>
      </c>
      <c r="B195" s="5" t="s">
        <v>48</v>
      </c>
      <c r="C195" s="6">
        <v>45993.642361111109</v>
      </c>
      <c r="D195" s="7">
        <v>1140</v>
      </c>
      <c r="E195" s="8">
        <v>194.25</v>
      </c>
      <c r="F195" s="5" t="s">
        <v>156</v>
      </c>
      <c r="G195" s="8">
        <v>0.15</v>
      </c>
      <c r="H195" s="9">
        <v>221445</v>
      </c>
      <c r="I195" s="9">
        <v>3.3216749999999999</v>
      </c>
    </row>
    <row r="196" spans="1:9" x14ac:dyDescent="0.25">
      <c r="A196" s="5" t="s">
        <v>350</v>
      </c>
      <c r="B196" s="5" t="s">
        <v>48</v>
      </c>
      <c r="C196" s="6">
        <v>45993.645833333343</v>
      </c>
      <c r="D196" s="7">
        <v>776</v>
      </c>
      <c r="E196" s="8">
        <v>194.32</v>
      </c>
      <c r="F196" s="5" t="s">
        <v>159</v>
      </c>
      <c r="G196" s="8">
        <v>0.1</v>
      </c>
      <c r="H196" s="9">
        <v>150792.32000000001</v>
      </c>
      <c r="I196" s="9">
        <v>1.5079232</v>
      </c>
    </row>
    <row r="197" spans="1:9" x14ac:dyDescent="0.25">
      <c r="A197" s="5" t="s">
        <v>351</v>
      </c>
      <c r="B197" s="5" t="s">
        <v>48</v>
      </c>
      <c r="C197" s="6">
        <v>45993.649305555547</v>
      </c>
      <c r="D197" s="7">
        <v>892</v>
      </c>
      <c r="E197" s="8">
        <v>194.19</v>
      </c>
      <c r="F197" s="5" t="s">
        <v>154</v>
      </c>
      <c r="G197" s="8">
        <v>0.05</v>
      </c>
      <c r="H197" s="9">
        <v>173217.48</v>
      </c>
      <c r="I197" s="9">
        <v>0.86608740000000017</v>
      </c>
    </row>
    <row r="198" spans="1:9" x14ac:dyDescent="0.25">
      <c r="A198" s="5" t="s">
        <v>352</v>
      </c>
      <c r="B198" s="5" t="s">
        <v>48</v>
      </c>
      <c r="C198" s="6">
        <v>45993.652777777781</v>
      </c>
      <c r="D198" s="7">
        <v>591</v>
      </c>
      <c r="E198" s="8">
        <v>194.45</v>
      </c>
      <c r="F198" s="5" t="s">
        <v>159</v>
      </c>
      <c r="G198" s="8">
        <v>0.1</v>
      </c>
      <c r="H198" s="9">
        <v>114919.95</v>
      </c>
      <c r="I198" s="9">
        <v>1.1491994999999999</v>
      </c>
    </row>
    <row r="199" spans="1:9" x14ac:dyDescent="0.25">
      <c r="A199" s="5" t="s">
        <v>353</v>
      </c>
      <c r="B199" s="5" t="s">
        <v>48</v>
      </c>
      <c r="C199" s="6">
        <v>45993.65625</v>
      </c>
      <c r="D199" s="7">
        <v>163</v>
      </c>
      <c r="E199" s="8">
        <v>194.51</v>
      </c>
      <c r="F199" s="5" t="s">
        <v>159</v>
      </c>
      <c r="G199" s="8">
        <v>0.1</v>
      </c>
      <c r="H199" s="9">
        <v>31705.13</v>
      </c>
      <c r="I199" s="9">
        <v>0.31705129999999998</v>
      </c>
    </row>
    <row r="200" spans="1:9" x14ac:dyDescent="0.25">
      <c r="A200" s="5" t="s">
        <v>354</v>
      </c>
      <c r="B200" s="5" t="s">
        <v>48</v>
      </c>
      <c r="C200" s="6">
        <v>45993.659722222219</v>
      </c>
      <c r="D200" s="7">
        <v>179</v>
      </c>
      <c r="E200" s="8">
        <v>194.76</v>
      </c>
      <c r="F200" s="5" t="s">
        <v>156</v>
      </c>
      <c r="G200" s="8">
        <v>0.15</v>
      </c>
      <c r="H200" s="9">
        <v>34862.04</v>
      </c>
      <c r="I200" s="9">
        <v>0.52293059999999991</v>
      </c>
    </row>
    <row r="201" spans="1:9" x14ac:dyDescent="0.25">
      <c r="A201" s="5" t="s">
        <v>355</v>
      </c>
      <c r="B201" s="5" t="s">
        <v>49</v>
      </c>
      <c r="C201" s="6">
        <v>45992.607638888891</v>
      </c>
      <c r="D201" s="7">
        <v>2564</v>
      </c>
      <c r="E201" s="8">
        <v>195.37</v>
      </c>
      <c r="F201" s="5" t="s">
        <v>159</v>
      </c>
      <c r="G201" s="8">
        <v>0.1</v>
      </c>
      <c r="H201" s="9">
        <v>500928.68</v>
      </c>
      <c r="I201" s="9">
        <v>5.0092867999999999</v>
      </c>
    </row>
    <row r="202" spans="1:9" x14ac:dyDescent="0.25">
      <c r="A202" s="5" t="s">
        <v>356</v>
      </c>
      <c r="B202" s="5" t="s">
        <v>49</v>
      </c>
      <c r="C202" s="6">
        <v>45992.628472222219</v>
      </c>
      <c r="D202" s="7">
        <v>4322</v>
      </c>
      <c r="E202" s="8">
        <v>194.78</v>
      </c>
      <c r="F202" s="5" t="s">
        <v>159</v>
      </c>
      <c r="G202" s="8">
        <v>0.1</v>
      </c>
      <c r="H202" s="9">
        <v>841839.16</v>
      </c>
      <c r="I202" s="9">
        <v>8.4183916000000014</v>
      </c>
    </row>
    <row r="203" spans="1:9" x14ac:dyDescent="0.25">
      <c r="A203" s="5" t="s">
        <v>357</v>
      </c>
      <c r="B203" s="5" t="s">
        <v>49</v>
      </c>
      <c r="C203" s="6">
        <v>45992.684027777781</v>
      </c>
      <c r="D203" s="7">
        <v>501</v>
      </c>
      <c r="E203" s="8">
        <v>194.77</v>
      </c>
      <c r="F203" s="5" t="s">
        <v>159</v>
      </c>
      <c r="G203" s="8">
        <v>0.1</v>
      </c>
      <c r="H203" s="9">
        <v>97579.77</v>
      </c>
      <c r="I203" s="9">
        <v>0.9757977000000001</v>
      </c>
    </row>
    <row r="204" spans="1:9" x14ac:dyDescent="0.25">
      <c r="A204" s="5" t="s">
        <v>358</v>
      </c>
      <c r="B204" s="5" t="s">
        <v>50</v>
      </c>
      <c r="C204" s="6">
        <v>45992.625</v>
      </c>
      <c r="D204" s="7">
        <v>29</v>
      </c>
      <c r="E204" s="8">
        <v>244.73</v>
      </c>
      <c r="F204" s="5" t="s">
        <v>156</v>
      </c>
      <c r="G204" s="8">
        <v>0.15</v>
      </c>
      <c r="H204" s="9">
        <v>7097.17</v>
      </c>
      <c r="I204" s="9">
        <v>0.10645755</v>
      </c>
    </row>
    <row r="205" spans="1:9" x14ac:dyDescent="0.25">
      <c r="A205" s="5" t="s">
        <v>359</v>
      </c>
      <c r="B205" s="5" t="s">
        <v>50</v>
      </c>
      <c r="C205" s="6">
        <v>45992.628472222219</v>
      </c>
      <c r="D205" s="7">
        <v>7983</v>
      </c>
      <c r="E205" s="8">
        <v>244.8</v>
      </c>
      <c r="F205" s="5" t="s">
        <v>156</v>
      </c>
      <c r="G205" s="8">
        <v>0.15</v>
      </c>
      <c r="H205" s="9">
        <v>1954238.4</v>
      </c>
      <c r="I205" s="9">
        <v>29.313576000000001</v>
      </c>
    </row>
    <row r="206" spans="1:9" x14ac:dyDescent="0.25">
      <c r="A206" s="5" t="s">
        <v>360</v>
      </c>
      <c r="B206" s="5" t="s">
        <v>50</v>
      </c>
      <c r="C206" s="6">
        <v>45992.642361111109</v>
      </c>
      <c r="D206" s="7">
        <v>4419</v>
      </c>
      <c r="E206" s="8">
        <v>244.85</v>
      </c>
      <c r="F206" s="5" t="s">
        <v>159</v>
      </c>
      <c r="G206" s="8">
        <v>0.1</v>
      </c>
      <c r="H206" s="9">
        <v>1081992.1499999999</v>
      </c>
      <c r="I206" s="9">
        <v>10.8199215</v>
      </c>
    </row>
    <row r="207" spans="1:9" x14ac:dyDescent="0.25">
      <c r="A207" s="5" t="s">
        <v>361</v>
      </c>
      <c r="B207" s="5" t="s">
        <v>51</v>
      </c>
      <c r="C207" s="6">
        <v>45996.694444444453</v>
      </c>
      <c r="D207" s="7">
        <v>1052</v>
      </c>
      <c r="E207" s="8">
        <v>186.16</v>
      </c>
      <c r="F207" s="5" t="s">
        <v>156</v>
      </c>
      <c r="G207" s="8">
        <v>0.15</v>
      </c>
      <c r="H207" s="9">
        <v>195840.32</v>
      </c>
      <c r="I207" s="9">
        <v>2.9376047999999999</v>
      </c>
    </row>
    <row r="208" spans="1:9" x14ac:dyDescent="0.25">
      <c r="A208" s="5" t="s">
        <v>362</v>
      </c>
      <c r="B208" s="5" t="s">
        <v>51</v>
      </c>
      <c r="C208" s="6">
        <v>45996.708333333343</v>
      </c>
      <c r="D208" s="7">
        <v>245</v>
      </c>
      <c r="E208" s="8">
        <v>186.25</v>
      </c>
      <c r="F208" s="5" t="s">
        <v>159</v>
      </c>
      <c r="G208" s="8">
        <v>0.1</v>
      </c>
      <c r="H208" s="9">
        <v>45631.25</v>
      </c>
      <c r="I208" s="9">
        <v>0.45631250000000001</v>
      </c>
    </row>
    <row r="209" spans="1:9" x14ac:dyDescent="0.25">
      <c r="A209" s="5" t="s">
        <v>363</v>
      </c>
      <c r="B209" s="5" t="s">
        <v>51</v>
      </c>
      <c r="C209" s="6">
        <v>45996.715277777781</v>
      </c>
      <c r="D209" s="7">
        <v>2424</v>
      </c>
      <c r="E209" s="8">
        <v>186.26</v>
      </c>
      <c r="F209" s="5" t="s">
        <v>159</v>
      </c>
      <c r="G209" s="8">
        <v>0.1</v>
      </c>
      <c r="H209" s="9">
        <v>451494.24</v>
      </c>
      <c r="I209" s="9">
        <v>4.5149423999999998</v>
      </c>
    </row>
    <row r="210" spans="1:9" x14ac:dyDescent="0.25">
      <c r="A210" s="5" t="s">
        <v>364</v>
      </c>
      <c r="B210" s="5" t="s">
        <v>51</v>
      </c>
      <c r="C210" s="6">
        <v>45996.722222222219</v>
      </c>
      <c r="D210" s="7">
        <v>113</v>
      </c>
      <c r="E210" s="8">
        <v>186.12</v>
      </c>
      <c r="F210" s="5" t="s">
        <v>156</v>
      </c>
      <c r="G210" s="8">
        <v>0.15</v>
      </c>
      <c r="H210" s="9">
        <v>21031.56</v>
      </c>
      <c r="I210" s="9">
        <v>0.31547340000000001</v>
      </c>
    </row>
    <row r="211" spans="1:9" x14ac:dyDescent="0.25">
      <c r="A211" s="5" t="s">
        <v>365</v>
      </c>
      <c r="B211" s="5" t="s">
        <v>51</v>
      </c>
      <c r="C211" s="6">
        <v>45996.729166666657</v>
      </c>
      <c r="D211" s="7">
        <v>511</v>
      </c>
      <c r="E211" s="8">
        <v>185.57</v>
      </c>
      <c r="F211" s="5" t="s">
        <v>154</v>
      </c>
      <c r="G211" s="8">
        <v>0.05</v>
      </c>
      <c r="H211" s="9">
        <v>94826.26999999999</v>
      </c>
      <c r="I211" s="9">
        <v>0.47413135000000001</v>
      </c>
    </row>
    <row r="212" spans="1:9" x14ac:dyDescent="0.25">
      <c r="A212" s="5" t="s">
        <v>366</v>
      </c>
      <c r="B212" s="5" t="s">
        <v>51</v>
      </c>
      <c r="C212" s="6">
        <v>45996.739583333343</v>
      </c>
      <c r="D212" s="7">
        <v>619</v>
      </c>
      <c r="E212" s="8">
        <v>185.58</v>
      </c>
      <c r="F212" s="5" t="s">
        <v>156</v>
      </c>
      <c r="G212" s="8">
        <v>0.15</v>
      </c>
      <c r="H212" s="9">
        <v>114874.02</v>
      </c>
      <c r="I212" s="9">
        <v>1.7231103000000001</v>
      </c>
    </row>
    <row r="213" spans="1:9" x14ac:dyDescent="0.25">
      <c r="A213" s="5" t="s">
        <v>367</v>
      </c>
      <c r="B213" s="5" t="s">
        <v>51</v>
      </c>
      <c r="C213" s="6">
        <v>45996.743055555547</v>
      </c>
      <c r="D213" s="7">
        <v>2762</v>
      </c>
      <c r="E213" s="8">
        <v>185.33</v>
      </c>
      <c r="F213" s="5" t="s">
        <v>156</v>
      </c>
      <c r="G213" s="8">
        <v>0.15</v>
      </c>
      <c r="H213" s="9">
        <v>511881.46</v>
      </c>
      <c r="I213" s="9">
        <v>7.6782218999999996</v>
      </c>
    </row>
    <row r="214" spans="1:9" x14ac:dyDescent="0.25">
      <c r="A214" s="5" t="s">
        <v>368</v>
      </c>
      <c r="B214" s="5" t="s">
        <v>52</v>
      </c>
      <c r="C214" s="6">
        <v>45995.715277777781</v>
      </c>
      <c r="D214" s="7">
        <v>3059</v>
      </c>
      <c r="E214" s="8">
        <v>173.08</v>
      </c>
      <c r="F214" s="5" t="s">
        <v>159</v>
      </c>
      <c r="G214" s="8">
        <v>0.1</v>
      </c>
      <c r="H214" s="9">
        <v>529451.72000000009</v>
      </c>
      <c r="I214" s="9">
        <v>5.2945172000000014</v>
      </c>
    </row>
    <row r="215" spans="1:9" x14ac:dyDescent="0.25">
      <c r="A215" s="5" t="s">
        <v>369</v>
      </c>
      <c r="B215" s="5" t="s">
        <v>52</v>
      </c>
      <c r="C215" s="6">
        <v>45995.743055555547</v>
      </c>
      <c r="D215" s="7">
        <v>47</v>
      </c>
      <c r="E215" s="8">
        <v>172.71</v>
      </c>
      <c r="F215" s="5" t="s">
        <v>156</v>
      </c>
      <c r="G215" s="8">
        <v>0.15</v>
      </c>
      <c r="H215" s="9">
        <v>8117.3700000000008</v>
      </c>
      <c r="I215" s="9">
        <v>0.12176055</v>
      </c>
    </row>
    <row r="216" spans="1:9" x14ac:dyDescent="0.25">
      <c r="A216" s="5" t="s">
        <v>370</v>
      </c>
      <c r="B216" s="5" t="s">
        <v>52</v>
      </c>
      <c r="C216" s="6">
        <v>45995.756944444453</v>
      </c>
      <c r="D216" s="7">
        <v>822</v>
      </c>
      <c r="E216" s="8">
        <v>172.73</v>
      </c>
      <c r="F216" s="5" t="s">
        <v>156</v>
      </c>
      <c r="G216" s="8">
        <v>0.15</v>
      </c>
      <c r="H216" s="9">
        <v>141984.06</v>
      </c>
      <c r="I216" s="9">
        <v>2.1297609</v>
      </c>
    </row>
    <row r="217" spans="1:9" x14ac:dyDescent="0.25">
      <c r="A217" s="5" t="s">
        <v>371</v>
      </c>
      <c r="B217" s="5" t="s">
        <v>52</v>
      </c>
      <c r="C217" s="6">
        <v>45995.760416666657</v>
      </c>
      <c r="D217" s="7">
        <v>2659</v>
      </c>
      <c r="E217" s="8">
        <v>172.73</v>
      </c>
      <c r="F217" s="5" t="s">
        <v>159</v>
      </c>
      <c r="G217" s="8">
        <v>0.1</v>
      </c>
      <c r="H217" s="9">
        <v>459289.06999999989</v>
      </c>
      <c r="I217" s="9">
        <v>4.5928906999999999</v>
      </c>
    </row>
    <row r="218" spans="1:9" x14ac:dyDescent="0.25">
      <c r="A218" s="5" t="s">
        <v>372</v>
      </c>
      <c r="B218" s="5" t="s">
        <v>53</v>
      </c>
      <c r="C218" s="6">
        <v>45995.788194444453</v>
      </c>
      <c r="D218" s="7">
        <v>694</v>
      </c>
      <c r="E218" s="8">
        <v>185.34</v>
      </c>
      <c r="F218" s="5" t="s">
        <v>159</v>
      </c>
      <c r="G218" s="8">
        <v>0.1</v>
      </c>
      <c r="H218" s="9">
        <v>128625.96</v>
      </c>
      <c r="I218" s="9">
        <v>1.2862595999999999</v>
      </c>
    </row>
    <row r="219" spans="1:9" x14ac:dyDescent="0.25">
      <c r="A219" s="5" t="s">
        <v>373</v>
      </c>
      <c r="B219" s="5" t="s">
        <v>53</v>
      </c>
      <c r="C219" s="6">
        <v>45995.805555555547</v>
      </c>
      <c r="D219" s="7">
        <v>83</v>
      </c>
      <c r="E219" s="8">
        <v>184.82</v>
      </c>
      <c r="F219" s="5" t="s">
        <v>159</v>
      </c>
      <c r="G219" s="8">
        <v>0.1</v>
      </c>
      <c r="H219" s="9">
        <v>15340.06</v>
      </c>
      <c r="I219" s="9">
        <v>0.1534006</v>
      </c>
    </row>
    <row r="220" spans="1:9" x14ac:dyDescent="0.25">
      <c r="A220" s="5" t="s">
        <v>374</v>
      </c>
      <c r="B220" s="5" t="s">
        <v>53</v>
      </c>
      <c r="C220" s="6">
        <v>45995.8125</v>
      </c>
      <c r="D220" s="7">
        <v>219</v>
      </c>
      <c r="E220" s="8">
        <v>184.5</v>
      </c>
      <c r="F220" s="5" t="s">
        <v>156</v>
      </c>
      <c r="G220" s="8">
        <v>0.15</v>
      </c>
      <c r="H220" s="9">
        <v>40405.5</v>
      </c>
      <c r="I220" s="9">
        <v>0.60608249999999997</v>
      </c>
    </row>
    <row r="221" spans="1:9" x14ac:dyDescent="0.25">
      <c r="A221" s="5" t="s">
        <v>375</v>
      </c>
      <c r="B221" s="5" t="s">
        <v>53</v>
      </c>
      <c r="C221" s="6">
        <v>45995.826388888891</v>
      </c>
      <c r="D221" s="7">
        <v>631</v>
      </c>
      <c r="E221" s="8">
        <v>184.6</v>
      </c>
      <c r="F221" s="5" t="s">
        <v>156</v>
      </c>
      <c r="G221" s="8">
        <v>0.15</v>
      </c>
      <c r="H221" s="9">
        <v>116482.6</v>
      </c>
      <c r="I221" s="9">
        <v>1.747239</v>
      </c>
    </row>
    <row r="222" spans="1:9" x14ac:dyDescent="0.25">
      <c r="A222" s="5" t="s">
        <v>376</v>
      </c>
      <c r="B222" s="5" t="s">
        <v>53</v>
      </c>
      <c r="C222" s="6">
        <v>45995.836805555547</v>
      </c>
      <c r="D222" s="7">
        <v>227</v>
      </c>
      <c r="E222" s="8">
        <v>184.97</v>
      </c>
      <c r="F222" s="5" t="s">
        <v>154</v>
      </c>
      <c r="G222" s="8">
        <v>0.05</v>
      </c>
      <c r="H222" s="9">
        <v>41988.19</v>
      </c>
      <c r="I222" s="9">
        <v>0.20994094999999999</v>
      </c>
    </row>
    <row r="223" spans="1:9" x14ac:dyDescent="0.25">
      <c r="A223" s="5" t="s">
        <v>377</v>
      </c>
      <c r="B223" s="5" t="s">
        <v>53</v>
      </c>
      <c r="C223" s="6">
        <v>45995.840277777781</v>
      </c>
      <c r="D223" s="7">
        <v>621</v>
      </c>
      <c r="E223" s="8">
        <v>185.11</v>
      </c>
      <c r="F223" s="5" t="s">
        <v>156</v>
      </c>
      <c r="G223" s="8">
        <v>0.15</v>
      </c>
      <c r="H223" s="9">
        <v>114953.31</v>
      </c>
      <c r="I223" s="9">
        <v>1.7242996500000001</v>
      </c>
    </row>
    <row r="224" spans="1:9" x14ac:dyDescent="0.25">
      <c r="A224" s="5" t="s">
        <v>378</v>
      </c>
      <c r="B224" s="5" t="s">
        <v>53</v>
      </c>
      <c r="C224" s="6">
        <v>45995.84375</v>
      </c>
      <c r="D224" s="7">
        <v>638</v>
      </c>
      <c r="E224" s="8">
        <v>185.21</v>
      </c>
      <c r="F224" s="5" t="s">
        <v>159</v>
      </c>
      <c r="G224" s="8">
        <v>0.1</v>
      </c>
      <c r="H224" s="9">
        <v>118163.98</v>
      </c>
      <c r="I224" s="9">
        <v>1.1816397999999999</v>
      </c>
    </row>
    <row r="225" spans="1:9" x14ac:dyDescent="0.25">
      <c r="A225" s="5" t="s">
        <v>379</v>
      </c>
      <c r="B225" s="5" t="s">
        <v>53</v>
      </c>
      <c r="C225" s="6">
        <v>45995.850694444453</v>
      </c>
      <c r="D225" s="7">
        <v>75</v>
      </c>
      <c r="E225" s="8">
        <v>185.3</v>
      </c>
      <c r="F225" s="5" t="s">
        <v>154</v>
      </c>
      <c r="G225" s="8">
        <v>0.05</v>
      </c>
      <c r="H225" s="9">
        <v>13897.5</v>
      </c>
      <c r="I225" s="9">
        <v>6.9487499999999994E-2</v>
      </c>
    </row>
    <row r="226" spans="1:9" x14ac:dyDescent="0.25">
      <c r="A226" s="5" t="s">
        <v>380</v>
      </c>
      <c r="B226" s="5" t="s">
        <v>53</v>
      </c>
      <c r="C226" s="6">
        <v>45995.854166666657</v>
      </c>
      <c r="D226" s="7">
        <v>248</v>
      </c>
      <c r="E226" s="8">
        <v>185.29</v>
      </c>
      <c r="F226" s="5" t="s">
        <v>156</v>
      </c>
      <c r="G226" s="8">
        <v>0.15</v>
      </c>
      <c r="H226" s="9">
        <v>45951.92</v>
      </c>
      <c r="I226" s="9">
        <v>0.68927879999999997</v>
      </c>
    </row>
    <row r="227" spans="1:9" x14ac:dyDescent="0.25">
      <c r="A227" s="5" t="s">
        <v>381</v>
      </c>
      <c r="B227" s="5" t="s">
        <v>53</v>
      </c>
      <c r="C227" s="6">
        <v>45995.857638888891</v>
      </c>
      <c r="D227" s="7">
        <v>319</v>
      </c>
      <c r="E227" s="8">
        <v>185.26</v>
      </c>
      <c r="F227" s="5" t="s">
        <v>156</v>
      </c>
      <c r="G227" s="8">
        <v>0.15</v>
      </c>
      <c r="H227" s="9">
        <v>59097.94</v>
      </c>
      <c r="I227" s="9">
        <v>0.8864690999999999</v>
      </c>
    </row>
    <row r="228" spans="1:9" x14ac:dyDescent="0.25">
      <c r="A228" s="5" t="s">
        <v>382</v>
      </c>
      <c r="B228" s="5" t="s">
        <v>53</v>
      </c>
      <c r="C228" s="6">
        <v>45995.871527777781</v>
      </c>
      <c r="D228" s="7">
        <v>19</v>
      </c>
      <c r="E228" s="8">
        <v>184.85</v>
      </c>
      <c r="F228" s="5" t="s">
        <v>159</v>
      </c>
      <c r="G228" s="8">
        <v>0.1</v>
      </c>
      <c r="H228" s="9">
        <v>3512.15</v>
      </c>
      <c r="I228" s="9">
        <v>3.51215E-2</v>
      </c>
    </row>
    <row r="229" spans="1:9" x14ac:dyDescent="0.25">
      <c r="A229" s="5" t="s">
        <v>383</v>
      </c>
      <c r="B229" s="5" t="s">
        <v>54</v>
      </c>
      <c r="C229" s="6">
        <v>45994.638888888891</v>
      </c>
      <c r="D229" s="7">
        <v>161</v>
      </c>
      <c r="E229" s="8">
        <v>245.51</v>
      </c>
      <c r="F229" s="5" t="s">
        <v>156</v>
      </c>
      <c r="G229" s="8">
        <v>0.15</v>
      </c>
      <c r="H229" s="9">
        <v>39527.11</v>
      </c>
      <c r="I229" s="9">
        <v>0.59290664999999998</v>
      </c>
    </row>
    <row r="230" spans="1:9" x14ac:dyDescent="0.25">
      <c r="A230" s="5" t="s">
        <v>384</v>
      </c>
      <c r="B230" s="5" t="s">
        <v>54</v>
      </c>
      <c r="C230" s="6">
        <v>45994.642361111109</v>
      </c>
      <c r="D230" s="7">
        <v>32</v>
      </c>
      <c r="E230" s="8">
        <v>245.38</v>
      </c>
      <c r="F230" s="5" t="s">
        <v>159</v>
      </c>
      <c r="G230" s="8">
        <v>0.1</v>
      </c>
      <c r="H230" s="9">
        <v>7852.16</v>
      </c>
      <c r="I230" s="9">
        <v>7.8521599999999997E-2</v>
      </c>
    </row>
    <row r="231" spans="1:9" x14ac:dyDescent="0.25">
      <c r="A231" s="5" t="s">
        <v>385</v>
      </c>
      <c r="B231" s="5" t="s">
        <v>54</v>
      </c>
      <c r="C231" s="6">
        <v>45994.652777777781</v>
      </c>
      <c r="D231" s="7">
        <v>1083</v>
      </c>
      <c r="E231" s="8">
        <v>245.39</v>
      </c>
      <c r="F231" s="5" t="s">
        <v>159</v>
      </c>
      <c r="G231" s="8">
        <v>0.1</v>
      </c>
      <c r="H231" s="9">
        <v>265757.37</v>
      </c>
      <c r="I231" s="9">
        <v>2.6575736999999999</v>
      </c>
    </row>
    <row r="232" spans="1:9" x14ac:dyDescent="0.25">
      <c r="A232" s="5" t="s">
        <v>386</v>
      </c>
      <c r="B232" s="5" t="s">
        <v>54</v>
      </c>
      <c r="C232" s="6">
        <v>45994.666666666657</v>
      </c>
      <c r="D232" s="7">
        <v>1709</v>
      </c>
      <c r="E232" s="8">
        <v>244.4</v>
      </c>
      <c r="F232" s="5" t="s">
        <v>156</v>
      </c>
      <c r="G232" s="8">
        <v>0.15</v>
      </c>
      <c r="H232" s="9">
        <v>417679.6</v>
      </c>
      <c r="I232" s="9">
        <v>6.2651940000000002</v>
      </c>
    </row>
    <row r="233" spans="1:9" x14ac:dyDescent="0.25">
      <c r="A233" s="5" t="s">
        <v>387</v>
      </c>
      <c r="B233" s="5" t="s">
        <v>54</v>
      </c>
      <c r="C233" s="6">
        <v>45994.680555555547</v>
      </c>
      <c r="D233" s="7">
        <v>1934</v>
      </c>
      <c r="E233" s="8">
        <v>244.11</v>
      </c>
      <c r="F233" s="5" t="s">
        <v>159</v>
      </c>
      <c r="G233" s="8">
        <v>0.1</v>
      </c>
      <c r="H233" s="9">
        <v>472108.74</v>
      </c>
      <c r="I233" s="9">
        <v>4.7210874000000009</v>
      </c>
    </row>
    <row r="234" spans="1:9" x14ac:dyDescent="0.25">
      <c r="A234" s="5" t="s">
        <v>388</v>
      </c>
      <c r="B234" s="5" t="s">
        <v>54</v>
      </c>
      <c r="C234" s="6">
        <v>45994.6875</v>
      </c>
      <c r="D234" s="7">
        <v>688</v>
      </c>
      <c r="E234" s="8">
        <v>244.14</v>
      </c>
      <c r="F234" s="5" t="s">
        <v>156</v>
      </c>
      <c r="G234" s="8">
        <v>0.15</v>
      </c>
      <c r="H234" s="9">
        <v>167968.32</v>
      </c>
      <c r="I234" s="9">
        <v>2.5195248000000001</v>
      </c>
    </row>
    <row r="235" spans="1:9" x14ac:dyDescent="0.25">
      <c r="A235" s="5" t="s">
        <v>389</v>
      </c>
      <c r="B235" s="5" t="s">
        <v>54</v>
      </c>
      <c r="C235" s="6">
        <v>45994.690972222219</v>
      </c>
      <c r="D235" s="7">
        <v>1287</v>
      </c>
      <c r="E235" s="8">
        <v>243.92</v>
      </c>
      <c r="F235" s="5" t="s">
        <v>156</v>
      </c>
      <c r="G235" s="8">
        <v>0.15</v>
      </c>
      <c r="H235" s="9">
        <v>313925.03999999998</v>
      </c>
      <c r="I235" s="9">
        <v>4.7088755999999998</v>
      </c>
    </row>
    <row r="236" spans="1:9" x14ac:dyDescent="0.25">
      <c r="A236" s="5" t="s">
        <v>390</v>
      </c>
      <c r="B236" s="5" t="s">
        <v>54</v>
      </c>
      <c r="C236" s="6">
        <v>45994.701388888891</v>
      </c>
      <c r="D236" s="7">
        <v>89</v>
      </c>
      <c r="E236" s="8">
        <v>244.39</v>
      </c>
      <c r="F236" s="5" t="s">
        <v>156</v>
      </c>
      <c r="G236" s="8">
        <v>0.15</v>
      </c>
      <c r="H236" s="9">
        <v>21750.71</v>
      </c>
      <c r="I236" s="9">
        <v>0.32626064999999999</v>
      </c>
    </row>
    <row r="237" spans="1:9" x14ac:dyDescent="0.25">
      <c r="A237" s="5" t="s">
        <v>391</v>
      </c>
      <c r="B237" s="5" t="s">
        <v>54</v>
      </c>
      <c r="C237" s="6">
        <v>45994.704861111109</v>
      </c>
      <c r="D237" s="7">
        <v>1970</v>
      </c>
      <c r="E237" s="8">
        <v>244.65</v>
      </c>
      <c r="F237" s="5" t="s">
        <v>156</v>
      </c>
      <c r="G237" s="8">
        <v>0.15</v>
      </c>
      <c r="H237" s="9">
        <v>481960.5</v>
      </c>
      <c r="I237" s="9">
        <v>7.2294074999999998</v>
      </c>
    </row>
    <row r="238" spans="1:9" x14ac:dyDescent="0.25">
      <c r="A238" s="5" t="s">
        <v>392</v>
      </c>
      <c r="B238" s="5" t="s">
        <v>54</v>
      </c>
      <c r="C238" s="6">
        <v>45994.711805555547</v>
      </c>
      <c r="D238" s="7">
        <v>4160</v>
      </c>
      <c r="E238" s="8">
        <v>245.28</v>
      </c>
      <c r="F238" s="5" t="s">
        <v>156</v>
      </c>
      <c r="G238" s="8">
        <v>0.15</v>
      </c>
      <c r="H238" s="9">
        <v>1020364.8</v>
      </c>
      <c r="I238" s="9">
        <v>15.305472</v>
      </c>
    </row>
    <row r="239" spans="1:9" x14ac:dyDescent="0.25">
      <c r="A239" s="5" t="s">
        <v>393</v>
      </c>
      <c r="B239" s="5" t="s">
        <v>54</v>
      </c>
      <c r="C239" s="6">
        <v>45994.732638888891</v>
      </c>
      <c r="D239" s="7">
        <v>650</v>
      </c>
      <c r="E239" s="8">
        <v>245.86</v>
      </c>
      <c r="F239" s="5" t="s">
        <v>156</v>
      </c>
      <c r="G239" s="8">
        <v>0.15</v>
      </c>
      <c r="H239" s="9">
        <v>159809</v>
      </c>
      <c r="I239" s="9">
        <v>2.397135</v>
      </c>
    </row>
    <row r="240" spans="1:9" x14ac:dyDescent="0.25">
      <c r="A240" s="5" t="s">
        <v>394</v>
      </c>
      <c r="B240" s="5" t="s">
        <v>55</v>
      </c>
      <c r="C240" s="6">
        <v>45992.756944444453</v>
      </c>
      <c r="D240" s="7">
        <v>1325</v>
      </c>
      <c r="E240" s="8">
        <v>185.69</v>
      </c>
      <c r="F240" s="5" t="s">
        <v>156</v>
      </c>
      <c r="G240" s="8">
        <v>0.15</v>
      </c>
      <c r="H240" s="9">
        <v>246039.25</v>
      </c>
      <c r="I240" s="9">
        <v>3.6905887499999999</v>
      </c>
    </row>
    <row r="241" spans="1:9" x14ac:dyDescent="0.25">
      <c r="A241" s="5" t="s">
        <v>395</v>
      </c>
      <c r="B241" s="5" t="s">
        <v>55</v>
      </c>
      <c r="C241" s="6">
        <v>45992.763888888891</v>
      </c>
      <c r="D241" s="7">
        <v>1555</v>
      </c>
      <c r="E241" s="8">
        <v>186.01</v>
      </c>
      <c r="F241" s="5" t="s">
        <v>156</v>
      </c>
      <c r="G241" s="8">
        <v>0.15</v>
      </c>
      <c r="H241" s="9">
        <v>289245.55</v>
      </c>
      <c r="I241" s="9">
        <v>4.3386832499999999</v>
      </c>
    </row>
    <row r="242" spans="1:9" x14ac:dyDescent="0.25">
      <c r="A242" s="5" t="s">
        <v>396</v>
      </c>
      <c r="B242" s="5" t="s">
        <v>55</v>
      </c>
      <c r="C242" s="6">
        <v>45992.767361111109</v>
      </c>
      <c r="D242" s="7">
        <v>99</v>
      </c>
      <c r="E242" s="8">
        <v>185.94</v>
      </c>
      <c r="F242" s="5" t="s">
        <v>154</v>
      </c>
      <c r="G242" s="8">
        <v>0.05</v>
      </c>
      <c r="H242" s="9">
        <v>18408.060000000001</v>
      </c>
      <c r="I242" s="9">
        <v>9.2040300000000019E-2</v>
      </c>
    </row>
    <row r="243" spans="1:9" x14ac:dyDescent="0.25">
      <c r="A243" s="5" t="s">
        <v>397</v>
      </c>
      <c r="B243" s="5" t="s">
        <v>55</v>
      </c>
      <c r="C243" s="6">
        <v>45992.770833333343</v>
      </c>
      <c r="D243" s="7">
        <v>136</v>
      </c>
      <c r="E243" s="8">
        <v>185.89</v>
      </c>
      <c r="F243" s="5" t="s">
        <v>159</v>
      </c>
      <c r="G243" s="8">
        <v>0.1</v>
      </c>
      <c r="H243" s="9">
        <v>25281.040000000001</v>
      </c>
      <c r="I243" s="9">
        <v>0.25281039999999999</v>
      </c>
    </row>
    <row r="244" spans="1:9" x14ac:dyDescent="0.25">
      <c r="A244" s="5" t="s">
        <v>398</v>
      </c>
      <c r="B244" s="5" t="s">
        <v>55</v>
      </c>
      <c r="C244" s="6">
        <v>45992.774305555547</v>
      </c>
      <c r="D244" s="7">
        <v>1097</v>
      </c>
      <c r="E244" s="8">
        <v>185.64</v>
      </c>
      <c r="F244" s="5" t="s">
        <v>156</v>
      </c>
      <c r="G244" s="8">
        <v>0.15</v>
      </c>
      <c r="H244" s="9">
        <v>203647.08</v>
      </c>
      <c r="I244" s="9">
        <v>3.0547062</v>
      </c>
    </row>
    <row r="245" spans="1:9" x14ac:dyDescent="0.25">
      <c r="A245" s="5" t="s">
        <v>399</v>
      </c>
      <c r="B245" s="5" t="s">
        <v>55</v>
      </c>
      <c r="C245" s="6">
        <v>45992.777777777781</v>
      </c>
      <c r="D245" s="7">
        <v>811</v>
      </c>
      <c r="E245" s="8">
        <v>185.64</v>
      </c>
      <c r="F245" s="5" t="s">
        <v>156</v>
      </c>
      <c r="G245" s="8">
        <v>0.15</v>
      </c>
      <c r="H245" s="9">
        <v>150554.04</v>
      </c>
      <c r="I245" s="9">
        <v>2.2583106000000002</v>
      </c>
    </row>
    <row r="246" spans="1:9" x14ac:dyDescent="0.25">
      <c r="A246" s="5" t="s">
        <v>400</v>
      </c>
      <c r="B246" s="5" t="s">
        <v>55</v>
      </c>
      <c r="C246" s="6">
        <v>45992.78125</v>
      </c>
      <c r="D246" s="7">
        <v>39</v>
      </c>
      <c r="E246" s="8">
        <v>185.72</v>
      </c>
      <c r="F246" s="5" t="s">
        <v>154</v>
      </c>
      <c r="G246" s="8">
        <v>0.05</v>
      </c>
      <c r="H246" s="9">
        <v>7243.08</v>
      </c>
      <c r="I246" s="9">
        <v>3.6215400000000002E-2</v>
      </c>
    </row>
    <row r="247" spans="1:9" x14ac:dyDescent="0.25">
      <c r="A247" s="5" t="s">
        <v>401</v>
      </c>
      <c r="B247" s="5" t="s">
        <v>55</v>
      </c>
      <c r="C247" s="6">
        <v>45992.784722222219</v>
      </c>
      <c r="D247" s="7">
        <v>1282</v>
      </c>
      <c r="E247" s="8">
        <v>185.67</v>
      </c>
      <c r="F247" s="5" t="s">
        <v>156</v>
      </c>
      <c r="G247" s="8">
        <v>0.15</v>
      </c>
      <c r="H247" s="9">
        <v>238028.94</v>
      </c>
      <c r="I247" s="9">
        <v>3.5704340999999991</v>
      </c>
    </row>
    <row r="248" spans="1:9" x14ac:dyDescent="0.25">
      <c r="A248" s="5" t="s">
        <v>402</v>
      </c>
      <c r="B248" s="5" t="s">
        <v>55</v>
      </c>
      <c r="C248" s="6">
        <v>45992.788194444453</v>
      </c>
      <c r="D248" s="7">
        <v>923</v>
      </c>
      <c r="E248" s="8">
        <v>186</v>
      </c>
      <c r="F248" s="5" t="s">
        <v>156</v>
      </c>
      <c r="G248" s="8">
        <v>0.15</v>
      </c>
      <c r="H248" s="9">
        <v>171678</v>
      </c>
      <c r="I248" s="9">
        <v>2.57517</v>
      </c>
    </row>
    <row r="249" spans="1:9" x14ac:dyDescent="0.25">
      <c r="A249" s="5" t="s">
        <v>403</v>
      </c>
      <c r="B249" s="5" t="s">
        <v>55</v>
      </c>
      <c r="C249" s="6">
        <v>45992.791666666657</v>
      </c>
      <c r="D249" s="7">
        <v>710</v>
      </c>
      <c r="E249" s="8">
        <v>185.91</v>
      </c>
      <c r="F249" s="5" t="s">
        <v>159</v>
      </c>
      <c r="G249" s="8">
        <v>0.1</v>
      </c>
      <c r="H249" s="9">
        <v>131996.1</v>
      </c>
      <c r="I249" s="9">
        <v>1.3199609999999999</v>
      </c>
    </row>
    <row r="250" spans="1:9" x14ac:dyDescent="0.25">
      <c r="A250" s="5" t="s">
        <v>404</v>
      </c>
      <c r="B250" s="5" t="s">
        <v>55</v>
      </c>
      <c r="C250" s="6">
        <v>45992.795138888891</v>
      </c>
      <c r="D250" s="7">
        <v>127</v>
      </c>
      <c r="E250" s="8">
        <v>185.91</v>
      </c>
      <c r="F250" s="5" t="s">
        <v>156</v>
      </c>
      <c r="G250" s="8">
        <v>0.15</v>
      </c>
      <c r="H250" s="9">
        <v>23610.57</v>
      </c>
      <c r="I250" s="9">
        <v>0.35415855000000002</v>
      </c>
    </row>
    <row r="251" spans="1:9" x14ac:dyDescent="0.25">
      <c r="A251" s="5" t="s">
        <v>405</v>
      </c>
      <c r="B251" s="5" t="s">
        <v>55</v>
      </c>
      <c r="C251" s="6">
        <v>45992.798611111109</v>
      </c>
      <c r="D251" s="7">
        <v>739</v>
      </c>
      <c r="E251" s="8">
        <v>185.8</v>
      </c>
      <c r="F251" s="5" t="s">
        <v>154</v>
      </c>
      <c r="G251" s="8">
        <v>0.05</v>
      </c>
      <c r="H251" s="9">
        <v>137306.20000000001</v>
      </c>
      <c r="I251" s="9">
        <v>0.68653100000000011</v>
      </c>
    </row>
    <row r="252" spans="1:9" x14ac:dyDescent="0.25">
      <c r="A252" s="5" t="s">
        <v>406</v>
      </c>
      <c r="B252" s="5" t="s">
        <v>55</v>
      </c>
      <c r="C252" s="6">
        <v>45992.802083333343</v>
      </c>
      <c r="D252" s="7">
        <v>2</v>
      </c>
      <c r="E252" s="8">
        <v>185.72</v>
      </c>
      <c r="F252" s="5" t="s">
        <v>154</v>
      </c>
      <c r="G252" s="8">
        <v>0.05</v>
      </c>
      <c r="H252" s="9">
        <v>371.44</v>
      </c>
      <c r="I252" s="9">
        <v>1.8572E-3</v>
      </c>
    </row>
    <row r="253" spans="1:9" x14ac:dyDescent="0.25">
      <c r="A253" s="5" t="s">
        <v>407</v>
      </c>
      <c r="B253" s="5" t="s">
        <v>55</v>
      </c>
      <c r="C253" s="6">
        <v>45992.805555555547</v>
      </c>
      <c r="D253" s="7">
        <v>138</v>
      </c>
      <c r="E253" s="8">
        <v>185.6</v>
      </c>
      <c r="F253" s="5" t="s">
        <v>154</v>
      </c>
      <c r="G253" s="8">
        <v>0.05</v>
      </c>
      <c r="H253" s="9">
        <v>25612.799999999999</v>
      </c>
      <c r="I253" s="9">
        <v>0.12806400000000001</v>
      </c>
    </row>
    <row r="254" spans="1:9" x14ac:dyDescent="0.25">
      <c r="A254" s="5" t="s">
        <v>408</v>
      </c>
      <c r="B254" s="5" t="s">
        <v>56</v>
      </c>
      <c r="C254" s="6">
        <v>45996.722222222219</v>
      </c>
      <c r="D254" s="7">
        <v>671</v>
      </c>
      <c r="E254" s="8">
        <v>423.63</v>
      </c>
      <c r="F254" s="5" t="s">
        <v>156</v>
      </c>
      <c r="G254" s="8">
        <v>0.15</v>
      </c>
      <c r="H254" s="9">
        <v>284255.73</v>
      </c>
      <c r="I254" s="9">
        <v>4.2638359499999998</v>
      </c>
    </row>
    <row r="255" spans="1:9" x14ac:dyDescent="0.25">
      <c r="A255" s="5" t="s">
        <v>409</v>
      </c>
      <c r="B255" s="5" t="s">
        <v>56</v>
      </c>
      <c r="C255" s="6">
        <v>45996.746527777781</v>
      </c>
      <c r="D255" s="7">
        <v>1164</v>
      </c>
      <c r="E255" s="8">
        <v>422.5</v>
      </c>
      <c r="F255" s="5" t="s">
        <v>159</v>
      </c>
      <c r="G255" s="8">
        <v>0.1</v>
      </c>
      <c r="H255" s="9">
        <v>491790</v>
      </c>
      <c r="I255" s="9">
        <v>4.9179000000000004</v>
      </c>
    </row>
    <row r="256" spans="1:9" x14ac:dyDescent="0.25">
      <c r="A256" s="5" t="s">
        <v>410</v>
      </c>
      <c r="B256" s="5" t="s">
        <v>56</v>
      </c>
      <c r="C256" s="6">
        <v>45996.753472222219</v>
      </c>
      <c r="D256" s="7">
        <v>2147</v>
      </c>
      <c r="E256" s="8">
        <v>422.28</v>
      </c>
      <c r="F256" s="5" t="s">
        <v>159</v>
      </c>
      <c r="G256" s="8">
        <v>0.1</v>
      </c>
      <c r="H256" s="9">
        <v>906635.15999999992</v>
      </c>
      <c r="I256" s="9">
        <v>9.0663516000000008</v>
      </c>
    </row>
    <row r="257" spans="1:9" x14ac:dyDescent="0.25">
      <c r="A257" s="5" t="s">
        <v>411</v>
      </c>
      <c r="B257" s="5" t="s">
        <v>56</v>
      </c>
      <c r="C257" s="6">
        <v>45996.767361111109</v>
      </c>
      <c r="D257" s="7">
        <v>853</v>
      </c>
      <c r="E257" s="8">
        <v>422.19</v>
      </c>
      <c r="F257" s="5" t="s">
        <v>156</v>
      </c>
      <c r="G257" s="8">
        <v>0.15</v>
      </c>
      <c r="H257" s="9">
        <v>360128.07</v>
      </c>
      <c r="I257" s="9">
        <v>5.4019210500000003</v>
      </c>
    </row>
    <row r="258" spans="1:9" x14ac:dyDescent="0.25">
      <c r="A258" s="5" t="s">
        <v>412</v>
      </c>
      <c r="B258" s="5" t="s">
        <v>56</v>
      </c>
      <c r="C258" s="6">
        <v>45996.774305555547</v>
      </c>
      <c r="D258" s="7">
        <v>1906</v>
      </c>
      <c r="E258" s="8">
        <v>422.62</v>
      </c>
      <c r="F258" s="5" t="s">
        <v>156</v>
      </c>
      <c r="G258" s="8">
        <v>0.15</v>
      </c>
      <c r="H258" s="9">
        <v>805513.72</v>
      </c>
      <c r="I258" s="9">
        <v>12.082705799999999</v>
      </c>
    </row>
    <row r="259" spans="1:9" x14ac:dyDescent="0.25">
      <c r="A259" s="5" t="s">
        <v>413</v>
      </c>
      <c r="B259" s="5" t="s">
        <v>56</v>
      </c>
      <c r="C259" s="6">
        <v>45996.777777777781</v>
      </c>
      <c r="D259" s="7">
        <v>545</v>
      </c>
      <c r="E259" s="8">
        <v>422.46</v>
      </c>
      <c r="F259" s="5" t="s">
        <v>156</v>
      </c>
      <c r="G259" s="8">
        <v>0.15</v>
      </c>
      <c r="H259" s="9">
        <v>230240.7</v>
      </c>
      <c r="I259" s="9">
        <v>3.453610499999999</v>
      </c>
    </row>
    <row r="260" spans="1:9" x14ac:dyDescent="0.25">
      <c r="A260" s="5" t="s">
        <v>414</v>
      </c>
      <c r="B260" s="5" t="s">
        <v>56</v>
      </c>
      <c r="C260" s="6">
        <v>45996.784722222219</v>
      </c>
      <c r="D260" s="7">
        <v>589</v>
      </c>
      <c r="E260" s="8">
        <v>422.56</v>
      </c>
      <c r="F260" s="5" t="s">
        <v>159</v>
      </c>
      <c r="G260" s="8">
        <v>0.1</v>
      </c>
      <c r="H260" s="9">
        <v>248887.84</v>
      </c>
      <c r="I260" s="9">
        <v>2.4888783999999999</v>
      </c>
    </row>
    <row r="261" spans="1:9" x14ac:dyDescent="0.25">
      <c r="A261" s="5" t="s">
        <v>415</v>
      </c>
      <c r="B261" s="5" t="s">
        <v>56</v>
      </c>
      <c r="C261" s="6">
        <v>45996.798611111109</v>
      </c>
      <c r="D261" s="7">
        <v>388</v>
      </c>
      <c r="E261" s="8">
        <v>420.92</v>
      </c>
      <c r="F261" s="5" t="s">
        <v>156</v>
      </c>
      <c r="G261" s="8">
        <v>0.15</v>
      </c>
      <c r="H261" s="9">
        <v>163316.96</v>
      </c>
      <c r="I261" s="9">
        <v>2.4497544000000002</v>
      </c>
    </row>
    <row r="262" spans="1:9" x14ac:dyDescent="0.25">
      <c r="A262" s="5" t="s">
        <v>416</v>
      </c>
      <c r="B262" s="5" t="s">
        <v>56</v>
      </c>
      <c r="C262" s="6">
        <v>45996.809027777781</v>
      </c>
      <c r="D262" s="7">
        <v>1169</v>
      </c>
      <c r="E262" s="8">
        <v>421.58</v>
      </c>
      <c r="F262" s="5" t="s">
        <v>154</v>
      </c>
      <c r="G262" s="8">
        <v>0.05</v>
      </c>
      <c r="H262" s="9">
        <v>492827.02</v>
      </c>
      <c r="I262" s="9">
        <v>2.4641351</v>
      </c>
    </row>
    <row r="263" spans="1:9" x14ac:dyDescent="0.25">
      <c r="A263" s="5" t="s">
        <v>417</v>
      </c>
      <c r="B263" s="5" t="s">
        <v>56</v>
      </c>
      <c r="C263" s="6">
        <v>45996.8125</v>
      </c>
      <c r="D263" s="7">
        <v>1842</v>
      </c>
      <c r="E263" s="8">
        <v>421.35</v>
      </c>
      <c r="F263" s="5" t="s">
        <v>159</v>
      </c>
      <c r="G263" s="8">
        <v>0.1</v>
      </c>
      <c r="H263" s="9">
        <v>776126.70000000007</v>
      </c>
      <c r="I263" s="9">
        <v>7.761267000000001</v>
      </c>
    </row>
    <row r="264" spans="1:9" x14ac:dyDescent="0.25">
      <c r="A264" s="5" t="s">
        <v>418</v>
      </c>
      <c r="B264" s="5" t="s">
        <v>56</v>
      </c>
      <c r="C264" s="6">
        <v>45996.826388888891</v>
      </c>
      <c r="D264" s="7">
        <v>538</v>
      </c>
      <c r="E264" s="8">
        <v>421.92</v>
      </c>
      <c r="F264" s="5" t="s">
        <v>156</v>
      </c>
      <c r="G264" s="8">
        <v>0.15</v>
      </c>
      <c r="H264" s="9">
        <v>226992.96</v>
      </c>
      <c r="I264" s="9">
        <v>3.4048943999999999</v>
      </c>
    </row>
    <row r="265" spans="1:9" x14ac:dyDescent="0.25">
      <c r="A265" s="5" t="s">
        <v>419</v>
      </c>
      <c r="B265" s="5" t="s">
        <v>57</v>
      </c>
      <c r="C265" s="6">
        <v>45993.788194444453</v>
      </c>
      <c r="D265" s="7">
        <v>1038</v>
      </c>
      <c r="E265" s="8">
        <v>424.16</v>
      </c>
      <c r="F265" s="5" t="s">
        <v>156</v>
      </c>
      <c r="G265" s="8">
        <v>0.15</v>
      </c>
      <c r="H265" s="9">
        <v>440278.08</v>
      </c>
      <c r="I265" s="9">
        <v>6.6041711999999997</v>
      </c>
    </row>
    <row r="266" spans="1:9" x14ac:dyDescent="0.25">
      <c r="A266" s="5" t="s">
        <v>420</v>
      </c>
      <c r="B266" s="5" t="s">
        <v>57</v>
      </c>
      <c r="C266" s="6">
        <v>45993.791666666657</v>
      </c>
      <c r="D266" s="7">
        <v>5422</v>
      </c>
      <c r="E266" s="8">
        <v>423.89</v>
      </c>
      <c r="F266" s="5" t="s">
        <v>159</v>
      </c>
      <c r="G266" s="8">
        <v>0.1</v>
      </c>
      <c r="H266" s="9">
        <v>2298331.58</v>
      </c>
      <c r="I266" s="9">
        <v>22.9833158</v>
      </c>
    </row>
    <row r="267" spans="1:9" x14ac:dyDescent="0.25">
      <c r="A267" s="5" t="s">
        <v>421</v>
      </c>
      <c r="B267" s="5" t="s">
        <v>57</v>
      </c>
      <c r="C267" s="6">
        <v>45993.829861111109</v>
      </c>
      <c r="D267" s="7">
        <v>353</v>
      </c>
      <c r="E267" s="8">
        <v>423.37</v>
      </c>
      <c r="F267" s="5" t="s">
        <v>159</v>
      </c>
      <c r="G267" s="8">
        <v>0.1</v>
      </c>
      <c r="H267" s="9">
        <v>149449.60999999999</v>
      </c>
      <c r="I267" s="9">
        <v>1.4944961000000001</v>
      </c>
    </row>
    <row r="268" spans="1:9" x14ac:dyDescent="0.25">
      <c r="A268" s="5" t="s">
        <v>422</v>
      </c>
      <c r="B268" s="5" t="s">
        <v>57</v>
      </c>
      <c r="C268" s="6">
        <v>45993.84375</v>
      </c>
      <c r="D268" s="7">
        <v>380</v>
      </c>
      <c r="E268" s="8">
        <v>422.49</v>
      </c>
      <c r="F268" s="5" t="s">
        <v>154</v>
      </c>
      <c r="G268" s="8">
        <v>0.05</v>
      </c>
      <c r="H268" s="9">
        <v>160546.20000000001</v>
      </c>
      <c r="I268" s="9">
        <v>0.80273100000000008</v>
      </c>
    </row>
    <row r="269" spans="1:9" x14ac:dyDescent="0.25">
      <c r="A269" s="5" t="s">
        <v>423</v>
      </c>
      <c r="B269" s="5" t="s">
        <v>57</v>
      </c>
      <c r="C269" s="6">
        <v>45993.847222222219</v>
      </c>
      <c r="D269" s="7">
        <v>501</v>
      </c>
      <c r="E269" s="8">
        <v>422.96</v>
      </c>
      <c r="F269" s="5" t="s">
        <v>156</v>
      </c>
      <c r="G269" s="8">
        <v>0.15</v>
      </c>
      <c r="H269" s="9">
        <v>211902.96</v>
      </c>
      <c r="I269" s="9">
        <v>3.1785443999999989</v>
      </c>
    </row>
    <row r="270" spans="1:9" x14ac:dyDescent="0.25">
      <c r="A270" s="5" t="s">
        <v>424</v>
      </c>
      <c r="B270" s="5" t="s">
        <v>58</v>
      </c>
      <c r="C270" s="6">
        <v>45994.763888888891</v>
      </c>
      <c r="D270" s="7">
        <v>1160</v>
      </c>
      <c r="E270" s="8">
        <v>174.29</v>
      </c>
      <c r="F270" s="5" t="s">
        <v>159</v>
      </c>
      <c r="G270" s="8">
        <v>0.1</v>
      </c>
      <c r="H270" s="9">
        <v>202176.4</v>
      </c>
      <c r="I270" s="9">
        <v>2.0217640000000001</v>
      </c>
    </row>
    <row r="271" spans="1:9" x14ac:dyDescent="0.25">
      <c r="A271" s="5" t="s">
        <v>425</v>
      </c>
      <c r="B271" s="5" t="s">
        <v>58</v>
      </c>
      <c r="C271" s="6">
        <v>45994.767361111109</v>
      </c>
      <c r="D271" s="7">
        <v>2546</v>
      </c>
      <c r="E271" s="8">
        <v>174.05</v>
      </c>
      <c r="F271" s="5" t="s">
        <v>159</v>
      </c>
      <c r="G271" s="8">
        <v>0.1</v>
      </c>
      <c r="H271" s="9">
        <v>443131.3</v>
      </c>
      <c r="I271" s="9">
        <v>4.4313130000000003</v>
      </c>
    </row>
    <row r="272" spans="1:9" x14ac:dyDescent="0.25">
      <c r="A272" s="5" t="s">
        <v>426</v>
      </c>
      <c r="B272" s="5" t="s">
        <v>58</v>
      </c>
      <c r="C272" s="6">
        <v>45994.770833333343</v>
      </c>
      <c r="D272" s="7">
        <v>156</v>
      </c>
      <c r="E272" s="8">
        <v>173.95</v>
      </c>
      <c r="F272" s="5" t="s">
        <v>156</v>
      </c>
      <c r="G272" s="8">
        <v>0.15</v>
      </c>
      <c r="H272" s="9">
        <v>27136.2</v>
      </c>
      <c r="I272" s="9">
        <v>0.40704299999999988</v>
      </c>
    </row>
    <row r="273" spans="1:9" x14ac:dyDescent="0.25">
      <c r="A273" s="5" t="s">
        <v>427</v>
      </c>
      <c r="B273" s="5" t="s">
        <v>58</v>
      </c>
      <c r="C273" s="6">
        <v>45994.774305555547</v>
      </c>
      <c r="D273" s="7">
        <v>3549</v>
      </c>
      <c r="E273" s="8">
        <v>173.93</v>
      </c>
      <c r="F273" s="5" t="s">
        <v>159</v>
      </c>
      <c r="G273" s="8">
        <v>0.1</v>
      </c>
      <c r="H273" s="9">
        <v>617277.57000000007</v>
      </c>
      <c r="I273" s="9">
        <v>6.1727757000000016</v>
      </c>
    </row>
    <row r="274" spans="1:9" x14ac:dyDescent="0.25">
      <c r="A274" s="5" t="s">
        <v>428</v>
      </c>
      <c r="B274" s="5" t="s">
        <v>58</v>
      </c>
      <c r="C274" s="6">
        <v>45994.777777777781</v>
      </c>
      <c r="D274" s="7">
        <v>1093</v>
      </c>
      <c r="E274" s="8">
        <v>174.29</v>
      </c>
      <c r="F274" s="5" t="s">
        <v>156</v>
      </c>
      <c r="G274" s="8">
        <v>0.15</v>
      </c>
      <c r="H274" s="9">
        <v>190498.97</v>
      </c>
      <c r="I274" s="9">
        <v>2.8574845500000001</v>
      </c>
    </row>
    <row r="275" spans="1:9" x14ac:dyDescent="0.25">
      <c r="A275" s="5" t="s">
        <v>429</v>
      </c>
      <c r="B275" s="5" t="s">
        <v>58</v>
      </c>
      <c r="C275" s="6">
        <v>45994.78125</v>
      </c>
      <c r="D275" s="7">
        <v>1664</v>
      </c>
      <c r="E275" s="8">
        <v>174.3</v>
      </c>
      <c r="F275" s="5" t="s">
        <v>156</v>
      </c>
      <c r="G275" s="8">
        <v>0.15</v>
      </c>
      <c r="H275" s="9">
        <v>290035.20000000001</v>
      </c>
      <c r="I275" s="9">
        <v>4.3505279999999997</v>
      </c>
    </row>
    <row r="276" spans="1:9" x14ac:dyDescent="0.25">
      <c r="A276" s="5" t="s">
        <v>430</v>
      </c>
      <c r="B276" s="5" t="s">
        <v>58</v>
      </c>
      <c r="C276" s="6">
        <v>45994.784722222219</v>
      </c>
      <c r="D276" s="7">
        <v>4819</v>
      </c>
      <c r="E276" s="8">
        <v>174.2</v>
      </c>
      <c r="F276" s="5" t="s">
        <v>156</v>
      </c>
      <c r="G276" s="8">
        <v>0.15</v>
      </c>
      <c r="H276" s="9">
        <v>839469.79999999993</v>
      </c>
      <c r="I276" s="9">
        <v>12.592047000000001</v>
      </c>
    </row>
    <row r="277" spans="1:9" x14ac:dyDescent="0.25">
      <c r="A277" s="5" t="s">
        <v>431</v>
      </c>
      <c r="B277" s="5" t="s">
        <v>59</v>
      </c>
      <c r="C277" s="6">
        <v>45996.701388888891</v>
      </c>
      <c r="D277" s="7">
        <v>2234</v>
      </c>
      <c r="E277" s="8">
        <v>422.65</v>
      </c>
      <c r="F277" s="5" t="s">
        <v>156</v>
      </c>
      <c r="G277" s="8">
        <v>0.15</v>
      </c>
      <c r="H277" s="9">
        <v>944200.1</v>
      </c>
      <c r="I277" s="9">
        <v>14.1630015</v>
      </c>
    </row>
    <row r="278" spans="1:9" x14ac:dyDescent="0.25">
      <c r="A278" s="5" t="s">
        <v>432</v>
      </c>
      <c r="B278" s="5" t="s">
        <v>59</v>
      </c>
      <c r="C278" s="6">
        <v>45996.711805555547</v>
      </c>
      <c r="D278" s="7">
        <v>9231</v>
      </c>
      <c r="E278" s="8">
        <v>422.74</v>
      </c>
      <c r="F278" s="5" t="s">
        <v>156</v>
      </c>
      <c r="G278" s="8">
        <v>0.15</v>
      </c>
      <c r="H278" s="9">
        <v>3902312.94</v>
      </c>
      <c r="I278" s="9">
        <v>58.534694100000003</v>
      </c>
    </row>
    <row r="279" spans="1:9" x14ac:dyDescent="0.25">
      <c r="A279" s="5" t="s">
        <v>433</v>
      </c>
      <c r="B279" s="5" t="s">
        <v>59</v>
      </c>
      <c r="C279" s="6">
        <v>45996.715277777781</v>
      </c>
      <c r="D279" s="7">
        <v>4147</v>
      </c>
      <c r="E279" s="8">
        <v>423.27</v>
      </c>
      <c r="F279" s="5" t="s">
        <v>159</v>
      </c>
      <c r="G279" s="8">
        <v>0.1</v>
      </c>
      <c r="H279" s="9">
        <v>1755300.69</v>
      </c>
      <c r="I279" s="9">
        <v>17.5530069</v>
      </c>
    </row>
    <row r="280" spans="1:9" x14ac:dyDescent="0.25">
      <c r="A280" s="5" t="s">
        <v>434</v>
      </c>
      <c r="B280" s="5" t="s">
        <v>59</v>
      </c>
      <c r="C280" s="6">
        <v>45996.75</v>
      </c>
      <c r="D280" s="7">
        <v>6473</v>
      </c>
      <c r="E280" s="8">
        <v>422.12</v>
      </c>
      <c r="F280" s="5" t="s">
        <v>156</v>
      </c>
      <c r="G280" s="8">
        <v>0.15</v>
      </c>
      <c r="H280" s="9">
        <v>2732382.76</v>
      </c>
      <c r="I280" s="9">
        <v>40.985741400000002</v>
      </c>
    </row>
    <row r="281" spans="1:9" x14ac:dyDescent="0.25">
      <c r="A281" s="5" t="s">
        <v>435</v>
      </c>
      <c r="B281" s="5" t="s">
        <v>60</v>
      </c>
      <c r="C281" s="6">
        <v>45992.652777777781</v>
      </c>
      <c r="D281" s="7">
        <v>65</v>
      </c>
      <c r="E281" s="8">
        <v>186.26</v>
      </c>
      <c r="F281" s="5" t="s">
        <v>159</v>
      </c>
      <c r="G281" s="8">
        <v>0.1</v>
      </c>
      <c r="H281" s="9">
        <v>12106.9</v>
      </c>
      <c r="I281" s="9">
        <v>0.121069</v>
      </c>
    </row>
    <row r="282" spans="1:9" x14ac:dyDescent="0.25">
      <c r="A282" s="5" t="s">
        <v>436</v>
      </c>
      <c r="B282" s="5" t="s">
        <v>60</v>
      </c>
      <c r="C282" s="6">
        <v>45992.65625</v>
      </c>
      <c r="D282" s="7">
        <v>1678</v>
      </c>
      <c r="E282" s="8">
        <v>186.27</v>
      </c>
      <c r="F282" s="5" t="s">
        <v>156</v>
      </c>
      <c r="G282" s="8">
        <v>0.15</v>
      </c>
      <c r="H282" s="9">
        <v>312561.06</v>
      </c>
      <c r="I282" s="9">
        <v>4.6884158999999999</v>
      </c>
    </row>
    <row r="283" spans="1:9" x14ac:dyDescent="0.25">
      <c r="A283" s="5" t="s">
        <v>437</v>
      </c>
      <c r="B283" s="5" t="s">
        <v>60</v>
      </c>
      <c r="C283" s="6">
        <v>45992.659722222219</v>
      </c>
      <c r="D283" s="7">
        <v>276</v>
      </c>
      <c r="E283" s="8">
        <v>186.23</v>
      </c>
      <c r="F283" s="5" t="s">
        <v>159</v>
      </c>
      <c r="G283" s="8">
        <v>0.1</v>
      </c>
      <c r="H283" s="9">
        <v>51399.48</v>
      </c>
      <c r="I283" s="9">
        <v>0.51399480000000008</v>
      </c>
    </row>
    <row r="284" spans="1:9" x14ac:dyDescent="0.25">
      <c r="A284" s="5" t="s">
        <v>438</v>
      </c>
      <c r="B284" s="5" t="s">
        <v>60</v>
      </c>
      <c r="C284" s="6">
        <v>45992.666666666657</v>
      </c>
      <c r="D284" s="7">
        <v>484</v>
      </c>
      <c r="E284" s="8">
        <v>186.29</v>
      </c>
      <c r="F284" s="5" t="s">
        <v>156</v>
      </c>
      <c r="G284" s="8">
        <v>0.15</v>
      </c>
      <c r="H284" s="9">
        <v>90164.36</v>
      </c>
      <c r="I284" s="9">
        <v>1.3524654</v>
      </c>
    </row>
    <row r="285" spans="1:9" x14ac:dyDescent="0.25">
      <c r="A285" s="5" t="s">
        <v>439</v>
      </c>
      <c r="B285" s="5" t="s">
        <v>60</v>
      </c>
      <c r="C285" s="6">
        <v>45992.670138888891</v>
      </c>
      <c r="D285" s="7">
        <v>655</v>
      </c>
      <c r="E285" s="8">
        <v>186.4</v>
      </c>
      <c r="F285" s="5" t="s">
        <v>159</v>
      </c>
      <c r="G285" s="8">
        <v>0.1</v>
      </c>
      <c r="H285" s="9">
        <v>122092</v>
      </c>
      <c r="I285" s="9">
        <v>1.22092</v>
      </c>
    </row>
    <row r="286" spans="1:9" x14ac:dyDescent="0.25">
      <c r="A286" s="5" t="s">
        <v>440</v>
      </c>
      <c r="B286" s="5" t="s">
        <v>60</v>
      </c>
      <c r="C286" s="6">
        <v>45992.673611111109</v>
      </c>
      <c r="D286" s="7">
        <v>432</v>
      </c>
      <c r="E286" s="8">
        <v>186.33</v>
      </c>
      <c r="F286" s="5" t="s">
        <v>154</v>
      </c>
      <c r="G286" s="8">
        <v>0.05</v>
      </c>
      <c r="H286" s="9">
        <v>80494.560000000012</v>
      </c>
      <c r="I286" s="9">
        <v>0.40247280000000007</v>
      </c>
    </row>
    <row r="287" spans="1:9" x14ac:dyDescent="0.25">
      <c r="A287" s="5" t="s">
        <v>441</v>
      </c>
      <c r="B287" s="5" t="s">
        <v>60</v>
      </c>
      <c r="C287" s="6">
        <v>45992.677083333343</v>
      </c>
      <c r="D287" s="7">
        <v>786</v>
      </c>
      <c r="E287" s="8">
        <v>186.23</v>
      </c>
      <c r="F287" s="5" t="s">
        <v>154</v>
      </c>
      <c r="G287" s="8">
        <v>0.05</v>
      </c>
      <c r="H287" s="9">
        <v>146376.78</v>
      </c>
      <c r="I287" s="9">
        <v>0.73188390000000003</v>
      </c>
    </row>
    <row r="288" spans="1:9" x14ac:dyDescent="0.25">
      <c r="A288" s="5" t="s">
        <v>442</v>
      </c>
      <c r="B288" s="5" t="s">
        <v>60</v>
      </c>
      <c r="C288" s="6">
        <v>45992.680555555547</v>
      </c>
      <c r="D288" s="7">
        <v>15</v>
      </c>
      <c r="E288" s="8">
        <v>186.16</v>
      </c>
      <c r="F288" s="5" t="s">
        <v>159</v>
      </c>
      <c r="G288" s="8">
        <v>0.1</v>
      </c>
      <c r="H288" s="9">
        <v>2792.4</v>
      </c>
      <c r="I288" s="9">
        <v>2.7924000000000001E-2</v>
      </c>
    </row>
    <row r="289" spans="1:9" x14ac:dyDescent="0.25">
      <c r="A289" s="5" t="s">
        <v>443</v>
      </c>
      <c r="B289" s="5" t="s">
        <v>61</v>
      </c>
      <c r="C289" s="6">
        <v>45996.739583333343</v>
      </c>
      <c r="D289" s="7">
        <v>116</v>
      </c>
      <c r="E289" s="8">
        <v>174.02</v>
      </c>
      <c r="F289" s="5" t="s">
        <v>156</v>
      </c>
      <c r="G289" s="8">
        <v>0.15</v>
      </c>
      <c r="H289" s="9">
        <v>20186.32</v>
      </c>
      <c r="I289" s="9">
        <v>0.30279479999999998</v>
      </c>
    </row>
    <row r="290" spans="1:9" x14ac:dyDescent="0.25">
      <c r="A290" s="5" t="s">
        <v>444</v>
      </c>
      <c r="B290" s="5" t="s">
        <v>61</v>
      </c>
      <c r="C290" s="6">
        <v>45996.743055555547</v>
      </c>
      <c r="D290" s="7">
        <v>237</v>
      </c>
      <c r="E290" s="8">
        <v>174.19</v>
      </c>
      <c r="F290" s="5" t="s">
        <v>159</v>
      </c>
      <c r="G290" s="8">
        <v>0.1</v>
      </c>
      <c r="H290" s="9">
        <v>41283.03</v>
      </c>
      <c r="I290" s="9">
        <v>0.41283029999999998</v>
      </c>
    </row>
    <row r="291" spans="1:9" x14ac:dyDescent="0.25">
      <c r="A291" s="5" t="s">
        <v>445</v>
      </c>
      <c r="B291" s="5" t="s">
        <v>61</v>
      </c>
      <c r="C291" s="6">
        <v>45996.746527777781</v>
      </c>
      <c r="D291" s="7">
        <v>4863</v>
      </c>
      <c r="E291" s="8">
        <v>174.29</v>
      </c>
      <c r="F291" s="5" t="s">
        <v>159</v>
      </c>
      <c r="G291" s="8">
        <v>0.1</v>
      </c>
      <c r="H291" s="9">
        <v>847572.27</v>
      </c>
      <c r="I291" s="9">
        <v>8.4757227000000022</v>
      </c>
    </row>
    <row r="292" spans="1:9" x14ac:dyDescent="0.25">
      <c r="A292" s="5" t="s">
        <v>446</v>
      </c>
      <c r="B292" s="5" t="s">
        <v>61</v>
      </c>
      <c r="C292" s="6">
        <v>45996.75</v>
      </c>
      <c r="D292" s="7">
        <v>2052</v>
      </c>
      <c r="E292" s="8">
        <v>174.37</v>
      </c>
      <c r="F292" s="5" t="s">
        <v>154</v>
      </c>
      <c r="G292" s="8">
        <v>0.05</v>
      </c>
      <c r="H292" s="9">
        <v>357807.24</v>
      </c>
      <c r="I292" s="9">
        <v>1.7890362</v>
      </c>
    </row>
    <row r="293" spans="1:9" x14ac:dyDescent="0.25">
      <c r="A293" s="5" t="s">
        <v>447</v>
      </c>
      <c r="B293" s="5" t="s">
        <v>61</v>
      </c>
      <c r="C293" s="6">
        <v>45996.753472222219</v>
      </c>
      <c r="D293" s="7">
        <v>441</v>
      </c>
      <c r="E293" s="8">
        <v>174.58</v>
      </c>
      <c r="F293" s="5" t="s">
        <v>159</v>
      </c>
      <c r="G293" s="8">
        <v>0.1</v>
      </c>
      <c r="H293" s="9">
        <v>76989.78</v>
      </c>
      <c r="I293" s="9">
        <v>0.76989779999999997</v>
      </c>
    </row>
    <row r="294" spans="1:9" x14ac:dyDescent="0.25">
      <c r="A294" s="5" t="s">
        <v>448</v>
      </c>
      <c r="B294" s="5" t="s">
        <v>61</v>
      </c>
      <c r="C294" s="6">
        <v>45996.756944444453</v>
      </c>
      <c r="D294" s="7">
        <v>263</v>
      </c>
      <c r="E294" s="8">
        <v>174.5</v>
      </c>
      <c r="F294" s="5" t="s">
        <v>154</v>
      </c>
      <c r="G294" s="8">
        <v>0.05</v>
      </c>
      <c r="H294" s="9">
        <v>45893.5</v>
      </c>
      <c r="I294" s="9">
        <v>0.22946749999999999</v>
      </c>
    </row>
    <row r="295" spans="1:9" x14ac:dyDescent="0.25">
      <c r="A295" s="5" t="s">
        <v>449</v>
      </c>
      <c r="B295" s="5" t="s">
        <v>61</v>
      </c>
      <c r="C295" s="6">
        <v>45996.760416666657</v>
      </c>
      <c r="D295" s="7">
        <v>5331</v>
      </c>
      <c r="E295" s="8">
        <v>174.41</v>
      </c>
      <c r="F295" s="5" t="s">
        <v>156</v>
      </c>
      <c r="G295" s="8">
        <v>0.15</v>
      </c>
      <c r="H295" s="9">
        <v>929779.71</v>
      </c>
      <c r="I295" s="9">
        <v>13.946695650000001</v>
      </c>
    </row>
    <row r="296" spans="1:9" x14ac:dyDescent="0.25">
      <c r="A296" s="5" t="s">
        <v>450</v>
      </c>
      <c r="B296" s="5" t="s">
        <v>62</v>
      </c>
      <c r="C296" s="6">
        <v>45992.694444444453</v>
      </c>
      <c r="D296" s="7">
        <v>97</v>
      </c>
      <c r="E296" s="8">
        <v>194.55</v>
      </c>
      <c r="F296" s="5" t="s">
        <v>159</v>
      </c>
      <c r="G296" s="8">
        <v>0.1</v>
      </c>
      <c r="H296" s="9">
        <v>18871.349999999999</v>
      </c>
      <c r="I296" s="9">
        <v>0.18871350000000001</v>
      </c>
    </row>
    <row r="297" spans="1:9" x14ac:dyDescent="0.25">
      <c r="A297" s="5" t="s">
        <v>451</v>
      </c>
      <c r="B297" s="5" t="s">
        <v>62</v>
      </c>
      <c r="C297" s="6">
        <v>45992.697916666657</v>
      </c>
      <c r="D297" s="7">
        <v>2018</v>
      </c>
      <c r="E297" s="8">
        <v>194.14</v>
      </c>
      <c r="F297" s="5" t="s">
        <v>156</v>
      </c>
      <c r="G297" s="8">
        <v>0.15</v>
      </c>
      <c r="H297" s="9">
        <v>391774.52</v>
      </c>
      <c r="I297" s="9">
        <v>5.8766177999999991</v>
      </c>
    </row>
    <row r="298" spans="1:9" x14ac:dyDescent="0.25">
      <c r="A298" s="5" t="s">
        <v>452</v>
      </c>
      <c r="B298" s="5" t="s">
        <v>62</v>
      </c>
      <c r="C298" s="6">
        <v>45992.704861111109</v>
      </c>
      <c r="D298" s="7">
        <v>2684</v>
      </c>
      <c r="E298" s="8">
        <v>194.06</v>
      </c>
      <c r="F298" s="5" t="s">
        <v>156</v>
      </c>
      <c r="G298" s="8">
        <v>0.15</v>
      </c>
      <c r="H298" s="9">
        <v>520857.04</v>
      </c>
      <c r="I298" s="9">
        <v>7.8128555999999998</v>
      </c>
    </row>
    <row r="299" spans="1:9" x14ac:dyDescent="0.25">
      <c r="A299" s="5" t="s">
        <v>453</v>
      </c>
      <c r="B299" s="5" t="s">
        <v>62</v>
      </c>
      <c r="C299" s="6">
        <v>45992.708333333343</v>
      </c>
      <c r="D299" s="7">
        <v>314</v>
      </c>
      <c r="E299" s="8">
        <v>194.01</v>
      </c>
      <c r="F299" s="5" t="s">
        <v>156</v>
      </c>
      <c r="G299" s="8">
        <v>0.15</v>
      </c>
      <c r="H299" s="9">
        <v>60919.14</v>
      </c>
      <c r="I299" s="9">
        <v>0.91378709999999996</v>
      </c>
    </row>
    <row r="300" spans="1:9" x14ac:dyDescent="0.25">
      <c r="A300" s="5" t="s">
        <v>454</v>
      </c>
      <c r="B300" s="5" t="s">
        <v>62</v>
      </c>
      <c r="C300" s="6">
        <v>45992.711805555547</v>
      </c>
      <c r="D300" s="7">
        <v>170</v>
      </c>
      <c r="E300" s="8">
        <v>194.36</v>
      </c>
      <c r="F300" s="5" t="s">
        <v>154</v>
      </c>
      <c r="G300" s="8">
        <v>0.05</v>
      </c>
      <c r="H300" s="9">
        <v>33041.199999999997</v>
      </c>
      <c r="I300" s="9">
        <v>0.16520599999999999</v>
      </c>
    </row>
    <row r="301" spans="1:9" x14ac:dyDescent="0.25">
      <c r="A301" s="5" t="s">
        <v>455</v>
      </c>
      <c r="B301" s="5" t="s">
        <v>62</v>
      </c>
      <c r="C301" s="6">
        <v>45992.71875</v>
      </c>
      <c r="D301" s="7">
        <v>677</v>
      </c>
      <c r="E301" s="8">
        <v>194.33</v>
      </c>
      <c r="F301" s="5" t="s">
        <v>156</v>
      </c>
      <c r="G301" s="8">
        <v>0.15</v>
      </c>
      <c r="H301" s="9">
        <v>131561.41</v>
      </c>
      <c r="I301" s="9">
        <v>1.9734211500000001</v>
      </c>
    </row>
    <row r="302" spans="1:9" x14ac:dyDescent="0.25">
      <c r="A302" s="5" t="s">
        <v>456</v>
      </c>
      <c r="B302" s="5" t="s">
        <v>62</v>
      </c>
      <c r="C302" s="6">
        <v>45992.739583333343</v>
      </c>
      <c r="D302" s="7">
        <v>302</v>
      </c>
      <c r="E302" s="8">
        <v>194.23</v>
      </c>
      <c r="F302" s="5" t="s">
        <v>154</v>
      </c>
      <c r="G302" s="8">
        <v>0.05</v>
      </c>
      <c r="H302" s="9">
        <v>58657.46</v>
      </c>
      <c r="I302" s="9">
        <v>0.29328729999999997</v>
      </c>
    </row>
    <row r="303" spans="1:9" x14ac:dyDescent="0.25">
      <c r="A303" s="5" t="s">
        <v>457</v>
      </c>
      <c r="B303" s="5" t="s">
        <v>62</v>
      </c>
      <c r="C303" s="6">
        <v>45992.746527777781</v>
      </c>
      <c r="D303" s="7">
        <v>859</v>
      </c>
      <c r="E303" s="8">
        <v>193.97</v>
      </c>
      <c r="F303" s="5" t="s">
        <v>156</v>
      </c>
      <c r="G303" s="8">
        <v>0.15</v>
      </c>
      <c r="H303" s="9">
        <v>166620.23000000001</v>
      </c>
      <c r="I303" s="9">
        <v>2.4993034500000002</v>
      </c>
    </row>
    <row r="304" spans="1:9" x14ac:dyDescent="0.25">
      <c r="A304" s="5" t="s">
        <v>458</v>
      </c>
      <c r="B304" s="5" t="s">
        <v>62</v>
      </c>
      <c r="C304" s="6">
        <v>45992.763888888891</v>
      </c>
      <c r="D304" s="7">
        <v>1315</v>
      </c>
      <c r="E304" s="8">
        <v>193.76</v>
      </c>
      <c r="F304" s="5" t="s">
        <v>156</v>
      </c>
      <c r="G304" s="8">
        <v>0.15</v>
      </c>
      <c r="H304" s="9">
        <v>254794.4</v>
      </c>
      <c r="I304" s="9">
        <v>3.821915999999999</v>
      </c>
    </row>
    <row r="305" spans="1:9" x14ac:dyDescent="0.25">
      <c r="A305" s="5" t="s">
        <v>459</v>
      </c>
      <c r="B305" s="5" t="s">
        <v>62</v>
      </c>
      <c r="C305" s="6">
        <v>45992.770833333343</v>
      </c>
      <c r="D305" s="7">
        <v>3972</v>
      </c>
      <c r="E305" s="8">
        <v>193.86</v>
      </c>
      <c r="F305" s="5" t="s">
        <v>156</v>
      </c>
      <c r="G305" s="8">
        <v>0.15</v>
      </c>
      <c r="H305" s="9">
        <v>770011.92</v>
      </c>
      <c r="I305" s="9">
        <v>11.550178799999999</v>
      </c>
    </row>
    <row r="306" spans="1:9" x14ac:dyDescent="0.25">
      <c r="A306" s="5" t="s">
        <v>460</v>
      </c>
      <c r="B306" s="5" t="s">
        <v>62</v>
      </c>
      <c r="C306" s="6">
        <v>45992.777777777781</v>
      </c>
      <c r="D306" s="7">
        <v>1363</v>
      </c>
      <c r="E306" s="8">
        <v>193.72</v>
      </c>
      <c r="F306" s="5" t="s">
        <v>154</v>
      </c>
      <c r="G306" s="8">
        <v>0.05</v>
      </c>
      <c r="H306" s="9">
        <v>264040.36</v>
      </c>
      <c r="I306" s="9">
        <v>1.3202018</v>
      </c>
    </row>
    <row r="307" spans="1:9" x14ac:dyDescent="0.25">
      <c r="A307" s="5" t="s">
        <v>461</v>
      </c>
      <c r="B307" s="5" t="s">
        <v>62</v>
      </c>
      <c r="C307" s="6">
        <v>45992.784722222219</v>
      </c>
      <c r="D307" s="7">
        <v>1005</v>
      </c>
      <c r="E307" s="8">
        <v>194</v>
      </c>
      <c r="F307" s="5" t="s">
        <v>156</v>
      </c>
      <c r="G307" s="8">
        <v>0.15</v>
      </c>
      <c r="H307" s="9">
        <v>194970</v>
      </c>
      <c r="I307" s="9">
        <v>2.92455</v>
      </c>
    </row>
    <row r="308" spans="1:9" x14ac:dyDescent="0.25">
      <c r="A308" s="5" t="s">
        <v>462</v>
      </c>
      <c r="B308" s="5" t="s">
        <v>63</v>
      </c>
      <c r="C308" s="6">
        <v>45994.635416666657</v>
      </c>
      <c r="D308" s="7">
        <v>1629</v>
      </c>
      <c r="E308" s="8">
        <v>173.93</v>
      </c>
      <c r="F308" s="5" t="s">
        <v>156</v>
      </c>
      <c r="G308" s="8">
        <v>0.15</v>
      </c>
      <c r="H308" s="9">
        <v>283331.96999999997</v>
      </c>
      <c r="I308" s="9">
        <v>4.2499795499999999</v>
      </c>
    </row>
    <row r="309" spans="1:9" x14ac:dyDescent="0.25">
      <c r="A309" s="5" t="s">
        <v>463</v>
      </c>
      <c r="B309" s="5" t="s">
        <v>63</v>
      </c>
      <c r="C309" s="6">
        <v>45994.645833333343</v>
      </c>
      <c r="D309" s="7">
        <v>6776</v>
      </c>
      <c r="E309" s="8">
        <v>173.56</v>
      </c>
      <c r="F309" s="5" t="s">
        <v>156</v>
      </c>
      <c r="G309" s="8">
        <v>0.15</v>
      </c>
      <c r="H309" s="9">
        <v>1176042.56</v>
      </c>
      <c r="I309" s="9">
        <v>17.6406384</v>
      </c>
    </row>
    <row r="310" spans="1:9" x14ac:dyDescent="0.25">
      <c r="A310" s="5" t="s">
        <v>464</v>
      </c>
      <c r="B310" s="5" t="s">
        <v>63</v>
      </c>
      <c r="C310" s="6">
        <v>45994.670138888891</v>
      </c>
      <c r="D310" s="7">
        <v>663</v>
      </c>
      <c r="E310" s="8">
        <v>173.84</v>
      </c>
      <c r="F310" s="5" t="s">
        <v>156</v>
      </c>
      <c r="G310" s="8">
        <v>0.15</v>
      </c>
      <c r="H310" s="9">
        <v>115255.92</v>
      </c>
      <c r="I310" s="9">
        <v>1.7288387999999999</v>
      </c>
    </row>
    <row r="311" spans="1:9" x14ac:dyDescent="0.25">
      <c r="A311" s="5" t="s">
        <v>465</v>
      </c>
      <c r="B311" s="5" t="s">
        <v>63</v>
      </c>
      <c r="C311" s="6">
        <v>45994.680555555547</v>
      </c>
      <c r="D311" s="7">
        <v>1527</v>
      </c>
      <c r="E311" s="8">
        <v>174.29</v>
      </c>
      <c r="F311" s="5" t="s">
        <v>159</v>
      </c>
      <c r="G311" s="8">
        <v>0.1</v>
      </c>
      <c r="H311" s="9">
        <v>266140.83</v>
      </c>
      <c r="I311" s="9">
        <v>2.6614083000000002</v>
      </c>
    </row>
    <row r="312" spans="1:9" x14ac:dyDescent="0.25">
      <c r="A312" s="5" t="s">
        <v>466</v>
      </c>
      <c r="B312" s="5" t="s">
        <v>63</v>
      </c>
      <c r="C312" s="6">
        <v>45994.6875</v>
      </c>
      <c r="D312" s="7">
        <v>31</v>
      </c>
      <c r="E312" s="8">
        <v>174.4</v>
      </c>
      <c r="F312" s="5" t="s">
        <v>159</v>
      </c>
      <c r="G312" s="8">
        <v>0.1</v>
      </c>
      <c r="H312" s="9">
        <v>5406.4000000000005</v>
      </c>
      <c r="I312" s="9">
        <v>5.4064000000000008E-2</v>
      </c>
    </row>
    <row r="313" spans="1:9" x14ac:dyDescent="0.25">
      <c r="A313" s="5" t="s">
        <v>467</v>
      </c>
      <c r="B313" s="5" t="s">
        <v>63</v>
      </c>
      <c r="C313" s="6">
        <v>45994.690972222219</v>
      </c>
      <c r="D313" s="7">
        <v>761</v>
      </c>
      <c r="E313" s="8">
        <v>174.2</v>
      </c>
      <c r="F313" s="5" t="s">
        <v>159</v>
      </c>
      <c r="G313" s="8">
        <v>0.1</v>
      </c>
      <c r="H313" s="9">
        <v>132566.20000000001</v>
      </c>
      <c r="I313" s="9">
        <v>1.3256619999999999</v>
      </c>
    </row>
    <row r="314" spans="1:9" x14ac:dyDescent="0.25">
      <c r="A314" s="5" t="s">
        <v>468</v>
      </c>
      <c r="B314" s="5" t="s">
        <v>63</v>
      </c>
      <c r="C314" s="6">
        <v>45994.697916666657</v>
      </c>
      <c r="D314" s="7">
        <v>622</v>
      </c>
      <c r="E314" s="8">
        <v>174.19</v>
      </c>
      <c r="F314" s="5" t="s">
        <v>156</v>
      </c>
      <c r="G314" s="8">
        <v>0.15</v>
      </c>
      <c r="H314" s="9">
        <v>108346.18</v>
      </c>
      <c r="I314" s="9">
        <v>1.6251926999999999</v>
      </c>
    </row>
    <row r="315" spans="1:9" x14ac:dyDescent="0.25">
      <c r="A315" s="5" t="s">
        <v>469</v>
      </c>
      <c r="B315" s="5" t="s">
        <v>63</v>
      </c>
      <c r="C315" s="6">
        <v>45994.701388888891</v>
      </c>
      <c r="D315" s="7">
        <v>566</v>
      </c>
      <c r="E315" s="8">
        <v>174.23</v>
      </c>
      <c r="F315" s="5" t="s">
        <v>156</v>
      </c>
      <c r="G315" s="8">
        <v>0.15</v>
      </c>
      <c r="H315" s="9">
        <v>98614.18</v>
      </c>
      <c r="I315" s="9">
        <v>1.4792126999999999</v>
      </c>
    </row>
    <row r="316" spans="1:9" x14ac:dyDescent="0.25">
      <c r="A316" s="5" t="s">
        <v>470</v>
      </c>
      <c r="B316" s="5" t="s">
        <v>63</v>
      </c>
      <c r="C316" s="6">
        <v>45994.71875</v>
      </c>
      <c r="D316" s="7">
        <v>431</v>
      </c>
      <c r="E316" s="8">
        <v>174.38</v>
      </c>
      <c r="F316" s="5" t="s">
        <v>159</v>
      </c>
      <c r="G316" s="8">
        <v>0.1</v>
      </c>
      <c r="H316" s="9">
        <v>75157.78</v>
      </c>
      <c r="I316" s="9">
        <v>0.75157780000000007</v>
      </c>
    </row>
    <row r="317" spans="1:9" x14ac:dyDescent="0.25">
      <c r="A317" s="5" t="s">
        <v>471</v>
      </c>
      <c r="B317" s="5" t="s">
        <v>64</v>
      </c>
      <c r="C317" s="6">
        <v>45993.638888888891</v>
      </c>
      <c r="D317" s="7">
        <v>165</v>
      </c>
      <c r="E317" s="8">
        <v>194.14</v>
      </c>
      <c r="F317" s="5" t="s">
        <v>154</v>
      </c>
      <c r="G317" s="8">
        <v>0.05</v>
      </c>
      <c r="H317" s="9">
        <v>32033.1</v>
      </c>
      <c r="I317" s="9">
        <v>0.16016549999999999</v>
      </c>
    </row>
    <row r="318" spans="1:9" x14ac:dyDescent="0.25">
      <c r="A318" s="5" t="s">
        <v>472</v>
      </c>
      <c r="B318" s="5" t="s">
        <v>64</v>
      </c>
      <c r="C318" s="6">
        <v>45993.642361111109</v>
      </c>
      <c r="D318" s="7">
        <v>1981</v>
      </c>
      <c r="E318" s="8">
        <v>194.05</v>
      </c>
      <c r="F318" s="5" t="s">
        <v>154</v>
      </c>
      <c r="G318" s="8">
        <v>0.05</v>
      </c>
      <c r="H318" s="9">
        <v>384413.05</v>
      </c>
      <c r="I318" s="9">
        <v>1.9220652499999999</v>
      </c>
    </row>
    <row r="319" spans="1:9" x14ac:dyDescent="0.25">
      <c r="A319" s="5" t="s">
        <v>473</v>
      </c>
      <c r="B319" s="5" t="s">
        <v>64</v>
      </c>
      <c r="C319" s="6">
        <v>45993.645833333343</v>
      </c>
      <c r="D319" s="7">
        <v>433</v>
      </c>
      <c r="E319" s="8">
        <v>194.07</v>
      </c>
      <c r="F319" s="5" t="s">
        <v>159</v>
      </c>
      <c r="G319" s="8">
        <v>0.1</v>
      </c>
      <c r="H319" s="9">
        <v>84032.31</v>
      </c>
      <c r="I319" s="9">
        <v>0.84032309999999999</v>
      </c>
    </row>
    <row r="320" spans="1:9" x14ac:dyDescent="0.25">
      <c r="A320" s="5" t="s">
        <v>474</v>
      </c>
      <c r="B320" s="5" t="s">
        <v>64</v>
      </c>
      <c r="C320" s="6">
        <v>45993.649305555547</v>
      </c>
      <c r="D320" s="7">
        <v>1709</v>
      </c>
      <c r="E320" s="8">
        <v>194.05</v>
      </c>
      <c r="F320" s="5" t="s">
        <v>156</v>
      </c>
      <c r="G320" s="8">
        <v>0.15</v>
      </c>
      <c r="H320" s="9">
        <v>331631.45</v>
      </c>
      <c r="I320" s="9">
        <v>4.9744717500000002</v>
      </c>
    </row>
    <row r="321" spans="1:9" x14ac:dyDescent="0.25">
      <c r="A321" s="5" t="s">
        <v>475</v>
      </c>
      <c r="B321" s="5" t="s">
        <v>64</v>
      </c>
      <c r="C321" s="6">
        <v>45993.652777777781</v>
      </c>
      <c r="D321" s="7">
        <v>223</v>
      </c>
      <c r="E321" s="8">
        <v>194.26</v>
      </c>
      <c r="F321" s="5" t="s">
        <v>156</v>
      </c>
      <c r="G321" s="8">
        <v>0.15</v>
      </c>
      <c r="H321" s="9">
        <v>43319.98</v>
      </c>
      <c r="I321" s="9">
        <v>0.64979969999999998</v>
      </c>
    </row>
    <row r="322" spans="1:9" x14ac:dyDescent="0.25">
      <c r="A322" s="5" t="s">
        <v>476</v>
      </c>
      <c r="B322" s="5" t="s">
        <v>64</v>
      </c>
      <c r="C322" s="6">
        <v>45993.65625</v>
      </c>
      <c r="D322" s="7">
        <v>348</v>
      </c>
      <c r="E322" s="8">
        <v>194.45</v>
      </c>
      <c r="F322" s="5" t="s">
        <v>154</v>
      </c>
      <c r="G322" s="8">
        <v>0.05</v>
      </c>
      <c r="H322" s="9">
        <v>67668.599999999991</v>
      </c>
      <c r="I322" s="9">
        <v>0.338343</v>
      </c>
    </row>
    <row r="323" spans="1:9" x14ac:dyDescent="0.25">
      <c r="A323" s="5" t="s">
        <v>477</v>
      </c>
      <c r="B323" s="5" t="s">
        <v>64</v>
      </c>
      <c r="C323" s="6">
        <v>45993.659722222219</v>
      </c>
      <c r="D323" s="7">
        <v>107</v>
      </c>
      <c r="E323" s="8">
        <v>194.48</v>
      </c>
      <c r="F323" s="5" t="s">
        <v>156</v>
      </c>
      <c r="G323" s="8">
        <v>0.15</v>
      </c>
      <c r="H323" s="9">
        <v>20809.36</v>
      </c>
      <c r="I323" s="9">
        <v>0.31214039999999998</v>
      </c>
    </row>
    <row r="324" spans="1:9" x14ac:dyDescent="0.25">
      <c r="A324" s="5" t="s">
        <v>478</v>
      </c>
      <c r="B324" s="5" t="s">
        <v>64</v>
      </c>
      <c r="C324" s="6">
        <v>45993.663194444453</v>
      </c>
      <c r="D324" s="7">
        <v>941</v>
      </c>
      <c r="E324" s="8">
        <v>194.76</v>
      </c>
      <c r="F324" s="5" t="s">
        <v>154</v>
      </c>
      <c r="G324" s="8">
        <v>0.05</v>
      </c>
      <c r="H324" s="9">
        <v>183269.16</v>
      </c>
      <c r="I324" s="9">
        <v>0.9163458000000001</v>
      </c>
    </row>
    <row r="325" spans="1:9" x14ac:dyDescent="0.25">
      <c r="A325" s="5" t="s">
        <v>479</v>
      </c>
      <c r="B325" s="5" t="s">
        <v>64</v>
      </c>
      <c r="C325" s="6">
        <v>45993.666666666657</v>
      </c>
      <c r="D325" s="7">
        <v>292</v>
      </c>
      <c r="E325" s="8">
        <v>194.66</v>
      </c>
      <c r="F325" s="5" t="s">
        <v>154</v>
      </c>
      <c r="G325" s="8">
        <v>0.05</v>
      </c>
      <c r="H325" s="9">
        <v>56840.72</v>
      </c>
      <c r="I325" s="9">
        <v>0.2842036</v>
      </c>
    </row>
    <row r="326" spans="1:9" x14ac:dyDescent="0.25">
      <c r="A326" s="5" t="s">
        <v>480</v>
      </c>
      <c r="B326" s="5" t="s">
        <v>64</v>
      </c>
      <c r="C326" s="6">
        <v>45993.670138888891</v>
      </c>
      <c r="D326" s="7">
        <v>386</v>
      </c>
      <c r="E326" s="8">
        <v>194.47</v>
      </c>
      <c r="F326" s="5" t="s">
        <v>156</v>
      </c>
      <c r="G326" s="8">
        <v>0.15</v>
      </c>
      <c r="H326" s="9">
        <v>75065.42</v>
      </c>
      <c r="I326" s="9">
        <v>1.1259813000000001</v>
      </c>
    </row>
    <row r="327" spans="1:9" x14ac:dyDescent="0.25">
      <c r="A327" s="5" t="s">
        <v>481</v>
      </c>
      <c r="B327" s="5" t="s">
        <v>64</v>
      </c>
      <c r="C327" s="6">
        <v>45993.673611111109</v>
      </c>
      <c r="D327" s="7">
        <v>366</v>
      </c>
      <c r="E327" s="8">
        <v>194.64</v>
      </c>
      <c r="F327" s="5" t="s">
        <v>159</v>
      </c>
      <c r="G327" s="8">
        <v>0.1</v>
      </c>
      <c r="H327" s="9">
        <v>71238.239999999991</v>
      </c>
      <c r="I327" s="9">
        <v>0.71238239999999997</v>
      </c>
    </row>
    <row r="328" spans="1:9" x14ac:dyDescent="0.25">
      <c r="A328" s="5" t="s">
        <v>482</v>
      </c>
      <c r="B328" s="5" t="s">
        <v>65</v>
      </c>
      <c r="C328" s="6">
        <v>45996.798611111109</v>
      </c>
      <c r="D328" s="7">
        <v>909</v>
      </c>
      <c r="E328" s="8">
        <v>420.61</v>
      </c>
      <c r="F328" s="5" t="s">
        <v>156</v>
      </c>
      <c r="G328" s="8">
        <v>0.15</v>
      </c>
      <c r="H328" s="9">
        <v>382334.49</v>
      </c>
      <c r="I328" s="9">
        <v>5.7350173499999997</v>
      </c>
    </row>
    <row r="329" spans="1:9" x14ac:dyDescent="0.25">
      <c r="A329" s="5" t="s">
        <v>483</v>
      </c>
      <c r="B329" s="5" t="s">
        <v>65</v>
      </c>
      <c r="C329" s="6">
        <v>45996.815972222219</v>
      </c>
      <c r="D329" s="7">
        <v>563</v>
      </c>
      <c r="E329" s="8">
        <v>421.21</v>
      </c>
      <c r="F329" s="5" t="s">
        <v>159</v>
      </c>
      <c r="G329" s="8">
        <v>0.1</v>
      </c>
      <c r="H329" s="9">
        <v>237141.23</v>
      </c>
      <c r="I329" s="9">
        <v>2.3714122999999998</v>
      </c>
    </row>
    <row r="330" spans="1:9" x14ac:dyDescent="0.25">
      <c r="A330" s="5" t="s">
        <v>484</v>
      </c>
      <c r="B330" s="5" t="s">
        <v>65</v>
      </c>
      <c r="C330" s="6">
        <v>45996.826388888891</v>
      </c>
      <c r="D330" s="7">
        <v>1276</v>
      </c>
      <c r="E330" s="8">
        <v>421.59</v>
      </c>
      <c r="F330" s="5" t="s">
        <v>156</v>
      </c>
      <c r="G330" s="8">
        <v>0.15</v>
      </c>
      <c r="H330" s="9">
        <v>537948.84</v>
      </c>
      <c r="I330" s="9">
        <v>8.0692325999999994</v>
      </c>
    </row>
    <row r="331" spans="1:9" x14ac:dyDescent="0.25">
      <c r="A331" s="5" t="s">
        <v>485</v>
      </c>
      <c r="B331" s="5" t="s">
        <v>65</v>
      </c>
      <c r="C331" s="6">
        <v>45996.829861111109</v>
      </c>
      <c r="D331" s="7">
        <v>2929</v>
      </c>
      <c r="E331" s="8">
        <v>421.77</v>
      </c>
      <c r="F331" s="5" t="s">
        <v>159</v>
      </c>
      <c r="G331" s="8">
        <v>0.1</v>
      </c>
      <c r="H331" s="9">
        <v>1235364.33</v>
      </c>
      <c r="I331" s="9">
        <v>12.3536433</v>
      </c>
    </row>
    <row r="332" spans="1:9" x14ac:dyDescent="0.25">
      <c r="A332" s="5" t="s">
        <v>486</v>
      </c>
      <c r="B332" s="5" t="s">
        <v>65</v>
      </c>
      <c r="C332" s="6">
        <v>45996.861111111109</v>
      </c>
      <c r="D332" s="7">
        <v>3944</v>
      </c>
      <c r="E332" s="8">
        <v>420.87</v>
      </c>
      <c r="F332" s="5" t="s">
        <v>156</v>
      </c>
      <c r="G332" s="8">
        <v>0.15</v>
      </c>
      <c r="H332" s="9">
        <v>1659911.28</v>
      </c>
      <c r="I332" s="9">
        <v>24.898669200000001</v>
      </c>
    </row>
    <row r="333" spans="1:9" x14ac:dyDescent="0.25">
      <c r="A333" s="5" t="s">
        <v>487</v>
      </c>
      <c r="B333" s="5" t="s">
        <v>65</v>
      </c>
      <c r="C333" s="6">
        <v>45996.868055555547</v>
      </c>
      <c r="D333" s="7">
        <v>1072</v>
      </c>
      <c r="E333" s="8">
        <v>420.61</v>
      </c>
      <c r="F333" s="5" t="s">
        <v>156</v>
      </c>
      <c r="G333" s="8">
        <v>0.15</v>
      </c>
      <c r="H333" s="9">
        <v>450893.92</v>
      </c>
      <c r="I333" s="9">
        <v>6.7634088000000014</v>
      </c>
    </row>
    <row r="334" spans="1:9" x14ac:dyDescent="0.25">
      <c r="A334" s="5" t="s">
        <v>488</v>
      </c>
      <c r="B334" s="5" t="s">
        <v>66</v>
      </c>
      <c r="C334" s="6">
        <v>45993.607638888891</v>
      </c>
      <c r="D334" s="7">
        <v>1889</v>
      </c>
      <c r="E334" s="8">
        <v>243.14</v>
      </c>
      <c r="F334" s="5" t="s">
        <v>159</v>
      </c>
      <c r="G334" s="8">
        <v>0.1</v>
      </c>
      <c r="H334" s="9">
        <v>459291.46</v>
      </c>
      <c r="I334" s="9">
        <v>4.5929146000000003</v>
      </c>
    </row>
    <row r="335" spans="1:9" x14ac:dyDescent="0.25">
      <c r="A335" s="5" t="s">
        <v>489</v>
      </c>
      <c r="B335" s="5" t="s">
        <v>66</v>
      </c>
      <c r="C335" s="6">
        <v>45993.611111111109</v>
      </c>
      <c r="D335" s="7">
        <v>652</v>
      </c>
      <c r="E335" s="8">
        <v>243.31</v>
      </c>
      <c r="F335" s="5" t="s">
        <v>156</v>
      </c>
      <c r="G335" s="8">
        <v>0.15</v>
      </c>
      <c r="H335" s="9">
        <v>158638.12</v>
      </c>
      <c r="I335" s="9">
        <v>2.3795717999999999</v>
      </c>
    </row>
    <row r="336" spans="1:9" x14ac:dyDescent="0.25">
      <c r="A336" s="5" t="s">
        <v>490</v>
      </c>
      <c r="B336" s="5" t="s">
        <v>66</v>
      </c>
      <c r="C336" s="6">
        <v>45993.614583333343</v>
      </c>
      <c r="D336" s="7">
        <v>1284</v>
      </c>
      <c r="E336" s="8">
        <v>243.29</v>
      </c>
      <c r="F336" s="5" t="s">
        <v>156</v>
      </c>
      <c r="G336" s="8">
        <v>0.15</v>
      </c>
      <c r="H336" s="9">
        <v>312384.36</v>
      </c>
      <c r="I336" s="9">
        <v>4.6857653999999993</v>
      </c>
    </row>
    <row r="337" spans="1:9" x14ac:dyDescent="0.25">
      <c r="A337" s="5" t="s">
        <v>491</v>
      </c>
      <c r="B337" s="5" t="s">
        <v>66</v>
      </c>
      <c r="C337" s="6">
        <v>45993.618055555547</v>
      </c>
      <c r="D337" s="7">
        <v>4549</v>
      </c>
      <c r="E337" s="8">
        <v>243.5</v>
      </c>
      <c r="F337" s="5" t="s">
        <v>154</v>
      </c>
      <c r="G337" s="8">
        <v>0.05</v>
      </c>
      <c r="H337" s="9">
        <v>1107681.5</v>
      </c>
      <c r="I337" s="9">
        <v>5.5384075000000008</v>
      </c>
    </row>
    <row r="338" spans="1:9" x14ac:dyDescent="0.25">
      <c r="A338" s="5" t="s">
        <v>492</v>
      </c>
      <c r="B338" s="5" t="s">
        <v>66</v>
      </c>
      <c r="C338" s="6">
        <v>45993.621527777781</v>
      </c>
      <c r="D338" s="7">
        <v>46</v>
      </c>
      <c r="E338" s="8">
        <v>243.35</v>
      </c>
      <c r="F338" s="5" t="s">
        <v>159</v>
      </c>
      <c r="G338" s="8">
        <v>0.1</v>
      </c>
      <c r="H338" s="9">
        <v>11194.1</v>
      </c>
      <c r="I338" s="9">
        <v>0.111941</v>
      </c>
    </row>
    <row r="339" spans="1:9" x14ac:dyDescent="0.25">
      <c r="A339" s="5" t="s">
        <v>493</v>
      </c>
      <c r="B339" s="5" t="s">
        <v>66</v>
      </c>
      <c r="C339" s="6">
        <v>45993.625</v>
      </c>
      <c r="D339" s="7">
        <v>2609</v>
      </c>
      <c r="E339" s="8">
        <v>243</v>
      </c>
      <c r="F339" s="5" t="s">
        <v>159</v>
      </c>
      <c r="G339" s="8">
        <v>0.1</v>
      </c>
      <c r="H339" s="9">
        <v>633987</v>
      </c>
      <c r="I339" s="9">
        <v>6.3398700000000003</v>
      </c>
    </row>
    <row r="340" spans="1:9" x14ac:dyDescent="0.25">
      <c r="A340" s="5" t="s">
        <v>494</v>
      </c>
      <c r="B340" s="5" t="s">
        <v>66</v>
      </c>
      <c r="C340" s="6">
        <v>45993.628472222219</v>
      </c>
      <c r="D340" s="7">
        <v>68</v>
      </c>
      <c r="E340" s="8">
        <v>242.98</v>
      </c>
      <c r="F340" s="5" t="s">
        <v>159</v>
      </c>
      <c r="G340" s="8">
        <v>0.1</v>
      </c>
      <c r="H340" s="9">
        <v>16522.64</v>
      </c>
      <c r="I340" s="9">
        <v>0.1652264</v>
      </c>
    </row>
    <row r="341" spans="1:9" x14ac:dyDescent="0.25">
      <c r="A341" s="5" t="s">
        <v>495</v>
      </c>
      <c r="B341" s="5" t="s">
        <v>67</v>
      </c>
      <c r="C341" s="6">
        <v>45995.652777777781</v>
      </c>
      <c r="D341" s="7">
        <v>623</v>
      </c>
      <c r="E341" s="8">
        <v>422.81</v>
      </c>
      <c r="F341" s="5" t="s">
        <v>159</v>
      </c>
      <c r="G341" s="8">
        <v>0.1</v>
      </c>
      <c r="H341" s="9">
        <v>263410.63</v>
      </c>
      <c r="I341" s="9">
        <v>2.6341063</v>
      </c>
    </row>
    <row r="342" spans="1:9" x14ac:dyDescent="0.25">
      <c r="A342" s="5" t="s">
        <v>496</v>
      </c>
      <c r="B342" s="5" t="s">
        <v>67</v>
      </c>
      <c r="C342" s="6">
        <v>45995.65625</v>
      </c>
      <c r="D342" s="7">
        <v>7</v>
      </c>
      <c r="E342" s="8">
        <v>422.84</v>
      </c>
      <c r="F342" s="5" t="s">
        <v>156</v>
      </c>
      <c r="G342" s="8">
        <v>0.15</v>
      </c>
      <c r="H342" s="9">
        <v>2959.88</v>
      </c>
      <c r="I342" s="9">
        <v>4.4398199999999992E-2</v>
      </c>
    </row>
    <row r="343" spans="1:9" x14ac:dyDescent="0.25">
      <c r="A343" s="5" t="s">
        <v>497</v>
      </c>
      <c r="B343" s="5" t="s">
        <v>67</v>
      </c>
      <c r="C343" s="6">
        <v>45995.677083333343</v>
      </c>
      <c r="D343" s="7">
        <v>285</v>
      </c>
      <c r="E343" s="8">
        <v>423.35</v>
      </c>
      <c r="F343" s="5" t="s">
        <v>159</v>
      </c>
      <c r="G343" s="8">
        <v>0.1</v>
      </c>
      <c r="H343" s="9">
        <v>120654.75</v>
      </c>
      <c r="I343" s="9">
        <v>1.2065475000000001</v>
      </c>
    </row>
    <row r="344" spans="1:9" x14ac:dyDescent="0.25">
      <c r="A344" s="5" t="s">
        <v>498</v>
      </c>
      <c r="B344" s="5" t="s">
        <v>67</v>
      </c>
      <c r="C344" s="6">
        <v>45995.680555555547</v>
      </c>
      <c r="D344" s="7">
        <v>678</v>
      </c>
      <c r="E344" s="8">
        <v>424.03</v>
      </c>
      <c r="F344" s="5" t="s">
        <v>156</v>
      </c>
      <c r="G344" s="8">
        <v>0.15</v>
      </c>
      <c r="H344" s="9">
        <v>287492.34000000003</v>
      </c>
      <c r="I344" s="9">
        <v>4.3123850999999993</v>
      </c>
    </row>
    <row r="345" spans="1:9" x14ac:dyDescent="0.25">
      <c r="A345" s="5" t="s">
        <v>499</v>
      </c>
      <c r="B345" s="5" t="s">
        <v>67</v>
      </c>
      <c r="C345" s="6">
        <v>45995.684027777781</v>
      </c>
      <c r="D345" s="7">
        <v>2169</v>
      </c>
      <c r="E345" s="8">
        <v>423.45</v>
      </c>
      <c r="F345" s="5" t="s">
        <v>159</v>
      </c>
      <c r="G345" s="8">
        <v>0.1</v>
      </c>
      <c r="H345" s="9">
        <v>918463.04999999993</v>
      </c>
      <c r="I345" s="9">
        <v>9.184630499999999</v>
      </c>
    </row>
    <row r="346" spans="1:9" x14ac:dyDescent="0.25">
      <c r="A346" s="5" t="s">
        <v>500</v>
      </c>
      <c r="B346" s="5" t="s">
        <v>67</v>
      </c>
      <c r="C346" s="6">
        <v>45995.6875</v>
      </c>
      <c r="D346" s="7">
        <v>545</v>
      </c>
      <c r="E346" s="8">
        <v>423.72</v>
      </c>
      <c r="F346" s="5" t="s">
        <v>154</v>
      </c>
      <c r="G346" s="8">
        <v>0.05</v>
      </c>
      <c r="H346" s="9">
        <v>230927.4</v>
      </c>
      <c r="I346" s="9">
        <v>1.1546369999999999</v>
      </c>
    </row>
    <row r="347" spans="1:9" x14ac:dyDescent="0.25">
      <c r="A347" s="5" t="s">
        <v>501</v>
      </c>
      <c r="B347" s="5" t="s">
        <v>68</v>
      </c>
      <c r="C347" s="6">
        <v>45996.673611111109</v>
      </c>
      <c r="D347" s="7">
        <v>1282</v>
      </c>
      <c r="E347" s="8">
        <v>422.89</v>
      </c>
      <c r="F347" s="5" t="s">
        <v>156</v>
      </c>
      <c r="G347" s="8">
        <v>0.15</v>
      </c>
      <c r="H347" s="9">
        <v>542144.98</v>
      </c>
      <c r="I347" s="9">
        <v>8.1321746999999984</v>
      </c>
    </row>
    <row r="348" spans="1:9" x14ac:dyDescent="0.25">
      <c r="A348" s="5" t="s">
        <v>502</v>
      </c>
      <c r="B348" s="5" t="s">
        <v>68</v>
      </c>
      <c r="C348" s="6">
        <v>45996.677083333343</v>
      </c>
      <c r="D348" s="7">
        <v>79</v>
      </c>
      <c r="E348" s="8">
        <v>422.63</v>
      </c>
      <c r="F348" s="5" t="s">
        <v>156</v>
      </c>
      <c r="G348" s="8">
        <v>0.15</v>
      </c>
      <c r="H348" s="9">
        <v>33387.769999999997</v>
      </c>
      <c r="I348" s="9">
        <v>0.50081654999999992</v>
      </c>
    </row>
    <row r="349" spans="1:9" x14ac:dyDescent="0.25">
      <c r="A349" s="5" t="s">
        <v>503</v>
      </c>
      <c r="B349" s="5" t="s">
        <v>68</v>
      </c>
      <c r="C349" s="6">
        <v>45996.680555555547</v>
      </c>
      <c r="D349" s="7">
        <v>8</v>
      </c>
      <c r="E349" s="8">
        <v>422.91</v>
      </c>
      <c r="F349" s="5" t="s">
        <v>154</v>
      </c>
      <c r="G349" s="8">
        <v>0.05</v>
      </c>
      <c r="H349" s="9">
        <v>3383.28</v>
      </c>
      <c r="I349" s="9">
        <v>1.6916400000000002E-2</v>
      </c>
    </row>
    <row r="350" spans="1:9" x14ac:dyDescent="0.25">
      <c r="A350" s="5" t="s">
        <v>504</v>
      </c>
      <c r="B350" s="5" t="s">
        <v>68</v>
      </c>
      <c r="C350" s="6">
        <v>45996.684027777781</v>
      </c>
      <c r="D350" s="7">
        <v>72</v>
      </c>
      <c r="E350" s="8">
        <v>423.27</v>
      </c>
      <c r="F350" s="5" t="s">
        <v>156</v>
      </c>
      <c r="G350" s="8">
        <v>0.15</v>
      </c>
      <c r="H350" s="9">
        <v>30475.439999999999</v>
      </c>
      <c r="I350" s="9">
        <v>0.45713160000000003</v>
      </c>
    </row>
    <row r="351" spans="1:9" x14ac:dyDescent="0.25">
      <c r="A351" s="5" t="s">
        <v>505</v>
      </c>
      <c r="B351" s="5" t="s">
        <v>68</v>
      </c>
      <c r="C351" s="6">
        <v>45996.6875</v>
      </c>
      <c r="D351" s="7">
        <v>66</v>
      </c>
      <c r="E351" s="8">
        <v>423.21</v>
      </c>
      <c r="F351" s="5" t="s">
        <v>156</v>
      </c>
      <c r="G351" s="8">
        <v>0.15</v>
      </c>
      <c r="H351" s="9">
        <v>27931.86</v>
      </c>
      <c r="I351" s="9">
        <v>0.41897790000000001</v>
      </c>
    </row>
    <row r="352" spans="1:9" x14ac:dyDescent="0.25">
      <c r="A352" s="5" t="s">
        <v>506</v>
      </c>
      <c r="B352" s="5" t="s">
        <v>68</v>
      </c>
      <c r="C352" s="6">
        <v>45996.690972222219</v>
      </c>
      <c r="D352" s="7">
        <v>487</v>
      </c>
      <c r="E352" s="8">
        <v>423.31</v>
      </c>
      <c r="F352" s="5" t="s">
        <v>156</v>
      </c>
      <c r="G352" s="8">
        <v>0.15</v>
      </c>
      <c r="H352" s="9">
        <v>206151.97</v>
      </c>
      <c r="I352" s="9">
        <v>3.0922795500000002</v>
      </c>
    </row>
    <row r="353" spans="1:9" x14ac:dyDescent="0.25">
      <c r="A353" s="5" t="s">
        <v>507</v>
      </c>
      <c r="B353" s="5" t="s">
        <v>68</v>
      </c>
      <c r="C353" s="6">
        <v>45996.694444444453</v>
      </c>
      <c r="D353" s="7">
        <v>608</v>
      </c>
      <c r="E353" s="8">
        <v>423.71</v>
      </c>
      <c r="F353" s="5" t="s">
        <v>159</v>
      </c>
      <c r="G353" s="8">
        <v>0.1</v>
      </c>
      <c r="H353" s="9">
        <v>257615.68</v>
      </c>
      <c r="I353" s="9">
        <v>2.5761568000000001</v>
      </c>
    </row>
    <row r="354" spans="1:9" x14ac:dyDescent="0.25">
      <c r="A354" s="5" t="s">
        <v>508</v>
      </c>
      <c r="B354" s="5" t="s">
        <v>68</v>
      </c>
      <c r="C354" s="6">
        <v>45996.697916666657</v>
      </c>
      <c r="D354" s="7">
        <v>213</v>
      </c>
      <c r="E354" s="8">
        <v>423.4</v>
      </c>
      <c r="F354" s="5" t="s">
        <v>154</v>
      </c>
      <c r="G354" s="8">
        <v>0.05</v>
      </c>
      <c r="H354" s="9">
        <v>90184.2</v>
      </c>
      <c r="I354" s="9">
        <v>0.45092100000000002</v>
      </c>
    </row>
    <row r="355" spans="1:9" x14ac:dyDescent="0.25">
      <c r="A355" s="5" t="s">
        <v>509</v>
      </c>
      <c r="B355" s="5" t="s">
        <v>68</v>
      </c>
      <c r="C355" s="6">
        <v>45996.704861111109</v>
      </c>
      <c r="D355" s="7">
        <v>913</v>
      </c>
      <c r="E355" s="8">
        <v>423.19</v>
      </c>
      <c r="F355" s="5" t="s">
        <v>156</v>
      </c>
      <c r="G355" s="8">
        <v>0.15</v>
      </c>
      <c r="H355" s="9">
        <v>386372.47</v>
      </c>
      <c r="I355" s="9">
        <v>5.79558705</v>
      </c>
    </row>
    <row r="356" spans="1:9" x14ac:dyDescent="0.25">
      <c r="A356" s="5" t="s">
        <v>510</v>
      </c>
      <c r="B356" s="5" t="s">
        <v>68</v>
      </c>
      <c r="C356" s="6">
        <v>45996.708333333343</v>
      </c>
      <c r="D356" s="7">
        <v>483</v>
      </c>
      <c r="E356" s="8">
        <v>423.1</v>
      </c>
      <c r="F356" s="5" t="s">
        <v>156</v>
      </c>
      <c r="G356" s="8">
        <v>0.15</v>
      </c>
      <c r="H356" s="9">
        <v>204357.3</v>
      </c>
      <c r="I356" s="9">
        <v>3.0653595</v>
      </c>
    </row>
    <row r="357" spans="1:9" x14ac:dyDescent="0.25">
      <c r="A357" s="5" t="s">
        <v>511</v>
      </c>
      <c r="B357" s="5" t="s">
        <v>68</v>
      </c>
      <c r="C357" s="6">
        <v>45996.711805555547</v>
      </c>
      <c r="D357" s="7">
        <v>770</v>
      </c>
      <c r="E357" s="8">
        <v>423.16</v>
      </c>
      <c r="F357" s="5" t="s">
        <v>159</v>
      </c>
      <c r="G357" s="8">
        <v>0.1</v>
      </c>
      <c r="H357" s="9">
        <v>325833.2</v>
      </c>
      <c r="I357" s="9">
        <v>3.2583319999999998</v>
      </c>
    </row>
    <row r="358" spans="1:9" x14ac:dyDescent="0.25">
      <c r="A358" s="5" t="s">
        <v>512</v>
      </c>
      <c r="B358" s="5" t="s">
        <v>68</v>
      </c>
      <c r="C358" s="6">
        <v>45996.715277777781</v>
      </c>
      <c r="D358" s="7">
        <v>117</v>
      </c>
      <c r="E358" s="8">
        <v>423.91</v>
      </c>
      <c r="F358" s="5" t="s">
        <v>156</v>
      </c>
      <c r="G358" s="8">
        <v>0.15</v>
      </c>
      <c r="H358" s="9">
        <v>49597.47</v>
      </c>
      <c r="I358" s="9">
        <v>0.74396205000000004</v>
      </c>
    </row>
    <row r="359" spans="1:9" x14ac:dyDescent="0.25">
      <c r="A359" s="5" t="s">
        <v>513</v>
      </c>
      <c r="B359" s="5" t="s">
        <v>68</v>
      </c>
      <c r="C359" s="6">
        <v>45996.71875</v>
      </c>
      <c r="D359" s="7">
        <v>703</v>
      </c>
      <c r="E359" s="8">
        <v>423</v>
      </c>
      <c r="F359" s="5" t="s">
        <v>159</v>
      </c>
      <c r="G359" s="8">
        <v>0.1</v>
      </c>
      <c r="H359" s="9">
        <v>297369</v>
      </c>
      <c r="I359" s="9">
        <v>2.9736899999999999</v>
      </c>
    </row>
    <row r="360" spans="1:9" x14ac:dyDescent="0.25">
      <c r="A360" s="5" t="s">
        <v>514</v>
      </c>
      <c r="B360" s="5" t="s">
        <v>68</v>
      </c>
      <c r="C360" s="6">
        <v>45996.722222222219</v>
      </c>
      <c r="D360" s="7">
        <v>629</v>
      </c>
      <c r="E360" s="8">
        <v>423.4</v>
      </c>
      <c r="F360" s="5" t="s">
        <v>156</v>
      </c>
      <c r="G360" s="8">
        <v>0.15</v>
      </c>
      <c r="H360" s="9">
        <v>266318.59999999998</v>
      </c>
      <c r="I360" s="9">
        <v>3.994778999999999</v>
      </c>
    </row>
    <row r="361" spans="1:9" x14ac:dyDescent="0.25">
      <c r="A361" s="5" t="s">
        <v>515</v>
      </c>
      <c r="B361" s="5" t="s">
        <v>69</v>
      </c>
      <c r="C361" s="6">
        <v>45995.760416666657</v>
      </c>
      <c r="D361" s="7">
        <v>7895</v>
      </c>
      <c r="E361" s="8">
        <v>184.91</v>
      </c>
      <c r="F361" s="5" t="s">
        <v>156</v>
      </c>
      <c r="G361" s="8">
        <v>0.15</v>
      </c>
      <c r="H361" s="9">
        <v>1459864.45</v>
      </c>
      <c r="I361" s="9">
        <v>21.897966749999998</v>
      </c>
    </row>
    <row r="362" spans="1:9" x14ac:dyDescent="0.25">
      <c r="A362" s="5" t="s">
        <v>516</v>
      </c>
      <c r="B362" s="5" t="s">
        <v>69</v>
      </c>
      <c r="C362" s="6">
        <v>45995.767361111109</v>
      </c>
      <c r="D362" s="7">
        <v>2581</v>
      </c>
      <c r="E362" s="8">
        <v>184.83</v>
      </c>
      <c r="F362" s="5" t="s">
        <v>156</v>
      </c>
      <c r="G362" s="8">
        <v>0.15</v>
      </c>
      <c r="H362" s="9">
        <v>477046.23</v>
      </c>
      <c r="I362" s="9">
        <v>7.1556934500000002</v>
      </c>
    </row>
    <row r="363" spans="1:9" x14ac:dyDescent="0.25">
      <c r="A363" s="5" t="s">
        <v>517</v>
      </c>
      <c r="B363" s="5" t="s">
        <v>69</v>
      </c>
      <c r="C363" s="6">
        <v>45995.770833333343</v>
      </c>
      <c r="D363" s="7">
        <v>1122</v>
      </c>
      <c r="E363" s="8">
        <v>184.99</v>
      </c>
      <c r="F363" s="5" t="s">
        <v>156</v>
      </c>
      <c r="G363" s="8">
        <v>0.15</v>
      </c>
      <c r="H363" s="9">
        <v>207558.78</v>
      </c>
      <c r="I363" s="9">
        <v>3.1133817000000001</v>
      </c>
    </row>
    <row r="364" spans="1:9" x14ac:dyDescent="0.25">
      <c r="A364" s="5" t="s">
        <v>518</v>
      </c>
      <c r="B364" s="5" t="s">
        <v>69</v>
      </c>
      <c r="C364" s="6">
        <v>45995.78125</v>
      </c>
      <c r="D364" s="7">
        <v>684</v>
      </c>
      <c r="E364" s="8">
        <v>184.94</v>
      </c>
      <c r="F364" s="5" t="s">
        <v>156</v>
      </c>
      <c r="G364" s="8">
        <v>0.15</v>
      </c>
      <c r="H364" s="9">
        <v>126498.96</v>
      </c>
      <c r="I364" s="9">
        <v>1.8974844</v>
      </c>
    </row>
    <row r="365" spans="1:9" x14ac:dyDescent="0.25">
      <c r="A365" s="5" t="s">
        <v>519</v>
      </c>
      <c r="B365" s="5" t="s">
        <v>69</v>
      </c>
      <c r="C365" s="6">
        <v>45995.784722222219</v>
      </c>
      <c r="D365" s="7">
        <v>1021</v>
      </c>
      <c r="E365" s="8">
        <v>185.09</v>
      </c>
      <c r="F365" s="5" t="s">
        <v>159</v>
      </c>
      <c r="G365" s="8">
        <v>0.1</v>
      </c>
      <c r="H365" s="9">
        <v>188976.89</v>
      </c>
      <c r="I365" s="9">
        <v>1.8897689</v>
      </c>
    </row>
    <row r="366" spans="1:9" x14ac:dyDescent="0.25">
      <c r="A366" s="5" t="s">
        <v>520</v>
      </c>
      <c r="B366" s="5" t="s">
        <v>69</v>
      </c>
      <c r="C366" s="6">
        <v>45995.788194444453</v>
      </c>
      <c r="D366" s="7">
        <v>406</v>
      </c>
      <c r="E366" s="8">
        <v>185.24</v>
      </c>
      <c r="F366" s="5" t="s">
        <v>156</v>
      </c>
      <c r="G366" s="8">
        <v>0.15</v>
      </c>
      <c r="H366" s="9">
        <v>75207.44</v>
      </c>
      <c r="I366" s="9">
        <v>1.1281116</v>
      </c>
    </row>
    <row r="367" spans="1:9" x14ac:dyDescent="0.25">
      <c r="A367" s="5" t="s">
        <v>521</v>
      </c>
      <c r="B367" s="5" t="s">
        <v>69</v>
      </c>
      <c r="C367" s="6">
        <v>45995.791666666657</v>
      </c>
      <c r="D367" s="7">
        <v>830</v>
      </c>
      <c r="E367" s="8">
        <v>185.16</v>
      </c>
      <c r="F367" s="5" t="s">
        <v>156</v>
      </c>
      <c r="G367" s="8">
        <v>0.15</v>
      </c>
      <c r="H367" s="9">
        <v>153682.79999999999</v>
      </c>
      <c r="I367" s="9">
        <v>2.3052419999999998</v>
      </c>
    </row>
    <row r="368" spans="1:9" x14ac:dyDescent="0.25">
      <c r="A368" s="5" t="s">
        <v>522</v>
      </c>
      <c r="B368" s="5" t="s">
        <v>69</v>
      </c>
      <c r="C368" s="6">
        <v>45995.795138888891</v>
      </c>
      <c r="D368" s="7">
        <v>189</v>
      </c>
      <c r="E368" s="8">
        <v>184.76</v>
      </c>
      <c r="F368" s="5" t="s">
        <v>156</v>
      </c>
      <c r="G368" s="8">
        <v>0.15</v>
      </c>
      <c r="H368" s="9">
        <v>34919.64</v>
      </c>
      <c r="I368" s="9">
        <v>0.5237946</v>
      </c>
    </row>
    <row r="369" spans="1:9" x14ac:dyDescent="0.25">
      <c r="A369" s="5" t="s">
        <v>523</v>
      </c>
      <c r="B369" s="5" t="s">
        <v>69</v>
      </c>
      <c r="C369" s="6">
        <v>45995.798611111109</v>
      </c>
      <c r="D369" s="7">
        <v>780</v>
      </c>
      <c r="E369" s="8">
        <v>184.54</v>
      </c>
      <c r="F369" s="5" t="s">
        <v>156</v>
      </c>
      <c r="G369" s="8">
        <v>0.15</v>
      </c>
      <c r="H369" s="9">
        <v>143941.20000000001</v>
      </c>
      <c r="I369" s="9">
        <v>2.1591179999999999</v>
      </c>
    </row>
    <row r="370" spans="1:9" x14ac:dyDescent="0.25">
      <c r="A370" s="5" t="s">
        <v>524</v>
      </c>
      <c r="B370" s="5" t="s">
        <v>69</v>
      </c>
      <c r="C370" s="6">
        <v>45995.805555555547</v>
      </c>
      <c r="D370" s="7">
        <v>722</v>
      </c>
      <c r="E370" s="8">
        <v>184.75</v>
      </c>
      <c r="F370" s="5" t="s">
        <v>156</v>
      </c>
      <c r="G370" s="8">
        <v>0.15</v>
      </c>
      <c r="H370" s="9">
        <v>133389.5</v>
      </c>
      <c r="I370" s="9">
        <v>2.0008425000000001</v>
      </c>
    </row>
    <row r="371" spans="1:9" x14ac:dyDescent="0.25">
      <c r="A371" s="5" t="s">
        <v>525</v>
      </c>
      <c r="B371" s="5" t="s">
        <v>69</v>
      </c>
      <c r="C371" s="6">
        <v>45995.8125</v>
      </c>
      <c r="D371" s="7">
        <v>1083</v>
      </c>
      <c r="E371" s="8">
        <v>184.46</v>
      </c>
      <c r="F371" s="5" t="s">
        <v>156</v>
      </c>
      <c r="G371" s="8">
        <v>0.15</v>
      </c>
      <c r="H371" s="9">
        <v>199770.18</v>
      </c>
      <c r="I371" s="9">
        <v>2.9965527000000001</v>
      </c>
    </row>
    <row r="372" spans="1:9" x14ac:dyDescent="0.25">
      <c r="A372" s="5" t="s">
        <v>526</v>
      </c>
      <c r="B372" s="5" t="s">
        <v>69</v>
      </c>
      <c r="C372" s="6">
        <v>45995.829861111109</v>
      </c>
      <c r="D372" s="7">
        <v>1307</v>
      </c>
      <c r="E372" s="8">
        <v>184.75</v>
      </c>
      <c r="F372" s="5" t="s">
        <v>154</v>
      </c>
      <c r="G372" s="8">
        <v>0.05</v>
      </c>
      <c r="H372" s="9">
        <v>241468.25</v>
      </c>
      <c r="I372" s="9">
        <v>1.20734125</v>
      </c>
    </row>
    <row r="373" spans="1:9" x14ac:dyDescent="0.25">
      <c r="A373" s="5" t="s">
        <v>527</v>
      </c>
      <c r="B373" s="5" t="s">
        <v>69</v>
      </c>
      <c r="C373" s="6">
        <v>45995.833333333343</v>
      </c>
      <c r="D373" s="7">
        <v>2208</v>
      </c>
      <c r="E373" s="8">
        <v>184.74</v>
      </c>
      <c r="F373" s="5" t="s">
        <v>154</v>
      </c>
      <c r="G373" s="8">
        <v>0.05</v>
      </c>
      <c r="H373" s="9">
        <v>407905.92</v>
      </c>
      <c r="I373" s="9">
        <v>2.0395295999999998</v>
      </c>
    </row>
    <row r="374" spans="1:9" x14ac:dyDescent="0.25">
      <c r="A374" s="5" t="s">
        <v>528</v>
      </c>
      <c r="B374" s="5" t="s">
        <v>70</v>
      </c>
      <c r="C374" s="6">
        <v>45993.722222222219</v>
      </c>
      <c r="D374" s="7">
        <v>3025</v>
      </c>
      <c r="E374" s="8">
        <v>244.7</v>
      </c>
      <c r="F374" s="5" t="s">
        <v>156</v>
      </c>
      <c r="G374" s="8">
        <v>0.15</v>
      </c>
      <c r="H374" s="9">
        <v>740217.5</v>
      </c>
      <c r="I374" s="9">
        <v>11.1032625</v>
      </c>
    </row>
    <row r="375" spans="1:9" x14ac:dyDescent="0.25">
      <c r="A375" s="5" t="s">
        <v>529</v>
      </c>
      <c r="B375" s="5" t="s">
        <v>70</v>
      </c>
      <c r="C375" s="6">
        <v>45993.725694444453</v>
      </c>
      <c r="D375" s="7">
        <v>636</v>
      </c>
      <c r="E375" s="8">
        <v>244.42</v>
      </c>
      <c r="F375" s="5" t="s">
        <v>154</v>
      </c>
      <c r="G375" s="8">
        <v>0.05</v>
      </c>
      <c r="H375" s="9">
        <v>155451.12</v>
      </c>
      <c r="I375" s="9">
        <v>0.77725560000000005</v>
      </c>
    </row>
    <row r="376" spans="1:9" x14ac:dyDescent="0.25">
      <c r="A376" s="5" t="s">
        <v>530</v>
      </c>
      <c r="B376" s="5" t="s">
        <v>70</v>
      </c>
      <c r="C376" s="6">
        <v>45993.729166666657</v>
      </c>
      <c r="D376" s="7">
        <v>1760</v>
      </c>
      <c r="E376" s="8">
        <v>244.3</v>
      </c>
      <c r="F376" s="5" t="s">
        <v>156</v>
      </c>
      <c r="G376" s="8">
        <v>0.15</v>
      </c>
      <c r="H376" s="9">
        <v>429968</v>
      </c>
      <c r="I376" s="9">
        <v>6.4495199999999997</v>
      </c>
    </row>
    <row r="377" spans="1:9" x14ac:dyDescent="0.25">
      <c r="A377" s="5" t="s">
        <v>531</v>
      </c>
      <c r="B377" s="5" t="s">
        <v>70</v>
      </c>
      <c r="C377" s="6">
        <v>45993.732638888891</v>
      </c>
      <c r="D377" s="7">
        <v>367</v>
      </c>
      <c r="E377" s="8">
        <v>244.22</v>
      </c>
      <c r="F377" s="5" t="s">
        <v>159</v>
      </c>
      <c r="G377" s="8">
        <v>0.1</v>
      </c>
      <c r="H377" s="9">
        <v>89628.74</v>
      </c>
      <c r="I377" s="9">
        <v>0.89628740000000018</v>
      </c>
    </row>
    <row r="378" spans="1:9" x14ac:dyDescent="0.25">
      <c r="A378" s="5" t="s">
        <v>532</v>
      </c>
      <c r="B378" s="5" t="s">
        <v>70</v>
      </c>
      <c r="C378" s="6">
        <v>45993.743055555547</v>
      </c>
      <c r="D378" s="7">
        <v>885</v>
      </c>
      <c r="E378" s="8">
        <v>244.2</v>
      </c>
      <c r="F378" s="5" t="s">
        <v>159</v>
      </c>
      <c r="G378" s="8">
        <v>0.1</v>
      </c>
      <c r="H378" s="9">
        <v>216117</v>
      </c>
      <c r="I378" s="9">
        <v>2.1611699999999998</v>
      </c>
    </row>
    <row r="379" spans="1:9" x14ac:dyDescent="0.25">
      <c r="A379" s="5" t="s">
        <v>533</v>
      </c>
      <c r="B379" s="5" t="s">
        <v>70</v>
      </c>
      <c r="C379" s="6">
        <v>45993.746527777781</v>
      </c>
      <c r="D379" s="7">
        <v>956</v>
      </c>
      <c r="E379" s="8">
        <v>243.86</v>
      </c>
      <c r="F379" s="5" t="s">
        <v>159</v>
      </c>
      <c r="G379" s="8">
        <v>0.1</v>
      </c>
      <c r="H379" s="9">
        <v>233130.16</v>
      </c>
      <c r="I379" s="9">
        <v>2.3313016000000002</v>
      </c>
    </row>
    <row r="380" spans="1:9" x14ac:dyDescent="0.25">
      <c r="A380" s="5" t="s">
        <v>534</v>
      </c>
      <c r="B380" s="5" t="s">
        <v>70</v>
      </c>
      <c r="C380" s="6">
        <v>45993.75</v>
      </c>
      <c r="D380" s="7">
        <v>3140</v>
      </c>
      <c r="E380" s="8">
        <v>243.61</v>
      </c>
      <c r="F380" s="5" t="s">
        <v>156</v>
      </c>
      <c r="G380" s="8">
        <v>0.15</v>
      </c>
      <c r="H380" s="9">
        <v>764935.4</v>
      </c>
      <c r="I380" s="9">
        <v>11.474031</v>
      </c>
    </row>
    <row r="381" spans="1:9" x14ac:dyDescent="0.25">
      <c r="A381" s="5" t="s">
        <v>535</v>
      </c>
      <c r="B381" s="5" t="s">
        <v>70</v>
      </c>
      <c r="C381" s="6">
        <v>45993.753472222219</v>
      </c>
      <c r="D381" s="7">
        <v>3435</v>
      </c>
      <c r="E381" s="8">
        <v>243.44</v>
      </c>
      <c r="F381" s="5" t="s">
        <v>156</v>
      </c>
      <c r="G381" s="8">
        <v>0.15</v>
      </c>
      <c r="H381" s="9">
        <v>836216.4</v>
      </c>
      <c r="I381" s="9">
        <v>12.543246</v>
      </c>
    </row>
    <row r="382" spans="1:9" x14ac:dyDescent="0.25">
      <c r="A382" s="5" t="s">
        <v>536</v>
      </c>
      <c r="B382" s="5" t="s">
        <v>70</v>
      </c>
      <c r="C382" s="6">
        <v>45993.756944444453</v>
      </c>
      <c r="D382" s="7">
        <v>581</v>
      </c>
      <c r="E382" s="8">
        <v>243.31</v>
      </c>
      <c r="F382" s="5" t="s">
        <v>156</v>
      </c>
      <c r="G382" s="8">
        <v>0.15</v>
      </c>
      <c r="H382" s="9">
        <v>141363.10999999999</v>
      </c>
      <c r="I382" s="9">
        <v>2.1204466499999999</v>
      </c>
    </row>
    <row r="383" spans="1:9" x14ac:dyDescent="0.25">
      <c r="A383" s="5" t="s">
        <v>537</v>
      </c>
      <c r="B383" s="5" t="s">
        <v>71</v>
      </c>
      <c r="C383" s="6">
        <v>45996.642361111109</v>
      </c>
      <c r="D383" s="7">
        <v>100</v>
      </c>
      <c r="E383" s="8">
        <v>423.46</v>
      </c>
      <c r="F383" s="5" t="s">
        <v>156</v>
      </c>
      <c r="G383" s="8">
        <v>0.15</v>
      </c>
      <c r="H383" s="9">
        <v>42346</v>
      </c>
      <c r="I383" s="9">
        <v>0.63518999999999992</v>
      </c>
    </row>
    <row r="384" spans="1:9" x14ac:dyDescent="0.25">
      <c r="A384" s="5" t="s">
        <v>538</v>
      </c>
      <c r="B384" s="5" t="s">
        <v>71</v>
      </c>
      <c r="C384" s="6">
        <v>45996.65625</v>
      </c>
      <c r="D384" s="7">
        <v>291</v>
      </c>
      <c r="E384" s="8">
        <v>422.78</v>
      </c>
      <c r="F384" s="5" t="s">
        <v>156</v>
      </c>
      <c r="G384" s="8">
        <v>0.15</v>
      </c>
      <c r="H384" s="9">
        <v>123028.98</v>
      </c>
      <c r="I384" s="9">
        <v>1.8454347</v>
      </c>
    </row>
    <row r="385" spans="1:9" x14ac:dyDescent="0.25">
      <c r="A385" s="5" t="s">
        <v>539</v>
      </c>
      <c r="B385" s="5" t="s">
        <v>71</v>
      </c>
      <c r="C385" s="6">
        <v>45996.6875</v>
      </c>
      <c r="D385" s="7">
        <v>1310</v>
      </c>
      <c r="E385" s="8">
        <v>423.1</v>
      </c>
      <c r="F385" s="5" t="s">
        <v>156</v>
      </c>
      <c r="G385" s="8">
        <v>0.15</v>
      </c>
      <c r="H385" s="9">
        <v>554261</v>
      </c>
      <c r="I385" s="9">
        <v>8.3139149999999997</v>
      </c>
    </row>
    <row r="386" spans="1:9" x14ac:dyDescent="0.25">
      <c r="A386" s="5" t="s">
        <v>540</v>
      </c>
      <c r="B386" s="5" t="s">
        <v>71</v>
      </c>
      <c r="C386" s="6">
        <v>45996.690972222219</v>
      </c>
      <c r="D386" s="7">
        <v>2227</v>
      </c>
      <c r="E386" s="8">
        <v>423.24</v>
      </c>
      <c r="F386" s="5" t="s">
        <v>156</v>
      </c>
      <c r="G386" s="8">
        <v>0.15</v>
      </c>
      <c r="H386" s="9">
        <v>942555.48</v>
      </c>
      <c r="I386" s="9">
        <v>14.138332200000001</v>
      </c>
    </row>
    <row r="387" spans="1:9" x14ac:dyDescent="0.25">
      <c r="A387" s="5" t="s">
        <v>541</v>
      </c>
      <c r="B387" s="5" t="s">
        <v>71</v>
      </c>
      <c r="C387" s="6">
        <v>45996.694444444453</v>
      </c>
      <c r="D387" s="7">
        <v>3318</v>
      </c>
      <c r="E387" s="8">
        <v>423.82</v>
      </c>
      <c r="F387" s="5" t="s">
        <v>156</v>
      </c>
      <c r="G387" s="8">
        <v>0.15</v>
      </c>
      <c r="H387" s="9">
        <v>1406234.76</v>
      </c>
      <c r="I387" s="9">
        <v>21.0935214</v>
      </c>
    </row>
    <row r="388" spans="1:9" x14ac:dyDescent="0.25">
      <c r="A388" s="5" t="s">
        <v>542</v>
      </c>
      <c r="B388" s="5" t="s">
        <v>72</v>
      </c>
      <c r="C388" s="6">
        <v>45992.729166666657</v>
      </c>
      <c r="D388" s="7">
        <v>743</v>
      </c>
      <c r="E388" s="8">
        <v>244.38</v>
      </c>
      <c r="F388" s="5" t="s">
        <v>156</v>
      </c>
      <c r="G388" s="8">
        <v>0.15</v>
      </c>
      <c r="H388" s="9">
        <v>181574.34</v>
      </c>
      <c r="I388" s="9">
        <v>2.7236151</v>
      </c>
    </row>
    <row r="389" spans="1:9" x14ac:dyDescent="0.25">
      <c r="A389" s="5" t="s">
        <v>543</v>
      </c>
      <c r="B389" s="5" t="s">
        <v>72</v>
      </c>
      <c r="C389" s="6">
        <v>45992.732638888891</v>
      </c>
      <c r="D389" s="7">
        <v>676</v>
      </c>
      <c r="E389" s="8">
        <v>244.19</v>
      </c>
      <c r="F389" s="5" t="s">
        <v>159</v>
      </c>
      <c r="G389" s="8">
        <v>0.1</v>
      </c>
      <c r="H389" s="9">
        <v>165072.44</v>
      </c>
      <c r="I389" s="9">
        <v>1.6507244000000001</v>
      </c>
    </row>
    <row r="390" spans="1:9" x14ac:dyDescent="0.25">
      <c r="A390" s="5" t="s">
        <v>544</v>
      </c>
      <c r="B390" s="5" t="s">
        <v>72</v>
      </c>
      <c r="C390" s="6">
        <v>45992.739583333343</v>
      </c>
      <c r="D390" s="7">
        <v>5569</v>
      </c>
      <c r="E390" s="8">
        <v>243.81</v>
      </c>
      <c r="F390" s="5" t="s">
        <v>159</v>
      </c>
      <c r="G390" s="8">
        <v>0.1</v>
      </c>
      <c r="H390" s="9">
        <v>1357777.89</v>
      </c>
      <c r="I390" s="9">
        <v>13.5777789</v>
      </c>
    </row>
    <row r="391" spans="1:9" x14ac:dyDescent="0.25">
      <c r="A391" s="5" t="s">
        <v>545</v>
      </c>
      <c r="B391" s="5" t="s">
        <v>73</v>
      </c>
      <c r="C391" s="6">
        <v>45996.621527777781</v>
      </c>
      <c r="D391" s="7">
        <v>1175</v>
      </c>
      <c r="E391" s="8">
        <v>196.18</v>
      </c>
      <c r="F391" s="5" t="s">
        <v>156</v>
      </c>
      <c r="G391" s="8">
        <v>0.15</v>
      </c>
      <c r="H391" s="9">
        <v>230511.5</v>
      </c>
      <c r="I391" s="9">
        <v>3.4576725000000001</v>
      </c>
    </row>
    <row r="392" spans="1:9" x14ac:dyDescent="0.25">
      <c r="A392" s="5" t="s">
        <v>546</v>
      </c>
      <c r="B392" s="5" t="s">
        <v>73</v>
      </c>
      <c r="C392" s="6">
        <v>45996.628472222219</v>
      </c>
      <c r="D392" s="7">
        <v>3732</v>
      </c>
      <c r="E392" s="8">
        <v>195.49</v>
      </c>
      <c r="F392" s="5" t="s">
        <v>154</v>
      </c>
      <c r="G392" s="8">
        <v>0.05</v>
      </c>
      <c r="H392" s="9">
        <v>729568.68</v>
      </c>
      <c r="I392" s="9">
        <v>3.6478434000000002</v>
      </c>
    </row>
    <row r="393" spans="1:9" x14ac:dyDescent="0.25">
      <c r="A393" s="5" t="s">
        <v>547</v>
      </c>
      <c r="B393" s="5" t="s">
        <v>73</v>
      </c>
      <c r="C393" s="6">
        <v>45996.649305555547</v>
      </c>
      <c r="D393" s="7">
        <v>1929</v>
      </c>
      <c r="E393" s="8">
        <v>195.18</v>
      </c>
      <c r="F393" s="5" t="s">
        <v>154</v>
      </c>
      <c r="G393" s="8">
        <v>0.05</v>
      </c>
      <c r="H393" s="9">
        <v>376502.22</v>
      </c>
      <c r="I393" s="9">
        <v>1.8825111000000001</v>
      </c>
    </row>
    <row r="394" spans="1:9" x14ac:dyDescent="0.25">
      <c r="A394" s="5" t="s">
        <v>548</v>
      </c>
      <c r="B394" s="5" t="s">
        <v>74</v>
      </c>
      <c r="C394" s="6">
        <v>45995.725694444453</v>
      </c>
      <c r="D394" s="7">
        <v>964</v>
      </c>
      <c r="E394" s="8">
        <v>248.5</v>
      </c>
      <c r="F394" s="5" t="s">
        <v>154</v>
      </c>
      <c r="G394" s="8">
        <v>0.05</v>
      </c>
      <c r="H394" s="9">
        <v>239554</v>
      </c>
      <c r="I394" s="9">
        <v>1.19777</v>
      </c>
    </row>
    <row r="395" spans="1:9" x14ac:dyDescent="0.25">
      <c r="A395" s="5" t="s">
        <v>549</v>
      </c>
      <c r="B395" s="5" t="s">
        <v>74</v>
      </c>
      <c r="C395" s="6">
        <v>45995.732638888891</v>
      </c>
      <c r="D395" s="7">
        <v>3649</v>
      </c>
      <c r="E395" s="8">
        <v>248.69</v>
      </c>
      <c r="F395" s="5" t="s">
        <v>159</v>
      </c>
      <c r="G395" s="8">
        <v>0.1</v>
      </c>
      <c r="H395" s="9">
        <v>907469.80999999994</v>
      </c>
      <c r="I395" s="9">
        <v>9.0746980999999991</v>
      </c>
    </row>
    <row r="396" spans="1:9" x14ac:dyDescent="0.25">
      <c r="A396" s="5" t="s">
        <v>550</v>
      </c>
      <c r="B396" s="5" t="s">
        <v>74</v>
      </c>
      <c r="C396" s="6">
        <v>45995.739583333343</v>
      </c>
      <c r="D396" s="7">
        <v>956</v>
      </c>
      <c r="E396" s="8">
        <v>248.54</v>
      </c>
      <c r="F396" s="5" t="s">
        <v>156</v>
      </c>
      <c r="G396" s="8">
        <v>0.15</v>
      </c>
      <c r="H396" s="9">
        <v>237604.24</v>
      </c>
      <c r="I396" s="9">
        <v>3.5640635999999999</v>
      </c>
    </row>
    <row r="397" spans="1:9" x14ac:dyDescent="0.25">
      <c r="A397" s="5" t="s">
        <v>551</v>
      </c>
      <c r="B397" s="5" t="s">
        <v>74</v>
      </c>
      <c r="C397" s="6">
        <v>45995.743055555547</v>
      </c>
      <c r="D397" s="7">
        <v>4022</v>
      </c>
      <c r="E397" s="8">
        <v>248.32</v>
      </c>
      <c r="F397" s="5" t="s">
        <v>156</v>
      </c>
      <c r="G397" s="8">
        <v>0.15</v>
      </c>
      <c r="H397" s="9">
        <v>998743.03999999992</v>
      </c>
      <c r="I397" s="9">
        <v>14.9811456</v>
      </c>
    </row>
    <row r="398" spans="1:9" x14ac:dyDescent="0.25">
      <c r="A398" s="5" t="s">
        <v>552</v>
      </c>
      <c r="B398" s="5" t="s">
        <v>74</v>
      </c>
      <c r="C398" s="6">
        <v>45995.746527777781</v>
      </c>
      <c r="D398" s="7">
        <v>527</v>
      </c>
      <c r="E398" s="8">
        <v>248.61</v>
      </c>
      <c r="F398" s="5" t="s">
        <v>156</v>
      </c>
      <c r="G398" s="8">
        <v>0.15</v>
      </c>
      <c r="H398" s="9">
        <v>131017.47</v>
      </c>
      <c r="I398" s="9">
        <v>1.96526205</v>
      </c>
    </row>
    <row r="399" spans="1:9" x14ac:dyDescent="0.25">
      <c r="A399" s="5" t="s">
        <v>553</v>
      </c>
      <c r="B399" s="5" t="s">
        <v>75</v>
      </c>
      <c r="C399" s="6">
        <v>45996.75</v>
      </c>
      <c r="D399" s="7">
        <v>749</v>
      </c>
      <c r="E399" s="8">
        <v>247.69</v>
      </c>
      <c r="F399" s="5" t="s">
        <v>156</v>
      </c>
      <c r="G399" s="8">
        <v>0.15</v>
      </c>
      <c r="H399" s="9">
        <v>185519.81</v>
      </c>
      <c r="I399" s="9">
        <v>2.7827971499999999</v>
      </c>
    </row>
    <row r="400" spans="1:9" x14ac:dyDescent="0.25">
      <c r="A400" s="5" t="s">
        <v>554</v>
      </c>
      <c r="B400" s="5" t="s">
        <v>75</v>
      </c>
      <c r="C400" s="6">
        <v>45996.753472222219</v>
      </c>
      <c r="D400" s="7">
        <v>1466</v>
      </c>
      <c r="E400" s="8">
        <v>248.04</v>
      </c>
      <c r="F400" s="5" t="s">
        <v>154</v>
      </c>
      <c r="G400" s="8">
        <v>0.05</v>
      </c>
      <c r="H400" s="9">
        <v>363626.64</v>
      </c>
      <c r="I400" s="9">
        <v>1.8181331999999999</v>
      </c>
    </row>
    <row r="401" spans="1:9" x14ac:dyDescent="0.25">
      <c r="A401" s="5" t="s">
        <v>555</v>
      </c>
      <c r="B401" s="5" t="s">
        <v>75</v>
      </c>
      <c r="C401" s="6">
        <v>45996.756944444453</v>
      </c>
      <c r="D401" s="7">
        <v>1733</v>
      </c>
      <c r="E401" s="8">
        <v>248.27</v>
      </c>
      <c r="F401" s="5" t="s">
        <v>159</v>
      </c>
      <c r="G401" s="8">
        <v>0.1</v>
      </c>
      <c r="H401" s="9">
        <v>430251.91</v>
      </c>
      <c r="I401" s="9">
        <v>4.3025190999999996</v>
      </c>
    </row>
    <row r="402" spans="1:9" x14ac:dyDescent="0.25">
      <c r="A402" s="5" t="s">
        <v>556</v>
      </c>
      <c r="B402" s="5" t="s">
        <v>75</v>
      </c>
      <c r="C402" s="6">
        <v>45996.774305555547</v>
      </c>
      <c r="D402" s="7">
        <v>333</v>
      </c>
      <c r="E402" s="8">
        <v>248.1</v>
      </c>
      <c r="F402" s="5" t="s">
        <v>154</v>
      </c>
      <c r="G402" s="8">
        <v>0.05</v>
      </c>
      <c r="H402" s="9">
        <v>82617.3</v>
      </c>
      <c r="I402" s="9">
        <v>0.41308650000000008</v>
      </c>
    </row>
    <row r="403" spans="1:9" x14ac:dyDescent="0.25">
      <c r="A403" s="5" t="s">
        <v>557</v>
      </c>
      <c r="B403" s="5" t="s">
        <v>75</v>
      </c>
      <c r="C403" s="6">
        <v>45996.777777777781</v>
      </c>
      <c r="D403" s="7">
        <v>634</v>
      </c>
      <c r="E403" s="8">
        <v>247.88</v>
      </c>
      <c r="F403" s="5" t="s">
        <v>159</v>
      </c>
      <c r="G403" s="8">
        <v>0.1</v>
      </c>
      <c r="H403" s="9">
        <v>157155.92000000001</v>
      </c>
      <c r="I403" s="9">
        <v>1.5715592</v>
      </c>
    </row>
    <row r="404" spans="1:9" x14ac:dyDescent="0.25">
      <c r="A404" s="5" t="s">
        <v>558</v>
      </c>
      <c r="B404" s="5" t="s">
        <v>75</v>
      </c>
      <c r="C404" s="6">
        <v>45996.784722222219</v>
      </c>
      <c r="D404" s="7">
        <v>442</v>
      </c>
      <c r="E404" s="8">
        <v>247.56</v>
      </c>
      <c r="F404" s="5" t="s">
        <v>154</v>
      </c>
      <c r="G404" s="8">
        <v>0.05</v>
      </c>
      <c r="H404" s="9">
        <v>109421.52</v>
      </c>
      <c r="I404" s="9">
        <v>0.54710760000000014</v>
      </c>
    </row>
    <row r="405" spans="1:9" x14ac:dyDescent="0.25">
      <c r="A405" s="5" t="s">
        <v>559</v>
      </c>
      <c r="B405" s="5" t="s">
        <v>76</v>
      </c>
      <c r="C405" s="6">
        <v>45995.715277777781</v>
      </c>
      <c r="D405" s="7">
        <v>1134</v>
      </c>
      <c r="E405" s="8">
        <v>247.94</v>
      </c>
      <c r="F405" s="5" t="s">
        <v>156</v>
      </c>
      <c r="G405" s="8">
        <v>0.15</v>
      </c>
      <c r="H405" s="9">
        <v>281163.96000000002</v>
      </c>
      <c r="I405" s="9">
        <v>4.2174594000000001</v>
      </c>
    </row>
    <row r="406" spans="1:9" x14ac:dyDescent="0.25">
      <c r="A406" s="5" t="s">
        <v>560</v>
      </c>
      <c r="B406" s="5" t="s">
        <v>76</v>
      </c>
      <c r="C406" s="6">
        <v>45995.71875</v>
      </c>
      <c r="D406" s="7">
        <v>473</v>
      </c>
      <c r="E406" s="8">
        <v>247.94</v>
      </c>
      <c r="F406" s="5" t="s">
        <v>156</v>
      </c>
      <c r="G406" s="8">
        <v>0.15</v>
      </c>
      <c r="H406" s="9">
        <v>117275.62</v>
      </c>
      <c r="I406" s="9">
        <v>1.7591342999999999</v>
      </c>
    </row>
    <row r="407" spans="1:9" x14ac:dyDescent="0.25">
      <c r="A407" s="5" t="s">
        <v>561</v>
      </c>
      <c r="B407" s="5" t="s">
        <v>76</v>
      </c>
      <c r="C407" s="6">
        <v>45995.722222222219</v>
      </c>
      <c r="D407" s="7">
        <v>3263</v>
      </c>
      <c r="E407" s="8">
        <v>248.07</v>
      </c>
      <c r="F407" s="5" t="s">
        <v>156</v>
      </c>
      <c r="G407" s="8">
        <v>0.15</v>
      </c>
      <c r="H407" s="9">
        <v>809452.41</v>
      </c>
      <c r="I407" s="9">
        <v>12.14178615</v>
      </c>
    </row>
    <row r="408" spans="1:9" x14ac:dyDescent="0.25">
      <c r="A408" s="5" t="s">
        <v>562</v>
      </c>
      <c r="B408" s="5" t="s">
        <v>76</v>
      </c>
      <c r="C408" s="6">
        <v>45995.725694444453</v>
      </c>
      <c r="D408" s="7">
        <v>84</v>
      </c>
      <c r="E408" s="8">
        <v>248.33</v>
      </c>
      <c r="F408" s="5" t="s">
        <v>156</v>
      </c>
      <c r="G408" s="8">
        <v>0.15</v>
      </c>
      <c r="H408" s="9">
        <v>20859.72</v>
      </c>
      <c r="I408" s="9">
        <v>0.3128958</v>
      </c>
    </row>
    <row r="409" spans="1:9" x14ac:dyDescent="0.25">
      <c r="A409" s="5" t="s">
        <v>563</v>
      </c>
      <c r="B409" s="5" t="s">
        <v>76</v>
      </c>
      <c r="C409" s="6">
        <v>45995.729166666657</v>
      </c>
      <c r="D409" s="7">
        <v>539</v>
      </c>
      <c r="E409" s="8">
        <v>248.44</v>
      </c>
      <c r="F409" s="5" t="s">
        <v>156</v>
      </c>
      <c r="G409" s="8">
        <v>0.15</v>
      </c>
      <c r="H409" s="9">
        <v>133909.16</v>
      </c>
      <c r="I409" s="9">
        <v>2.0086374</v>
      </c>
    </row>
    <row r="410" spans="1:9" x14ac:dyDescent="0.25">
      <c r="A410" s="5" t="s">
        <v>564</v>
      </c>
      <c r="B410" s="5" t="s">
        <v>76</v>
      </c>
      <c r="C410" s="6">
        <v>45995.732638888891</v>
      </c>
      <c r="D410" s="7">
        <v>413</v>
      </c>
      <c r="E410" s="8">
        <v>248.49</v>
      </c>
      <c r="F410" s="5" t="s">
        <v>156</v>
      </c>
      <c r="G410" s="8">
        <v>0.15</v>
      </c>
      <c r="H410" s="9">
        <v>102626.37</v>
      </c>
      <c r="I410" s="9">
        <v>1.5393955500000001</v>
      </c>
    </row>
    <row r="411" spans="1:9" x14ac:dyDescent="0.25">
      <c r="A411" s="5" t="s">
        <v>565</v>
      </c>
      <c r="B411" s="5" t="s">
        <v>76</v>
      </c>
      <c r="C411" s="6">
        <v>45995.739583333343</v>
      </c>
      <c r="D411" s="7">
        <v>1551</v>
      </c>
      <c r="E411" s="8">
        <v>248.41</v>
      </c>
      <c r="F411" s="5" t="s">
        <v>156</v>
      </c>
      <c r="G411" s="8">
        <v>0.15</v>
      </c>
      <c r="H411" s="9">
        <v>385283.91</v>
      </c>
      <c r="I411" s="9">
        <v>5.7792586500000001</v>
      </c>
    </row>
    <row r="412" spans="1:9" x14ac:dyDescent="0.25">
      <c r="A412" s="5" t="s">
        <v>566</v>
      </c>
      <c r="B412" s="5" t="s">
        <v>76</v>
      </c>
      <c r="C412" s="6">
        <v>45995.743055555547</v>
      </c>
      <c r="D412" s="7">
        <v>1158</v>
      </c>
      <c r="E412" s="8">
        <v>248.14</v>
      </c>
      <c r="F412" s="5" t="s">
        <v>156</v>
      </c>
      <c r="G412" s="8">
        <v>0.15</v>
      </c>
      <c r="H412" s="9">
        <v>287346.12</v>
      </c>
      <c r="I412" s="9">
        <v>4.3101918000000001</v>
      </c>
    </row>
    <row r="413" spans="1:9" x14ac:dyDescent="0.25">
      <c r="A413" s="5" t="s">
        <v>567</v>
      </c>
      <c r="B413" s="5" t="s">
        <v>76</v>
      </c>
      <c r="C413" s="6">
        <v>45995.746527777781</v>
      </c>
      <c r="D413" s="7">
        <v>2752</v>
      </c>
      <c r="E413" s="8">
        <v>248.41</v>
      </c>
      <c r="F413" s="5" t="s">
        <v>154</v>
      </c>
      <c r="G413" s="8">
        <v>0.05</v>
      </c>
      <c r="H413" s="9">
        <v>683624.32</v>
      </c>
      <c r="I413" s="9">
        <v>3.4181216000000001</v>
      </c>
    </row>
    <row r="414" spans="1:9" x14ac:dyDescent="0.25">
      <c r="A414" s="5" t="s">
        <v>568</v>
      </c>
      <c r="B414" s="5" t="s">
        <v>76</v>
      </c>
      <c r="C414" s="6">
        <v>45995.75</v>
      </c>
      <c r="D414" s="7">
        <v>172</v>
      </c>
      <c r="E414" s="8">
        <v>248.38</v>
      </c>
      <c r="F414" s="5" t="s">
        <v>156</v>
      </c>
      <c r="G414" s="8">
        <v>0.15</v>
      </c>
      <c r="H414" s="9">
        <v>42721.36</v>
      </c>
      <c r="I414" s="9">
        <v>0.64082039999999996</v>
      </c>
    </row>
    <row r="415" spans="1:9" x14ac:dyDescent="0.25">
      <c r="A415" s="5" t="s">
        <v>569</v>
      </c>
      <c r="B415" s="5" t="s">
        <v>76</v>
      </c>
      <c r="C415" s="6">
        <v>45995.753472222219</v>
      </c>
      <c r="D415" s="7">
        <v>45</v>
      </c>
      <c r="E415" s="8">
        <v>248.09</v>
      </c>
      <c r="F415" s="5" t="s">
        <v>159</v>
      </c>
      <c r="G415" s="8">
        <v>0.1</v>
      </c>
      <c r="H415" s="9">
        <v>11164.05</v>
      </c>
      <c r="I415" s="9">
        <v>0.1116405</v>
      </c>
    </row>
    <row r="416" spans="1:9" x14ac:dyDescent="0.25">
      <c r="A416" s="5" t="s">
        <v>570</v>
      </c>
      <c r="B416" s="5" t="s">
        <v>76</v>
      </c>
      <c r="C416" s="6">
        <v>45995.756944444453</v>
      </c>
      <c r="D416" s="7">
        <v>886</v>
      </c>
      <c r="E416" s="8">
        <v>248.25</v>
      </c>
      <c r="F416" s="5" t="s">
        <v>156</v>
      </c>
      <c r="G416" s="8">
        <v>0.15</v>
      </c>
      <c r="H416" s="9">
        <v>219949.5</v>
      </c>
      <c r="I416" s="9">
        <v>3.2992425000000001</v>
      </c>
    </row>
    <row r="417" spans="1:9" x14ac:dyDescent="0.25">
      <c r="A417" s="5" t="s">
        <v>571</v>
      </c>
      <c r="B417" s="5" t="s">
        <v>76</v>
      </c>
      <c r="C417" s="6">
        <v>45995.760416666657</v>
      </c>
      <c r="D417" s="7">
        <v>2508</v>
      </c>
      <c r="E417" s="8">
        <v>248.28</v>
      </c>
      <c r="F417" s="5" t="s">
        <v>159</v>
      </c>
      <c r="G417" s="8">
        <v>0.1</v>
      </c>
      <c r="H417" s="9">
        <v>622686.24</v>
      </c>
      <c r="I417" s="9">
        <v>6.2268623999999999</v>
      </c>
    </row>
    <row r="418" spans="1:9" x14ac:dyDescent="0.25">
      <c r="A418" s="5" t="s">
        <v>572</v>
      </c>
      <c r="B418" s="5" t="s">
        <v>77</v>
      </c>
      <c r="C418" s="6">
        <v>45995.631944444453</v>
      </c>
      <c r="D418" s="7">
        <v>124</v>
      </c>
      <c r="E418" s="8">
        <v>421.76</v>
      </c>
      <c r="F418" s="5" t="s">
        <v>154</v>
      </c>
      <c r="G418" s="8">
        <v>0.05</v>
      </c>
      <c r="H418" s="9">
        <v>52298.239999999998</v>
      </c>
      <c r="I418" s="9">
        <v>0.26149119999999998</v>
      </c>
    </row>
    <row r="419" spans="1:9" x14ac:dyDescent="0.25">
      <c r="A419" s="5" t="s">
        <v>573</v>
      </c>
      <c r="B419" s="5" t="s">
        <v>77</v>
      </c>
      <c r="C419" s="6">
        <v>45995.635416666657</v>
      </c>
      <c r="D419" s="7">
        <v>244</v>
      </c>
      <c r="E419" s="8">
        <v>421.6</v>
      </c>
      <c r="F419" s="5" t="s">
        <v>156</v>
      </c>
      <c r="G419" s="8">
        <v>0.15</v>
      </c>
      <c r="H419" s="9">
        <v>102870.39999999999</v>
      </c>
      <c r="I419" s="9">
        <v>1.543056</v>
      </c>
    </row>
    <row r="420" spans="1:9" x14ac:dyDescent="0.25">
      <c r="A420" s="5" t="s">
        <v>574</v>
      </c>
      <c r="B420" s="5" t="s">
        <v>77</v>
      </c>
      <c r="C420" s="6">
        <v>45995.638888888891</v>
      </c>
      <c r="D420" s="7">
        <v>210</v>
      </c>
      <c r="E420" s="8">
        <v>421.84</v>
      </c>
      <c r="F420" s="5" t="s">
        <v>154</v>
      </c>
      <c r="G420" s="8">
        <v>0.05</v>
      </c>
      <c r="H420" s="9">
        <v>88586.4</v>
      </c>
      <c r="I420" s="9">
        <v>0.44293199999999999</v>
      </c>
    </row>
    <row r="421" spans="1:9" x14ac:dyDescent="0.25">
      <c r="A421" s="5" t="s">
        <v>575</v>
      </c>
      <c r="B421" s="5" t="s">
        <v>77</v>
      </c>
      <c r="C421" s="6">
        <v>45995.649305555547</v>
      </c>
      <c r="D421" s="7">
        <v>78</v>
      </c>
      <c r="E421" s="8">
        <v>421.75</v>
      </c>
      <c r="F421" s="5" t="s">
        <v>159</v>
      </c>
      <c r="G421" s="8">
        <v>0.1</v>
      </c>
      <c r="H421" s="9">
        <v>32896.5</v>
      </c>
      <c r="I421" s="9">
        <v>0.32896500000000001</v>
      </c>
    </row>
    <row r="422" spans="1:9" x14ac:dyDescent="0.25">
      <c r="A422" s="5" t="s">
        <v>576</v>
      </c>
      <c r="B422" s="5" t="s">
        <v>77</v>
      </c>
      <c r="C422" s="6">
        <v>45995.659722222219</v>
      </c>
      <c r="D422" s="7">
        <v>250</v>
      </c>
      <c r="E422" s="8">
        <v>422.61</v>
      </c>
      <c r="F422" s="5" t="s">
        <v>159</v>
      </c>
      <c r="G422" s="8">
        <v>0.1</v>
      </c>
      <c r="H422" s="9">
        <v>105652.5</v>
      </c>
      <c r="I422" s="9">
        <v>1.0565249999999999</v>
      </c>
    </row>
    <row r="423" spans="1:9" x14ac:dyDescent="0.25">
      <c r="A423" s="5" t="s">
        <v>577</v>
      </c>
      <c r="B423" s="5" t="s">
        <v>77</v>
      </c>
      <c r="C423" s="6">
        <v>45995.663194444453</v>
      </c>
      <c r="D423" s="7">
        <v>414</v>
      </c>
      <c r="E423" s="8">
        <v>422.72</v>
      </c>
      <c r="F423" s="5" t="s">
        <v>154</v>
      </c>
      <c r="G423" s="8">
        <v>0.05</v>
      </c>
      <c r="H423" s="9">
        <v>175006.07999999999</v>
      </c>
      <c r="I423" s="9">
        <v>0.87503040000000021</v>
      </c>
    </row>
    <row r="424" spans="1:9" x14ac:dyDescent="0.25">
      <c r="A424" s="5" t="s">
        <v>578</v>
      </c>
      <c r="B424" s="5" t="s">
        <v>77</v>
      </c>
      <c r="C424" s="6">
        <v>45995.666666666657</v>
      </c>
      <c r="D424" s="7">
        <v>91</v>
      </c>
      <c r="E424" s="8">
        <v>422.97</v>
      </c>
      <c r="F424" s="5" t="s">
        <v>156</v>
      </c>
      <c r="G424" s="8">
        <v>0.15</v>
      </c>
      <c r="H424" s="9">
        <v>38490.269999999997</v>
      </c>
      <c r="I424" s="9">
        <v>0.57735404999999995</v>
      </c>
    </row>
    <row r="425" spans="1:9" x14ac:dyDescent="0.25">
      <c r="A425" s="5" t="s">
        <v>579</v>
      </c>
      <c r="B425" s="5" t="s">
        <v>77</v>
      </c>
      <c r="C425" s="6">
        <v>45995.670138888891</v>
      </c>
      <c r="D425" s="7">
        <v>533</v>
      </c>
      <c r="E425" s="8">
        <v>423</v>
      </c>
      <c r="F425" s="5" t="s">
        <v>154</v>
      </c>
      <c r="G425" s="8">
        <v>0.05</v>
      </c>
      <c r="H425" s="9">
        <v>225459</v>
      </c>
      <c r="I425" s="9">
        <v>1.1272949999999999</v>
      </c>
    </row>
    <row r="426" spans="1:9" x14ac:dyDescent="0.25">
      <c r="A426" s="5" t="s">
        <v>580</v>
      </c>
      <c r="B426" s="5" t="s">
        <v>77</v>
      </c>
      <c r="C426" s="6">
        <v>45995.677083333343</v>
      </c>
      <c r="D426" s="7">
        <v>161</v>
      </c>
      <c r="E426" s="8">
        <v>423.02</v>
      </c>
      <c r="F426" s="5" t="s">
        <v>159</v>
      </c>
      <c r="G426" s="8">
        <v>0.1</v>
      </c>
      <c r="H426" s="9">
        <v>68106.22</v>
      </c>
      <c r="I426" s="9">
        <v>0.68106220000000006</v>
      </c>
    </row>
    <row r="427" spans="1:9" x14ac:dyDescent="0.25">
      <c r="A427" s="5" t="s">
        <v>581</v>
      </c>
      <c r="B427" s="5" t="s">
        <v>77</v>
      </c>
      <c r="C427" s="6">
        <v>45995.680555555547</v>
      </c>
      <c r="D427" s="7">
        <v>300</v>
      </c>
      <c r="E427" s="8">
        <v>423.34</v>
      </c>
      <c r="F427" s="5" t="s">
        <v>156</v>
      </c>
      <c r="G427" s="8">
        <v>0.15</v>
      </c>
      <c r="H427" s="9">
        <v>127002</v>
      </c>
      <c r="I427" s="9">
        <v>1.90503</v>
      </c>
    </row>
    <row r="428" spans="1:9" x14ac:dyDescent="0.25">
      <c r="A428" s="5" t="s">
        <v>582</v>
      </c>
      <c r="B428" s="5" t="s">
        <v>77</v>
      </c>
      <c r="C428" s="6">
        <v>45995.6875</v>
      </c>
      <c r="D428" s="7">
        <v>1249</v>
      </c>
      <c r="E428" s="8">
        <v>423.64</v>
      </c>
      <c r="F428" s="5" t="s">
        <v>154</v>
      </c>
      <c r="G428" s="8">
        <v>0.05</v>
      </c>
      <c r="H428" s="9">
        <v>529126.36</v>
      </c>
      <c r="I428" s="9">
        <v>2.6456317999999999</v>
      </c>
    </row>
    <row r="429" spans="1:9" x14ac:dyDescent="0.25">
      <c r="A429" s="5" t="s">
        <v>583</v>
      </c>
      <c r="B429" s="5" t="s">
        <v>77</v>
      </c>
      <c r="C429" s="6">
        <v>45995.694444444453</v>
      </c>
      <c r="D429" s="7">
        <v>329</v>
      </c>
      <c r="E429" s="8">
        <v>423.29</v>
      </c>
      <c r="F429" s="5" t="s">
        <v>156</v>
      </c>
      <c r="G429" s="8">
        <v>0.15</v>
      </c>
      <c r="H429" s="9">
        <v>139262.41</v>
      </c>
      <c r="I429" s="9">
        <v>2.0889361499999999</v>
      </c>
    </row>
    <row r="430" spans="1:9" x14ac:dyDescent="0.25">
      <c r="A430" s="5" t="s">
        <v>584</v>
      </c>
      <c r="B430" s="5" t="s">
        <v>77</v>
      </c>
      <c r="C430" s="6">
        <v>45995.697916666657</v>
      </c>
      <c r="D430" s="7">
        <v>446</v>
      </c>
      <c r="E430" s="8">
        <v>424.25</v>
      </c>
      <c r="F430" s="5" t="s">
        <v>159</v>
      </c>
      <c r="G430" s="8">
        <v>0.1</v>
      </c>
      <c r="H430" s="9">
        <v>189215.5</v>
      </c>
      <c r="I430" s="9">
        <v>1.892155</v>
      </c>
    </row>
    <row r="431" spans="1:9" x14ac:dyDescent="0.25">
      <c r="A431" s="5" t="s">
        <v>585</v>
      </c>
      <c r="B431" s="5" t="s">
        <v>78</v>
      </c>
      <c r="C431" s="6">
        <v>45995.618055555547</v>
      </c>
      <c r="D431" s="7">
        <v>2202</v>
      </c>
      <c r="E431" s="8">
        <v>422.26</v>
      </c>
      <c r="F431" s="5" t="s">
        <v>156</v>
      </c>
      <c r="G431" s="8">
        <v>0.15</v>
      </c>
      <c r="H431" s="9">
        <v>929816.52</v>
      </c>
      <c r="I431" s="9">
        <v>13.9472478</v>
      </c>
    </row>
    <row r="432" spans="1:9" x14ac:dyDescent="0.25">
      <c r="A432" s="5" t="s">
        <v>586</v>
      </c>
      <c r="B432" s="5" t="s">
        <v>78</v>
      </c>
      <c r="C432" s="6">
        <v>45995.621527777781</v>
      </c>
      <c r="D432" s="7">
        <v>986</v>
      </c>
      <c r="E432" s="8">
        <v>422.21</v>
      </c>
      <c r="F432" s="5" t="s">
        <v>156</v>
      </c>
      <c r="G432" s="8">
        <v>0.15</v>
      </c>
      <c r="H432" s="9">
        <v>416299.06</v>
      </c>
      <c r="I432" s="9">
        <v>6.2444858999999999</v>
      </c>
    </row>
    <row r="433" spans="1:9" x14ac:dyDescent="0.25">
      <c r="A433" s="5" t="s">
        <v>587</v>
      </c>
      <c r="B433" s="5" t="s">
        <v>78</v>
      </c>
      <c r="C433" s="6">
        <v>45995.625</v>
      </c>
      <c r="D433" s="7">
        <v>2967</v>
      </c>
      <c r="E433" s="8">
        <v>422.59</v>
      </c>
      <c r="F433" s="5" t="s">
        <v>154</v>
      </c>
      <c r="G433" s="8">
        <v>0.05</v>
      </c>
      <c r="H433" s="9">
        <v>1253824.53</v>
      </c>
      <c r="I433" s="9">
        <v>6.2691226500000008</v>
      </c>
    </row>
    <row r="434" spans="1:9" x14ac:dyDescent="0.25">
      <c r="A434" s="5" t="s">
        <v>588</v>
      </c>
      <c r="B434" s="5" t="s">
        <v>78</v>
      </c>
      <c r="C434" s="6">
        <v>45995.628472222219</v>
      </c>
      <c r="D434" s="7">
        <v>208</v>
      </c>
      <c r="E434" s="8">
        <v>422.29</v>
      </c>
      <c r="F434" s="5" t="s">
        <v>154</v>
      </c>
      <c r="G434" s="8">
        <v>0.05</v>
      </c>
      <c r="H434" s="9">
        <v>87836.32</v>
      </c>
      <c r="I434" s="9">
        <v>0.43918160000000012</v>
      </c>
    </row>
    <row r="435" spans="1:9" x14ac:dyDescent="0.25">
      <c r="A435" s="5" t="s">
        <v>589</v>
      </c>
      <c r="B435" s="5" t="s">
        <v>78</v>
      </c>
      <c r="C435" s="6">
        <v>45995.631944444453</v>
      </c>
      <c r="D435" s="7">
        <v>727</v>
      </c>
      <c r="E435" s="8">
        <v>421.97</v>
      </c>
      <c r="F435" s="5" t="s">
        <v>156</v>
      </c>
      <c r="G435" s="8">
        <v>0.15</v>
      </c>
      <c r="H435" s="9">
        <v>306772.19</v>
      </c>
      <c r="I435" s="9">
        <v>4.6015828499999998</v>
      </c>
    </row>
    <row r="436" spans="1:9" x14ac:dyDescent="0.25">
      <c r="A436" s="5" t="s">
        <v>590</v>
      </c>
      <c r="B436" s="5" t="s">
        <v>78</v>
      </c>
      <c r="C436" s="6">
        <v>45995.635416666657</v>
      </c>
      <c r="D436" s="7">
        <v>742</v>
      </c>
      <c r="E436" s="8">
        <v>422.2</v>
      </c>
      <c r="F436" s="5" t="s">
        <v>156</v>
      </c>
      <c r="G436" s="8">
        <v>0.15</v>
      </c>
      <c r="H436" s="9">
        <v>313272.40000000002</v>
      </c>
      <c r="I436" s="9">
        <v>4.6990859999999994</v>
      </c>
    </row>
    <row r="437" spans="1:9" x14ac:dyDescent="0.25">
      <c r="A437" s="5" t="s">
        <v>591</v>
      </c>
      <c r="B437" s="5" t="s">
        <v>78</v>
      </c>
      <c r="C437" s="6">
        <v>45995.638888888891</v>
      </c>
      <c r="D437" s="7">
        <v>206</v>
      </c>
      <c r="E437" s="8">
        <v>422.1</v>
      </c>
      <c r="F437" s="5" t="s">
        <v>156</v>
      </c>
      <c r="G437" s="8">
        <v>0.15</v>
      </c>
      <c r="H437" s="9">
        <v>86952.6</v>
      </c>
      <c r="I437" s="9">
        <v>1.304289</v>
      </c>
    </row>
    <row r="438" spans="1:9" x14ac:dyDescent="0.25">
      <c r="A438" s="5" t="s">
        <v>592</v>
      </c>
      <c r="B438" s="5" t="s">
        <v>78</v>
      </c>
      <c r="C438" s="6">
        <v>45995.642361111109</v>
      </c>
      <c r="D438" s="7">
        <v>790</v>
      </c>
      <c r="E438" s="8">
        <v>421.61</v>
      </c>
      <c r="F438" s="5" t="s">
        <v>156</v>
      </c>
      <c r="G438" s="8">
        <v>0.15</v>
      </c>
      <c r="H438" s="9">
        <v>333071.90000000002</v>
      </c>
      <c r="I438" s="9">
        <v>4.9960785000000003</v>
      </c>
    </row>
    <row r="439" spans="1:9" x14ac:dyDescent="0.25">
      <c r="A439" s="5" t="s">
        <v>593</v>
      </c>
      <c r="B439" s="5" t="s">
        <v>78</v>
      </c>
      <c r="C439" s="6">
        <v>45995.645833333343</v>
      </c>
      <c r="D439" s="7">
        <v>982</v>
      </c>
      <c r="E439" s="8">
        <v>421.65</v>
      </c>
      <c r="F439" s="5" t="s">
        <v>156</v>
      </c>
      <c r="G439" s="8">
        <v>0.15</v>
      </c>
      <c r="H439" s="9">
        <v>414060.3</v>
      </c>
      <c r="I439" s="9">
        <v>6.2109044999999998</v>
      </c>
    </row>
    <row r="440" spans="1:9" x14ac:dyDescent="0.25">
      <c r="A440" s="5" t="s">
        <v>594</v>
      </c>
      <c r="B440" s="5" t="s">
        <v>78</v>
      </c>
      <c r="C440" s="6">
        <v>45995.649305555547</v>
      </c>
      <c r="D440" s="7">
        <v>353</v>
      </c>
      <c r="E440" s="8">
        <v>422.17</v>
      </c>
      <c r="F440" s="5" t="s">
        <v>159</v>
      </c>
      <c r="G440" s="8">
        <v>0.1</v>
      </c>
      <c r="H440" s="9">
        <v>149026.01</v>
      </c>
      <c r="I440" s="9">
        <v>1.4902601</v>
      </c>
    </row>
    <row r="441" spans="1:9" x14ac:dyDescent="0.25">
      <c r="A441" s="5" t="s">
        <v>595</v>
      </c>
      <c r="B441" s="5" t="s">
        <v>78</v>
      </c>
      <c r="C441" s="6">
        <v>45995.652777777781</v>
      </c>
      <c r="D441" s="7">
        <v>4027</v>
      </c>
      <c r="E441" s="8">
        <v>422.87</v>
      </c>
      <c r="F441" s="5" t="s">
        <v>156</v>
      </c>
      <c r="G441" s="8">
        <v>0.15</v>
      </c>
      <c r="H441" s="9">
        <v>1702897.49</v>
      </c>
      <c r="I441" s="9">
        <v>25.543462349999999</v>
      </c>
    </row>
    <row r="442" spans="1:9" x14ac:dyDescent="0.25">
      <c r="A442" s="5" t="s">
        <v>596</v>
      </c>
      <c r="B442" s="5" t="s">
        <v>79</v>
      </c>
      <c r="C442" s="6">
        <v>45994.635416666657</v>
      </c>
      <c r="D442" s="7">
        <v>335</v>
      </c>
      <c r="E442" s="8">
        <v>422.43</v>
      </c>
      <c r="F442" s="5" t="s">
        <v>159</v>
      </c>
      <c r="G442" s="8">
        <v>0.1</v>
      </c>
      <c r="H442" s="9">
        <v>141514.04999999999</v>
      </c>
      <c r="I442" s="9">
        <v>1.4151404999999999</v>
      </c>
    </row>
    <row r="443" spans="1:9" x14ac:dyDescent="0.25">
      <c r="A443" s="5" t="s">
        <v>597</v>
      </c>
      <c r="B443" s="5" t="s">
        <v>79</v>
      </c>
      <c r="C443" s="6">
        <v>45994.638888888891</v>
      </c>
      <c r="D443" s="7">
        <v>421</v>
      </c>
      <c r="E443" s="8">
        <v>422.09</v>
      </c>
      <c r="F443" s="5" t="s">
        <v>156</v>
      </c>
      <c r="G443" s="8">
        <v>0.15</v>
      </c>
      <c r="H443" s="9">
        <v>177699.89</v>
      </c>
      <c r="I443" s="9">
        <v>2.66549835</v>
      </c>
    </row>
    <row r="444" spans="1:9" x14ac:dyDescent="0.25">
      <c r="A444" s="5" t="s">
        <v>598</v>
      </c>
      <c r="B444" s="5" t="s">
        <v>79</v>
      </c>
      <c r="C444" s="6">
        <v>45994.642361111109</v>
      </c>
      <c r="D444" s="7">
        <v>2786</v>
      </c>
      <c r="E444" s="8">
        <v>423.14</v>
      </c>
      <c r="F444" s="5" t="s">
        <v>156</v>
      </c>
      <c r="G444" s="8">
        <v>0.15</v>
      </c>
      <c r="H444" s="9">
        <v>1178868.04</v>
      </c>
      <c r="I444" s="9">
        <v>17.683020599999999</v>
      </c>
    </row>
    <row r="445" spans="1:9" x14ac:dyDescent="0.25">
      <c r="A445" s="5" t="s">
        <v>599</v>
      </c>
      <c r="B445" s="5" t="s">
        <v>79</v>
      </c>
      <c r="C445" s="6">
        <v>45994.645833333343</v>
      </c>
      <c r="D445" s="7">
        <v>58</v>
      </c>
      <c r="E445" s="8">
        <v>423.1</v>
      </c>
      <c r="F445" s="5" t="s">
        <v>159</v>
      </c>
      <c r="G445" s="8">
        <v>0.1</v>
      </c>
      <c r="H445" s="9">
        <v>24539.8</v>
      </c>
      <c r="I445" s="9">
        <v>0.24539800000000009</v>
      </c>
    </row>
    <row r="446" spans="1:9" x14ac:dyDescent="0.25">
      <c r="A446" s="5" t="s">
        <v>600</v>
      </c>
      <c r="B446" s="5" t="s">
        <v>79</v>
      </c>
      <c r="C446" s="6">
        <v>45994.649305555547</v>
      </c>
      <c r="D446" s="7">
        <v>1210</v>
      </c>
      <c r="E446" s="8">
        <v>423</v>
      </c>
      <c r="F446" s="5" t="s">
        <v>159</v>
      </c>
      <c r="G446" s="8">
        <v>0.1</v>
      </c>
      <c r="H446" s="9">
        <v>511830</v>
      </c>
      <c r="I446" s="9">
        <v>5.1182999999999996</v>
      </c>
    </row>
    <row r="447" spans="1:9" x14ac:dyDescent="0.25">
      <c r="A447" s="5" t="s">
        <v>601</v>
      </c>
      <c r="B447" s="5" t="s">
        <v>79</v>
      </c>
      <c r="C447" s="6">
        <v>45994.65625</v>
      </c>
      <c r="D447" s="7">
        <v>141</v>
      </c>
      <c r="E447" s="8">
        <v>423.6</v>
      </c>
      <c r="F447" s="5" t="s">
        <v>156</v>
      </c>
      <c r="G447" s="8">
        <v>0.15</v>
      </c>
      <c r="H447" s="9">
        <v>59727.600000000013</v>
      </c>
      <c r="I447" s="9">
        <v>0.8959140000000001</v>
      </c>
    </row>
    <row r="448" spans="1:9" x14ac:dyDescent="0.25">
      <c r="A448" s="5" t="s">
        <v>602</v>
      </c>
      <c r="B448" s="5" t="s">
        <v>79</v>
      </c>
      <c r="C448" s="6">
        <v>45994.659722222219</v>
      </c>
      <c r="D448" s="7">
        <v>1967</v>
      </c>
      <c r="E448" s="8">
        <v>423.96</v>
      </c>
      <c r="F448" s="5" t="s">
        <v>156</v>
      </c>
      <c r="G448" s="8">
        <v>0.15</v>
      </c>
      <c r="H448" s="9">
        <v>833929.32</v>
      </c>
      <c r="I448" s="9">
        <v>12.5089398</v>
      </c>
    </row>
    <row r="449" spans="1:9" x14ac:dyDescent="0.25">
      <c r="A449" s="5" t="s">
        <v>603</v>
      </c>
      <c r="B449" s="5" t="s">
        <v>79</v>
      </c>
      <c r="C449" s="6">
        <v>45994.663194444453</v>
      </c>
      <c r="D449" s="7">
        <v>1003</v>
      </c>
      <c r="E449" s="8">
        <v>423.29</v>
      </c>
      <c r="F449" s="5" t="s">
        <v>156</v>
      </c>
      <c r="G449" s="8">
        <v>0.15</v>
      </c>
      <c r="H449" s="9">
        <v>424559.87</v>
      </c>
      <c r="I449" s="9">
        <v>6.3683980499999997</v>
      </c>
    </row>
    <row r="450" spans="1:9" x14ac:dyDescent="0.25">
      <c r="A450" s="5" t="s">
        <v>604</v>
      </c>
      <c r="B450" s="5" t="s">
        <v>79</v>
      </c>
      <c r="C450" s="6">
        <v>45994.666666666657</v>
      </c>
      <c r="D450" s="7">
        <v>388</v>
      </c>
      <c r="E450" s="8">
        <v>423.34</v>
      </c>
      <c r="F450" s="5" t="s">
        <v>156</v>
      </c>
      <c r="G450" s="8">
        <v>0.15</v>
      </c>
      <c r="H450" s="9">
        <v>164255.92000000001</v>
      </c>
      <c r="I450" s="9">
        <v>2.4638388</v>
      </c>
    </row>
    <row r="451" spans="1:9" x14ac:dyDescent="0.25">
      <c r="A451" s="5" t="s">
        <v>605</v>
      </c>
      <c r="B451" s="5" t="s">
        <v>79</v>
      </c>
      <c r="C451" s="6">
        <v>45994.670138888891</v>
      </c>
      <c r="D451" s="7">
        <v>1542</v>
      </c>
      <c r="E451" s="8">
        <v>423.39</v>
      </c>
      <c r="F451" s="5" t="s">
        <v>156</v>
      </c>
      <c r="G451" s="8">
        <v>0.15</v>
      </c>
      <c r="H451" s="9">
        <v>652867.38</v>
      </c>
      <c r="I451" s="9">
        <v>9.7930107</v>
      </c>
    </row>
    <row r="452" spans="1:9" x14ac:dyDescent="0.25">
      <c r="A452" s="5" t="s">
        <v>606</v>
      </c>
      <c r="B452" s="5" t="s">
        <v>79</v>
      </c>
      <c r="C452" s="6">
        <v>45994.673611111109</v>
      </c>
      <c r="D452" s="7">
        <v>251</v>
      </c>
      <c r="E452" s="8">
        <v>423.56</v>
      </c>
      <c r="F452" s="5" t="s">
        <v>156</v>
      </c>
      <c r="G452" s="8">
        <v>0.15</v>
      </c>
      <c r="H452" s="9">
        <v>106313.56</v>
      </c>
      <c r="I452" s="9">
        <v>1.5947034</v>
      </c>
    </row>
    <row r="453" spans="1:9" x14ac:dyDescent="0.25">
      <c r="A453" s="5" t="s">
        <v>607</v>
      </c>
      <c r="B453" s="5" t="s">
        <v>79</v>
      </c>
      <c r="C453" s="6">
        <v>45994.677083333343</v>
      </c>
      <c r="D453" s="7">
        <v>333</v>
      </c>
      <c r="E453" s="8">
        <v>423.04</v>
      </c>
      <c r="F453" s="5" t="s">
        <v>156</v>
      </c>
      <c r="G453" s="8">
        <v>0.15</v>
      </c>
      <c r="H453" s="9">
        <v>140872.32000000001</v>
      </c>
      <c r="I453" s="9">
        <v>2.1130848000000002</v>
      </c>
    </row>
    <row r="454" spans="1:9" x14ac:dyDescent="0.25">
      <c r="A454" s="5" t="s">
        <v>608</v>
      </c>
      <c r="B454" s="5" t="s">
        <v>79</v>
      </c>
      <c r="C454" s="6">
        <v>45994.680555555547</v>
      </c>
      <c r="D454" s="7">
        <v>1098</v>
      </c>
      <c r="E454" s="8">
        <v>423.04</v>
      </c>
      <c r="F454" s="5" t="s">
        <v>156</v>
      </c>
      <c r="G454" s="8">
        <v>0.15</v>
      </c>
      <c r="H454" s="9">
        <v>464497.91999999998</v>
      </c>
      <c r="I454" s="9">
        <v>6.9674688000000007</v>
      </c>
    </row>
    <row r="455" spans="1:9" x14ac:dyDescent="0.25">
      <c r="A455" s="5" t="s">
        <v>609</v>
      </c>
      <c r="B455" s="5" t="s">
        <v>80</v>
      </c>
      <c r="C455" s="6">
        <v>45995.711805555547</v>
      </c>
      <c r="D455" s="7">
        <v>57</v>
      </c>
      <c r="E455" s="8">
        <v>197.67</v>
      </c>
      <c r="F455" s="5" t="s">
        <v>156</v>
      </c>
      <c r="G455" s="8">
        <v>0.15</v>
      </c>
      <c r="H455" s="9">
        <v>11267.19</v>
      </c>
      <c r="I455" s="9">
        <v>0.16900784999999999</v>
      </c>
    </row>
    <row r="456" spans="1:9" x14ac:dyDescent="0.25">
      <c r="A456" s="5" t="s">
        <v>610</v>
      </c>
      <c r="B456" s="5" t="s">
        <v>80</v>
      </c>
      <c r="C456" s="6">
        <v>45995.715277777781</v>
      </c>
      <c r="D456" s="7">
        <v>354</v>
      </c>
      <c r="E456" s="8">
        <v>197.96</v>
      </c>
      <c r="F456" s="5" t="s">
        <v>156</v>
      </c>
      <c r="G456" s="8">
        <v>0.15</v>
      </c>
      <c r="H456" s="9">
        <v>70077.84</v>
      </c>
      <c r="I456" s="9">
        <v>1.0511676000000001</v>
      </c>
    </row>
    <row r="457" spans="1:9" x14ac:dyDescent="0.25">
      <c r="A457" s="5" t="s">
        <v>611</v>
      </c>
      <c r="B457" s="5" t="s">
        <v>80</v>
      </c>
      <c r="C457" s="6">
        <v>45995.71875</v>
      </c>
      <c r="D457" s="7">
        <v>531</v>
      </c>
      <c r="E457" s="8">
        <v>197.94</v>
      </c>
      <c r="F457" s="5" t="s">
        <v>156</v>
      </c>
      <c r="G457" s="8">
        <v>0.15</v>
      </c>
      <c r="H457" s="9">
        <v>105106.14</v>
      </c>
      <c r="I457" s="9">
        <v>1.5765921000000001</v>
      </c>
    </row>
    <row r="458" spans="1:9" x14ac:dyDescent="0.25">
      <c r="A458" s="5" t="s">
        <v>612</v>
      </c>
      <c r="B458" s="5" t="s">
        <v>80</v>
      </c>
      <c r="C458" s="6">
        <v>45995.722222222219</v>
      </c>
      <c r="D458" s="7">
        <v>220</v>
      </c>
      <c r="E458" s="8">
        <v>198.15</v>
      </c>
      <c r="F458" s="5" t="s">
        <v>156</v>
      </c>
      <c r="G458" s="8">
        <v>0.15</v>
      </c>
      <c r="H458" s="9">
        <v>43593</v>
      </c>
      <c r="I458" s="9">
        <v>0.653895</v>
      </c>
    </row>
    <row r="459" spans="1:9" x14ac:dyDescent="0.25">
      <c r="A459" s="5" t="s">
        <v>613</v>
      </c>
      <c r="B459" s="5" t="s">
        <v>80</v>
      </c>
      <c r="C459" s="6">
        <v>45995.725694444453</v>
      </c>
      <c r="D459" s="7">
        <v>463</v>
      </c>
      <c r="E459" s="8">
        <v>198</v>
      </c>
      <c r="F459" s="5" t="s">
        <v>156</v>
      </c>
      <c r="G459" s="8">
        <v>0.15</v>
      </c>
      <c r="H459" s="9">
        <v>91674</v>
      </c>
      <c r="I459" s="9">
        <v>1.3751100000000001</v>
      </c>
    </row>
    <row r="460" spans="1:9" x14ac:dyDescent="0.25">
      <c r="A460" s="5" t="s">
        <v>614</v>
      </c>
      <c r="B460" s="5" t="s">
        <v>80</v>
      </c>
      <c r="C460" s="6">
        <v>45995.729166666657</v>
      </c>
      <c r="D460" s="7">
        <v>1359</v>
      </c>
      <c r="E460" s="8">
        <v>198.3</v>
      </c>
      <c r="F460" s="5" t="s">
        <v>156</v>
      </c>
      <c r="G460" s="8">
        <v>0.15</v>
      </c>
      <c r="H460" s="9">
        <v>269489.7</v>
      </c>
      <c r="I460" s="9">
        <v>4.0423455000000006</v>
      </c>
    </row>
    <row r="461" spans="1:9" x14ac:dyDescent="0.25">
      <c r="A461" s="5" t="s">
        <v>615</v>
      </c>
      <c r="B461" s="5" t="s">
        <v>80</v>
      </c>
      <c r="C461" s="6">
        <v>45995.736111111109</v>
      </c>
      <c r="D461" s="7">
        <v>1012</v>
      </c>
      <c r="E461" s="8">
        <v>198.01</v>
      </c>
      <c r="F461" s="5" t="s">
        <v>156</v>
      </c>
      <c r="G461" s="8">
        <v>0.15</v>
      </c>
      <c r="H461" s="9">
        <v>200386.12</v>
      </c>
      <c r="I461" s="9">
        <v>3.0057917999999999</v>
      </c>
    </row>
    <row r="462" spans="1:9" x14ac:dyDescent="0.25">
      <c r="A462" s="5" t="s">
        <v>616</v>
      </c>
      <c r="B462" s="5" t="s">
        <v>80</v>
      </c>
      <c r="C462" s="6">
        <v>45995.739583333343</v>
      </c>
      <c r="D462" s="7">
        <v>1158</v>
      </c>
      <c r="E462" s="8">
        <v>197.78</v>
      </c>
      <c r="F462" s="5" t="s">
        <v>159</v>
      </c>
      <c r="G462" s="8">
        <v>0.1</v>
      </c>
      <c r="H462" s="9">
        <v>229029.24</v>
      </c>
      <c r="I462" s="9">
        <v>2.2902923999999998</v>
      </c>
    </row>
    <row r="463" spans="1:9" x14ac:dyDescent="0.25">
      <c r="A463" s="5" t="s">
        <v>617</v>
      </c>
      <c r="B463" s="5" t="s">
        <v>80</v>
      </c>
      <c r="C463" s="6">
        <v>45995.746527777781</v>
      </c>
      <c r="D463" s="7">
        <v>5425</v>
      </c>
      <c r="E463" s="8">
        <v>197.29</v>
      </c>
      <c r="F463" s="5" t="s">
        <v>156</v>
      </c>
      <c r="G463" s="8">
        <v>0.15</v>
      </c>
      <c r="H463" s="9">
        <v>1070298.25</v>
      </c>
      <c r="I463" s="9">
        <v>16.05447375</v>
      </c>
    </row>
    <row r="464" spans="1:9" x14ac:dyDescent="0.25">
      <c r="A464" s="5" t="s">
        <v>618</v>
      </c>
      <c r="B464" s="5" t="s">
        <v>80</v>
      </c>
      <c r="C464" s="6">
        <v>45995.75</v>
      </c>
      <c r="D464" s="7">
        <v>755</v>
      </c>
      <c r="E464" s="8">
        <v>197.43</v>
      </c>
      <c r="F464" s="5" t="s">
        <v>156</v>
      </c>
      <c r="G464" s="8">
        <v>0.15</v>
      </c>
      <c r="H464" s="9">
        <v>149059.65</v>
      </c>
      <c r="I464" s="9">
        <v>2.2358947499999999</v>
      </c>
    </row>
    <row r="465" spans="1:9" x14ac:dyDescent="0.25">
      <c r="A465" s="5" t="s">
        <v>619</v>
      </c>
      <c r="B465" s="5" t="s">
        <v>81</v>
      </c>
      <c r="C465" s="6">
        <v>45996.701388888891</v>
      </c>
      <c r="D465" s="7">
        <v>3063</v>
      </c>
      <c r="E465" s="8">
        <v>172.78</v>
      </c>
      <c r="F465" s="5" t="s">
        <v>156</v>
      </c>
      <c r="G465" s="8">
        <v>0.15</v>
      </c>
      <c r="H465" s="9">
        <v>529225.14</v>
      </c>
      <c r="I465" s="9">
        <v>7.9383770999999994</v>
      </c>
    </row>
    <row r="466" spans="1:9" x14ac:dyDescent="0.25">
      <c r="A466" s="5" t="s">
        <v>620</v>
      </c>
      <c r="B466" s="5" t="s">
        <v>81</v>
      </c>
      <c r="C466" s="6">
        <v>45996.722222222219</v>
      </c>
      <c r="D466" s="7">
        <v>3741</v>
      </c>
      <c r="E466" s="8">
        <v>173.52</v>
      </c>
      <c r="F466" s="5" t="s">
        <v>156</v>
      </c>
      <c r="G466" s="8">
        <v>0.15</v>
      </c>
      <c r="H466" s="9">
        <v>649138.32000000007</v>
      </c>
      <c r="I466" s="9">
        <v>9.7370748000000003</v>
      </c>
    </row>
    <row r="467" spans="1:9" x14ac:dyDescent="0.25">
      <c r="A467" s="5" t="s">
        <v>621</v>
      </c>
      <c r="B467" s="5" t="s">
        <v>81</v>
      </c>
      <c r="C467" s="6">
        <v>45996.736111111109</v>
      </c>
      <c r="D467" s="7">
        <v>2115</v>
      </c>
      <c r="E467" s="8">
        <v>173.97</v>
      </c>
      <c r="F467" s="5" t="s">
        <v>159</v>
      </c>
      <c r="G467" s="8">
        <v>0.1</v>
      </c>
      <c r="H467" s="9">
        <v>367946.55</v>
      </c>
      <c r="I467" s="9">
        <v>3.6794655000000001</v>
      </c>
    </row>
    <row r="468" spans="1:9" x14ac:dyDescent="0.25">
      <c r="A468" s="5" t="s">
        <v>622</v>
      </c>
      <c r="B468" s="5" t="s">
        <v>82</v>
      </c>
      <c r="C468" s="6">
        <v>45992.684027777781</v>
      </c>
      <c r="D468" s="7">
        <v>2473</v>
      </c>
      <c r="E468" s="8">
        <v>186.47</v>
      </c>
      <c r="F468" s="5" t="s">
        <v>156</v>
      </c>
      <c r="G468" s="8">
        <v>0.15</v>
      </c>
      <c r="H468" s="9">
        <v>461140.31</v>
      </c>
      <c r="I468" s="9">
        <v>6.9171046499999997</v>
      </c>
    </row>
    <row r="469" spans="1:9" x14ac:dyDescent="0.25">
      <c r="A469" s="5" t="s">
        <v>623</v>
      </c>
      <c r="B469" s="5" t="s">
        <v>82</v>
      </c>
      <c r="C469" s="6">
        <v>45992.6875</v>
      </c>
      <c r="D469" s="7">
        <v>379</v>
      </c>
      <c r="E469" s="8">
        <v>186.45</v>
      </c>
      <c r="F469" s="5" t="s">
        <v>159</v>
      </c>
      <c r="G469" s="8">
        <v>0.1</v>
      </c>
      <c r="H469" s="9">
        <v>70664.55</v>
      </c>
      <c r="I469" s="9">
        <v>0.70664550000000004</v>
      </c>
    </row>
    <row r="470" spans="1:9" x14ac:dyDescent="0.25">
      <c r="A470" s="5" t="s">
        <v>624</v>
      </c>
      <c r="B470" s="5" t="s">
        <v>82</v>
      </c>
      <c r="C470" s="6">
        <v>45992.690972222219</v>
      </c>
      <c r="D470" s="7">
        <v>238</v>
      </c>
      <c r="E470" s="8">
        <v>186.67</v>
      </c>
      <c r="F470" s="5" t="s">
        <v>156</v>
      </c>
      <c r="G470" s="8">
        <v>0.15</v>
      </c>
      <c r="H470" s="9">
        <v>44427.46</v>
      </c>
      <c r="I470" s="9">
        <v>0.66641189999999995</v>
      </c>
    </row>
    <row r="471" spans="1:9" x14ac:dyDescent="0.25">
      <c r="A471" s="5" t="s">
        <v>625</v>
      </c>
      <c r="B471" s="5" t="s">
        <v>82</v>
      </c>
      <c r="C471" s="6">
        <v>45992.711805555547</v>
      </c>
      <c r="D471" s="7">
        <v>773</v>
      </c>
      <c r="E471" s="8">
        <v>186.39</v>
      </c>
      <c r="F471" s="5" t="s">
        <v>154</v>
      </c>
      <c r="G471" s="8">
        <v>0.05</v>
      </c>
      <c r="H471" s="9">
        <v>144079.47</v>
      </c>
      <c r="I471" s="9">
        <v>0.72039735000000005</v>
      </c>
    </row>
    <row r="472" spans="1:9" x14ac:dyDescent="0.25">
      <c r="A472" s="5" t="s">
        <v>626</v>
      </c>
      <c r="B472" s="5" t="s">
        <v>82</v>
      </c>
      <c r="C472" s="6">
        <v>45992.722222222219</v>
      </c>
      <c r="D472" s="7">
        <v>114</v>
      </c>
      <c r="E472" s="8">
        <v>186.75</v>
      </c>
      <c r="F472" s="5" t="s">
        <v>156</v>
      </c>
      <c r="G472" s="8">
        <v>0.15</v>
      </c>
      <c r="H472" s="9">
        <v>21289.5</v>
      </c>
      <c r="I472" s="9">
        <v>0.31934249999999997</v>
      </c>
    </row>
    <row r="473" spans="1:9" x14ac:dyDescent="0.25">
      <c r="A473" s="5" t="s">
        <v>627</v>
      </c>
      <c r="B473" s="5" t="s">
        <v>82</v>
      </c>
      <c r="C473" s="6">
        <v>45992.729166666657</v>
      </c>
      <c r="D473" s="7">
        <v>452</v>
      </c>
      <c r="E473" s="8">
        <v>186.11</v>
      </c>
      <c r="F473" s="5" t="s">
        <v>154</v>
      </c>
      <c r="G473" s="8">
        <v>0.05</v>
      </c>
      <c r="H473" s="9">
        <v>84121.72</v>
      </c>
      <c r="I473" s="9">
        <v>0.4206086</v>
      </c>
    </row>
    <row r="474" spans="1:9" x14ac:dyDescent="0.25">
      <c r="A474" s="5" t="s">
        <v>628</v>
      </c>
      <c r="B474" s="5" t="s">
        <v>82</v>
      </c>
      <c r="C474" s="6">
        <v>45992.732638888891</v>
      </c>
      <c r="D474" s="7">
        <v>585</v>
      </c>
      <c r="E474" s="8">
        <v>186.11</v>
      </c>
      <c r="F474" s="5" t="s">
        <v>156</v>
      </c>
      <c r="G474" s="8">
        <v>0.15</v>
      </c>
      <c r="H474" s="9">
        <v>108874.35</v>
      </c>
      <c r="I474" s="9">
        <v>1.6331152499999999</v>
      </c>
    </row>
    <row r="475" spans="1:9" x14ac:dyDescent="0.25">
      <c r="A475" s="5" t="s">
        <v>629</v>
      </c>
      <c r="B475" s="5" t="s">
        <v>82</v>
      </c>
      <c r="C475" s="6">
        <v>45992.736111111109</v>
      </c>
      <c r="D475" s="7">
        <v>149</v>
      </c>
      <c r="E475" s="8">
        <v>185.89</v>
      </c>
      <c r="F475" s="5" t="s">
        <v>156</v>
      </c>
      <c r="G475" s="8">
        <v>0.15</v>
      </c>
      <c r="H475" s="9">
        <v>27697.61</v>
      </c>
      <c r="I475" s="9">
        <v>0.41546414999999998</v>
      </c>
    </row>
    <row r="476" spans="1:9" x14ac:dyDescent="0.25">
      <c r="A476" s="5" t="s">
        <v>630</v>
      </c>
      <c r="B476" s="5" t="s">
        <v>82</v>
      </c>
      <c r="C476" s="6">
        <v>45992.739583333343</v>
      </c>
      <c r="D476" s="7">
        <v>1785</v>
      </c>
      <c r="E476" s="8">
        <v>185.74</v>
      </c>
      <c r="F476" s="5" t="s">
        <v>159</v>
      </c>
      <c r="G476" s="8">
        <v>0.1</v>
      </c>
      <c r="H476" s="9">
        <v>331545.90000000002</v>
      </c>
      <c r="I476" s="9">
        <v>3.315459000000001</v>
      </c>
    </row>
    <row r="477" spans="1:9" x14ac:dyDescent="0.25">
      <c r="A477" s="5" t="s">
        <v>631</v>
      </c>
      <c r="B477" s="5" t="s">
        <v>82</v>
      </c>
      <c r="C477" s="6">
        <v>45992.746527777781</v>
      </c>
      <c r="D477" s="7">
        <v>149</v>
      </c>
      <c r="E477" s="8">
        <v>185.37</v>
      </c>
      <c r="F477" s="5" t="s">
        <v>156</v>
      </c>
      <c r="G477" s="8">
        <v>0.15</v>
      </c>
      <c r="H477" s="9">
        <v>27620.13</v>
      </c>
      <c r="I477" s="9">
        <v>0.41430194999999997</v>
      </c>
    </row>
    <row r="478" spans="1:9" x14ac:dyDescent="0.25">
      <c r="A478" s="5" t="s">
        <v>632</v>
      </c>
      <c r="B478" s="5" t="s">
        <v>82</v>
      </c>
      <c r="C478" s="6">
        <v>45992.75</v>
      </c>
      <c r="D478" s="7">
        <v>1192</v>
      </c>
      <c r="E478" s="8">
        <v>185.47</v>
      </c>
      <c r="F478" s="5" t="s">
        <v>159</v>
      </c>
      <c r="G478" s="8">
        <v>0.1</v>
      </c>
      <c r="H478" s="9">
        <v>221080.24</v>
      </c>
      <c r="I478" s="9">
        <v>2.2108023999999999</v>
      </c>
    </row>
    <row r="479" spans="1:9" x14ac:dyDescent="0.25">
      <c r="A479" s="5" t="s">
        <v>633</v>
      </c>
      <c r="B479" s="5" t="s">
        <v>82</v>
      </c>
      <c r="C479" s="6">
        <v>45992.756944444453</v>
      </c>
      <c r="D479" s="7">
        <v>922</v>
      </c>
      <c r="E479" s="8">
        <v>185.87</v>
      </c>
      <c r="F479" s="5" t="s">
        <v>156</v>
      </c>
      <c r="G479" s="8">
        <v>0.15</v>
      </c>
      <c r="H479" s="9">
        <v>171372.14</v>
      </c>
      <c r="I479" s="9">
        <v>2.5705821000000002</v>
      </c>
    </row>
    <row r="480" spans="1:9" x14ac:dyDescent="0.25">
      <c r="A480" s="5" t="s">
        <v>634</v>
      </c>
      <c r="B480" s="5" t="s">
        <v>83</v>
      </c>
      <c r="C480" s="6">
        <v>45996.680555555547</v>
      </c>
      <c r="D480" s="7">
        <v>1358</v>
      </c>
      <c r="E480" s="8">
        <v>248.86</v>
      </c>
      <c r="F480" s="5" t="s">
        <v>156</v>
      </c>
      <c r="G480" s="8">
        <v>0.15</v>
      </c>
      <c r="H480" s="9">
        <v>337951.88</v>
      </c>
      <c r="I480" s="9">
        <v>5.0692782000000003</v>
      </c>
    </row>
    <row r="481" spans="1:9" x14ac:dyDescent="0.25">
      <c r="A481" s="5" t="s">
        <v>635</v>
      </c>
      <c r="B481" s="5" t="s">
        <v>83</v>
      </c>
      <c r="C481" s="6">
        <v>45996.704861111109</v>
      </c>
      <c r="D481" s="7">
        <v>3260</v>
      </c>
      <c r="E481" s="8">
        <v>248.53</v>
      </c>
      <c r="F481" s="5" t="s">
        <v>156</v>
      </c>
      <c r="G481" s="8">
        <v>0.15</v>
      </c>
      <c r="H481" s="9">
        <v>810207.8</v>
      </c>
      <c r="I481" s="9">
        <v>12.153117</v>
      </c>
    </row>
    <row r="482" spans="1:9" x14ac:dyDescent="0.25">
      <c r="A482" s="5" t="s">
        <v>636</v>
      </c>
      <c r="B482" s="5" t="s">
        <v>83</v>
      </c>
      <c r="C482" s="6">
        <v>45996.743055555547</v>
      </c>
      <c r="D482" s="7">
        <v>19498</v>
      </c>
      <c r="E482" s="8">
        <v>247.7</v>
      </c>
      <c r="F482" s="5" t="s">
        <v>159</v>
      </c>
      <c r="G482" s="8">
        <v>0.1</v>
      </c>
      <c r="H482" s="9">
        <v>4829654.5999999996</v>
      </c>
      <c r="I482" s="9">
        <v>48.296545999999999</v>
      </c>
    </row>
    <row r="483" spans="1:9" x14ac:dyDescent="0.25">
      <c r="A483" s="5" t="s">
        <v>637</v>
      </c>
      <c r="B483" s="5" t="s">
        <v>84</v>
      </c>
      <c r="C483" s="6">
        <v>45992.621527777781</v>
      </c>
      <c r="D483" s="7">
        <v>382</v>
      </c>
      <c r="E483" s="8">
        <v>415.54</v>
      </c>
      <c r="F483" s="5" t="s">
        <v>156</v>
      </c>
      <c r="G483" s="8">
        <v>0.15</v>
      </c>
      <c r="H483" s="9">
        <v>158736.28</v>
      </c>
      <c r="I483" s="9">
        <v>2.3810441999999998</v>
      </c>
    </row>
    <row r="484" spans="1:9" x14ac:dyDescent="0.25">
      <c r="A484" s="5" t="s">
        <v>638</v>
      </c>
      <c r="B484" s="5" t="s">
        <v>84</v>
      </c>
      <c r="C484" s="6">
        <v>45992.635416666657</v>
      </c>
      <c r="D484" s="7">
        <v>415</v>
      </c>
      <c r="E484" s="8">
        <v>414.12</v>
      </c>
      <c r="F484" s="5" t="s">
        <v>156</v>
      </c>
      <c r="G484" s="8">
        <v>0.15</v>
      </c>
      <c r="H484" s="9">
        <v>171859.8</v>
      </c>
      <c r="I484" s="9">
        <v>2.5778970000000001</v>
      </c>
    </row>
    <row r="485" spans="1:9" x14ac:dyDescent="0.25">
      <c r="A485" s="5" t="s">
        <v>639</v>
      </c>
      <c r="B485" s="5" t="s">
        <v>84</v>
      </c>
      <c r="C485" s="6">
        <v>45992.638888888891</v>
      </c>
      <c r="D485" s="7">
        <v>468</v>
      </c>
      <c r="E485" s="8">
        <v>414.6</v>
      </c>
      <c r="F485" s="5" t="s">
        <v>154</v>
      </c>
      <c r="G485" s="8">
        <v>0.05</v>
      </c>
      <c r="H485" s="9">
        <v>194032.8</v>
      </c>
      <c r="I485" s="9">
        <v>0.97016400000000014</v>
      </c>
    </row>
    <row r="486" spans="1:9" x14ac:dyDescent="0.25">
      <c r="A486" s="5" t="s">
        <v>640</v>
      </c>
      <c r="B486" s="5" t="s">
        <v>84</v>
      </c>
      <c r="C486" s="6">
        <v>45992.642361111109</v>
      </c>
      <c r="D486" s="7">
        <v>128</v>
      </c>
      <c r="E486" s="8">
        <v>415.08</v>
      </c>
      <c r="F486" s="5" t="s">
        <v>156</v>
      </c>
      <c r="G486" s="8">
        <v>0.15</v>
      </c>
      <c r="H486" s="9">
        <v>53130.239999999998</v>
      </c>
      <c r="I486" s="9">
        <v>0.79695359999999993</v>
      </c>
    </row>
    <row r="487" spans="1:9" x14ac:dyDescent="0.25">
      <c r="A487" s="5" t="s">
        <v>641</v>
      </c>
      <c r="B487" s="5" t="s">
        <v>84</v>
      </c>
      <c r="C487" s="6">
        <v>45992.649305555547</v>
      </c>
      <c r="D487" s="7">
        <v>274</v>
      </c>
      <c r="E487" s="8">
        <v>413.74</v>
      </c>
      <c r="F487" s="5" t="s">
        <v>154</v>
      </c>
      <c r="G487" s="8">
        <v>0.05</v>
      </c>
      <c r="H487" s="9">
        <v>113364.76</v>
      </c>
      <c r="I487" s="9">
        <v>0.5668238000000001</v>
      </c>
    </row>
    <row r="488" spans="1:9" x14ac:dyDescent="0.25">
      <c r="A488" s="5" t="s">
        <v>642</v>
      </c>
      <c r="B488" s="5" t="s">
        <v>84</v>
      </c>
      <c r="C488" s="6">
        <v>45992.652777777781</v>
      </c>
      <c r="D488" s="7">
        <v>209</v>
      </c>
      <c r="E488" s="8">
        <v>413.86</v>
      </c>
      <c r="F488" s="5" t="s">
        <v>159</v>
      </c>
      <c r="G488" s="8">
        <v>0.1</v>
      </c>
      <c r="H488" s="9">
        <v>86496.74</v>
      </c>
      <c r="I488" s="9">
        <v>0.86496740000000005</v>
      </c>
    </row>
    <row r="489" spans="1:9" x14ac:dyDescent="0.25">
      <c r="A489" s="5" t="s">
        <v>643</v>
      </c>
      <c r="B489" s="5" t="s">
        <v>84</v>
      </c>
      <c r="C489" s="6">
        <v>45992.65625</v>
      </c>
      <c r="D489" s="7">
        <v>633</v>
      </c>
      <c r="E489" s="8">
        <v>414.7</v>
      </c>
      <c r="F489" s="5" t="s">
        <v>156</v>
      </c>
      <c r="G489" s="8">
        <v>0.15</v>
      </c>
      <c r="H489" s="9">
        <v>262505.09999999998</v>
      </c>
      <c r="I489" s="9">
        <v>3.9375764999999991</v>
      </c>
    </row>
    <row r="490" spans="1:9" x14ac:dyDescent="0.25">
      <c r="A490" s="5" t="s">
        <v>644</v>
      </c>
      <c r="B490" s="5" t="s">
        <v>84</v>
      </c>
      <c r="C490" s="6">
        <v>45992.659722222219</v>
      </c>
      <c r="D490" s="7">
        <v>854</v>
      </c>
      <c r="E490" s="8">
        <v>414.69</v>
      </c>
      <c r="F490" s="5" t="s">
        <v>156</v>
      </c>
      <c r="G490" s="8">
        <v>0.15</v>
      </c>
      <c r="H490" s="9">
        <v>354145.26</v>
      </c>
      <c r="I490" s="9">
        <v>5.3121788999999993</v>
      </c>
    </row>
    <row r="491" spans="1:9" x14ac:dyDescent="0.25">
      <c r="A491" s="5" t="s">
        <v>645</v>
      </c>
      <c r="B491" s="5" t="s">
        <v>84</v>
      </c>
      <c r="C491" s="6">
        <v>45992.663194444453</v>
      </c>
      <c r="D491" s="7">
        <v>220</v>
      </c>
      <c r="E491" s="8">
        <v>414.45</v>
      </c>
      <c r="F491" s="5" t="s">
        <v>159</v>
      </c>
      <c r="G491" s="8">
        <v>0.1</v>
      </c>
      <c r="H491" s="9">
        <v>91179</v>
      </c>
      <c r="I491" s="9">
        <v>0.91178999999999999</v>
      </c>
    </row>
    <row r="492" spans="1:9" x14ac:dyDescent="0.25">
      <c r="A492" s="5" t="s">
        <v>646</v>
      </c>
      <c r="B492" s="5" t="s">
        <v>84</v>
      </c>
      <c r="C492" s="6">
        <v>45992.670138888891</v>
      </c>
      <c r="D492" s="7">
        <v>660</v>
      </c>
      <c r="E492" s="8">
        <v>414.44</v>
      </c>
      <c r="F492" s="5" t="s">
        <v>159</v>
      </c>
      <c r="G492" s="8">
        <v>0.1</v>
      </c>
      <c r="H492" s="9">
        <v>273530.40000000002</v>
      </c>
      <c r="I492" s="9">
        <v>2.7353040000000011</v>
      </c>
    </row>
    <row r="493" spans="1:9" x14ac:dyDescent="0.25">
      <c r="A493" s="5" t="s">
        <v>647</v>
      </c>
      <c r="B493" s="5" t="s">
        <v>85</v>
      </c>
      <c r="C493" s="6">
        <v>45995.802083333343</v>
      </c>
      <c r="D493" s="7">
        <v>1376</v>
      </c>
      <c r="E493" s="8">
        <v>424.22</v>
      </c>
      <c r="F493" s="5" t="s">
        <v>156</v>
      </c>
      <c r="G493" s="8">
        <v>0.15</v>
      </c>
      <c r="H493" s="9">
        <v>583726.72000000009</v>
      </c>
      <c r="I493" s="9">
        <v>8.7559008000000009</v>
      </c>
    </row>
    <row r="494" spans="1:9" x14ac:dyDescent="0.25">
      <c r="A494" s="5" t="s">
        <v>648</v>
      </c>
      <c r="B494" s="5" t="s">
        <v>85</v>
      </c>
      <c r="C494" s="6">
        <v>45995.805555555547</v>
      </c>
      <c r="D494" s="7">
        <v>89</v>
      </c>
      <c r="E494" s="8">
        <v>424.3</v>
      </c>
      <c r="F494" s="5" t="s">
        <v>156</v>
      </c>
      <c r="G494" s="8">
        <v>0.15</v>
      </c>
      <c r="H494" s="9">
        <v>37762.699999999997</v>
      </c>
      <c r="I494" s="9">
        <v>0.56644050000000001</v>
      </c>
    </row>
    <row r="495" spans="1:9" x14ac:dyDescent="0.25">
      <c r="A495" s="5" t="s">
        <v>649</v>
      </c>
      <c r="B495" s="5" t="s">
        <v>85</v>
      </c>
      <c r="C495" s="6">
        <v>45995.809027777781</v>
      </c>
      <c r="D495" s="7">
        <v>798</v>
      </c>
      <c r="E495" s="8">
        <v>424.03</v>
      </c>
      <c r="F495" s="5" t="s">
        <v>154</v>
      </c>
      <c r="G495" s="8">
        <v>0.05</v>
      </c>
      <c r="H495" s="9">
        <v>338375.94</v>
      </c>
      <c r="I495" s="9">
        <v>1.6918797000000001</v>
      </c>
    </row>
    <row r="496" spans="1:9" x14ac:dyDescent="0.25">
      <c r="A496" s="5" t="s">
        <v>650</v>
      </c>
      <c r="B496" s="5" t="s">
        <v>85</v>
      </c>
      <c r="C496" s="6">
        <v>45995.829861111109</v>
      </c>
      <c r="D496" s="7">
        <v>1205</v>
      </c>
      <c r="E496" s="8">
        <v>423.54</v>
      </c>
      <c r="F496" s="5" t="s">
        <v>159</v>
      </c>
      <c r="G496" s="8">
        <v>0.1</v>
      </c>
      <c r="H496" s="9">
        <v>510365.7</v>
      </c>
      <c r="I496" s="9">
        <v>5.103657000000001</v>
      </c>
    </row>
    <row r="497" spans="1:9" x14ac:dyDescent="0.25">
      <c r="A497" s="5" t="s">
        <v>651</v>
      </c>
      <c r="B497" s="5" t="s">
        <v>85</v>
      </c>
      <c r="C497" s="6">
        <v>45995.833333333343</v>
      </c>
      <c r="D497" s="7">
        <v>165</v>
      </c>
      <c r="E497" s="8">
        <v>423.47</v>
      </c>
      <c r="F497" s="5" t="s">
        <v>159</v>
      </c>
      <c r="G497" s="8">
        <v>0.1</v>
      </c>
      <c r="H497" s="9">
        <v>69872.55</v>
      </c>
      <c r="I497" s="9">
        <v>0.69872550000000011</v>
      </c>
    </row>
    <row r="498" spans="1:9" x14ac:dyDescent="0.25">
      <c r="A498" s="5" t="s">
        <v>652</v>
      </c>
      <c r="B498" s="5" t="s">
        <v>85</v>
      </c>
      <c r="C498" s="6">
        <v>45995.836805555547</v>
      </c>
      <c r="D498" s="7">
        <v>1383</v>
      </c>
      <c r="E498" s="8">
        <v>423.47</v>
      </c>
      <c r="F498" s="5" t="s">
        <v>156</v>
      </c>
      <c r="G498" s="8">
        <v>0.15</v>
      </c>
      <c r="H498" s="9">
        <v>585659.01</v>
      </c>
      <c r="I498" s="9">
        <v>8.7848851500000009</v>
      </c>
    </row>
    <row r="499" spans="1:9" x14ac:dyDescent="0.25">
      <c r="A499" s="5" t="s">
        <v>653</v>
      </c>
      <c r="B499" s="5" t="s">
        <v>85</v>
      </c>
      <c r="C499" s="6">
        <v>45995.840277777781</v>
      </c>
      <c r="D499" s="7">
        <v>1967</v>
      </c>
      <c r="E499" s="8">
        <v>423.59</v>
      </c>
      <c r="F499" s="5" t="s">
        <v>156</v>
      </c>
      <c r="G499" s="8">
        <v>0.15</v>
      </c>
      <c r="H499" s="9">
        <v>833201.52999999991</v>
      </c>
      <c r="I499" s="9">
        <v>12.498022949999999</v>
      </c>
    </row>
    <row r="500" spans="1:9" x14ac:dyDescent="0.25">
      <c r="A500" s="5" t="s">
        <v>654</v>
      </c>
      <c r="B500" s="5" t="s">
        <v>85</v>
      </c>
      <c r="C500" s="6">
        <v>45995.84375</v>
      </c>
      <c r="D500" s="7">
        <v>1926</v>
      </c>
      <c r="E500" s="8">
        <v>424.4</v>
      </c>
      <c r="F500" s="5" t="s">
        <v>154</v>
      </c>
      <c r="G500" s="8">
        <v>0.05</v>
      </c>
      <c r="H500" s="9">
        <v>817394.39999999991</v>
      </c>
      <c r="I500" s="9">
        <v>4.0869720000000003</v>
      </c>
    </row>
    <row r="501" spans="1:9" x14ac:dyDescent="0.25">
      <c r="A501" s="5" t="s">
        <v>655</v>
      </c>
      <c r="B501" s="5" t="s">
        <v>85</v>
      </c>
      <c r="C501" s="6">
        <v>45995.847222222219</v>
      </c>
      <c r="D501" s="7">
        <v>1471</v>
      </c>
      <c r="E501" s="8">
        <v>423.87</v>
      </c>
      <c r="F501" s="5" t="s">
        <v>159</v>
      </c>
      <c r="G501" s="8">
        <v>0.1</v>
      </c>
      <c r="H501" s="9">
        <v>623512.77</v>
      </c>
      <c r="I501" s="9">
        <v>6.2351276999999996</v>
      </c>
    </row>
    <row r="502" spans="1:9" x14ac:dyDescent="0.25">
      <c r="A502" s="5" t="s">
        <v>656</v>
      </c>
      <c r="B502" s="5" t="s">
        <v>85</v>
      </c>
      <c r="C502" s="6">
        <v>45995.854166666657</v>
      </c>
      <c r="D502" s="7">
        <v>729</v>
      </c>
      <c r="E502" s="8">
        <v>423.08</v>
      </c>
      <c r="F502" s="5" t="s">
        <v>156</v>
      </c>
      <c r="G502" s="8">
        <v>0.15</v>
      </c>
      <c r="H502" s="9">
        <v>308425.32</v>
      </c>
      <c r="I502" s="9">
        <v>4.6263797999999996</v>
      </c>
    </row>
    <row r="503" spans="1:9" x14ac:dyDescent="0.25">
      <c r="A503" s="5" t="s">
        <v>657</v>
      </c>
      <c r="B503" s="5" t="s">
        <v>85</v>
      </c>
      <c r="C503" s="6">
        <v>45995.861111111109</v>
      </c>
      <c r="D503" s="7">
        <v>541</v>
      </c>
      <c r="E503" s="8">
        <v>423.22</v>
      </c>
      <c r="F503" s="5" t="s">
        <v>156</v>
      </c>
      <c r="G503" s="8">
        <v>0.15</v>
      </c>
      <c r="H503" s="9">
        <v>228962.02</v>
      </c>
      <c r="I503" s="9">
        <v>3.4344302999999998</v>
      </c>
    </row>
    <row r="504" spans="1:9" x14ac:dyDescent="0.25">
      <c r="A504" s="5" t="s">
        <v>658</v>
      </c>
      <c r="B504" s="5" t="s">
        <v>85</v>
      </c>
      <c r="C504" s="6">
        <v>45995.871527777781</v>
      </c>
      <c r="D504" s="7">
        <v>542</v>
      </c>
      <c r="E504" s="8">
        <v>423.15</v>
      </c>
      <c r="F504" s="5" t="s">
        <v>156</v>
      </c>
      <c r="G504" s="8">
        <v>0.15</v>
      </c>
      <c r="H504" s="9">
        <v>229347.3</v>
      </c>
      <c r="I504" s="9">
        <v>3.440209499999999</v>
      </c>
    </row>
    <row r="505" spans="1:9" x14ac:dyDescent="0.25">
      <c r="A505" s="5" t="s">
        <v>659</v>
      </c>
      <c r="B505" s="5" t="s">
        <v>85</v>
      </c>
      <c r="C505" s="6">
        <v>45995.875</v>
      </c>
      <c r="D505" s="7">
        <v>2301</v>
      </c>
      <c r="E505" s="8">
        <v>423.48</v>
      </c>
      <c r="F505" s="5" t="s">
        <v>159</v>
      </c>
      <c r="G505" s="8">
        <v>0.1</v>
      </c>
      <c r="H505" s="9">
        <v>974427.4800000001</v>
      </c>
      <c r="I505" s="9">
        <v>9.744274800000003</v>
      </c>
    </row>
    <row r="506" spans="1:9" x14ac:dyDescent="0.25">
      <c r="A506" s="5" t="s">
        <v>660</v>
      </c>
      <c r="B506" s="5" t="s">
        <v>86</v>
      </c>
      <c r="C506" s="6">
        <v>45996.729166666657</v>
      </c>
      <c r="D506" s="7">
        <v>1859</v>
      </c>
      <c r="E506" s="8">
        <v>247.93</v>
      </c>
      <c r="F506" s="5" t="s">
        <v>156</v>
      </c>
      <c r="G506" s="8">
        <v>0.15</v>
      </c>
      <c r="H506" s="9">
        <v>460901.87</v>
      </c>
      <c r="I506" s="9">
        <v>6.9135280499999991</v>
      </c>
    </row>
    <row r="507" spans="1:9" x14ac:dyDescent="0.25">
      <c r="A507" s="5" t="s">
        <v>661</v>
      </c>
      <c r="B507" s="5" t="s">
        <v>86</v>
      </c>
      <c r="C507" s="6">
        <v>45996.743055555547</v>
      </c>
      <c r="D507" s="7">
        <v>1493</v>
      </c>
      <c r="E507" s="8">
        <v>247.7</v>
      </c>
      <c r="F507" s="5" t="s">
        <v>154</v>
      </c>
      <c r="G507" s="8">
        <v>0.05</v>
      </c>
      <c r="H507" s="9">
        <v>369816.1</v>
      </c>
      <c r="I507" s="9">
        <v>1.8490804999999999</v>
      </c>
    </row>
    <row r="508" spans="1:9" x14ac:dyDescent="0.25">
      <c r="A508" s="5" t="s">
        <v>662</v>
      </c>
      <c r="B508" s="5" t="s">
        <v>86</v>
      </c>
      <c r="C508" s="6">
        <v>45996.746527777781</v>
      </c>
      <c r="D508" s="7">
        <v>947</v>
      </c>
      <c r="E508" s="8">
        <v>247.84</v>
      </c>
      <c r="F508" s="5" t="s">
        <v>159</v>
      </c>
      <c r="G508" s="8">
        <v>0.1</v>
      </c>
      <c r="H508" s="9">
        <v>234704.48</v>
      </c>
      <c r="I508" s="9">
        <v>2.3470447999999999</v>
      </c>
    </row>
    <row r="509" spans="1:9" x14ac:dyDescent="0.25">
      <c r="A509" s="5" t="s">
        <v>663</v>
      </c>
      <c r="B509" s="5" t="s">
        <v>86</v>
      </c>
      <c r="C509" s="6">
        <v>45996.753472222219</v>
      </c>
      <c r="D509" s="7">
        <v>727</v>
      </c>
      <c r="E509" s="8">
        <v>248.2</v>
      </c>
      <c r="F509" s="5" t="s">
        <v>159</v>
      </c>
      <c r="G509" s="8">
        <v>0.1</v>
      </c>
      <c r="H509" s="9">
        <v>180441.4</v>
      </c>
      <c r="I509" s="9">
        <v>1.804414</v>
      </c>
    </row>
    <row r="510" spans="1:9" x14ac:dyDescent="0.25">
      <c r="A510" s="5" t="s">
        <v>664</v>
      </c>
      <c r="B510" s="5" t="s">
        <v>86</v>
      </c>
      <c r="C510" s="6">
        <v>45996.760416666657</v>
      </c>
      <c r="D510" s="7">
        <v>1136</v>
      </c>
      <c r="E510" s="8">
        <v>248.59</v>
      </c>
      <c r="F510" s="5" t="s">
        <v>156</v>
      </c>
      <c r="G510" s="8">
        <v>0.15</v>
      </c>
      <c r="H510" s="9">
        <v>282398.24</v>
      </c>
      <c r="I510" s="9">
        <v>4.2359735999999986</v>
      </c>
    </row>
    <row r="511" spans="1:9" x14ac:dyDescent="0.25">
      <c r="A511" s="5" t="s">
        <v>665</v>
      </c>
      <c r="B511" s="5" t="s">
        <v>86</v>
      </c>
      <c r="C511" s="6">
        <v>45996.770833333343</v>
      </c>
      <c r="D511" s="7">
        <v>182</v>
      </c>
      <c r="E511" s="8">
        <v>248.46</v>
      </c>
      <c r="F511" s="5" t="s">
        <v>156</v>
      </c>
      <c r="G511" s="8">
        <v>0.15</v>
      </c>
      <c r="H511" s="9">
        <v>45219.72</v>
      </c>
      <c r="I511" s="9">
        <v>0.6782958</v>
      </c>
    </row>
    <row r="512" spans="1:9" x14ac:dyDescent="0.25">
      <c r="A512" s="5" t="s">
        <v>666</v>
      </c>
      <c r="B512" s="5" t="s">
        <v>86</v>
      </c>
      <c r="C512" s="6">
        <v>45996.777777777781</v>
      </c>
      <c r="D512" s="7">
        <v>1570</v>
      </c>
      <c r="E512" s="8">
        <v>247.99</v>
      </c>
      <c r="F512" s="5" t="s">
        <v>154</v>
      </c>
      <c r="G512" s="8">
        <v>0.05</v>
      </c>
      <c r="H512" s="9">
        <v>389344.3</v>
      </c>
      <c r="I512" s="9">
        <v>1.9467215</v>
      </c>
    </row>
    <row r="513" spans="1:9" x14ac:dyDescent="0.25">
      <c r="A513" s="5" t="s">
        <v>667</v>
      </c>
      <c r="B513" s="5" t="s">
        <v>86</v>
      </c>
      <c r="C513" s="6">
        <v>45996.795138888891</v>
      </c>
      <c r="D513" s="7">
        <v>560</v>
      </c>
      <c r="E513" s="8">
        <v>247.08</v>
      </c>
      <c r="F513" s="5" t="s">
        <v>154</v>
      </c>
      <c r="G513" s="8">
        <v>0.05</v>
      </c>
      <c r="H513" s="9">
        <v>138364.79999999999</v>
      </c>
      <c r="I513" s="9">
        <v>0.69182400000000011</v>
      </c>
    </row>
    <row r="514" spans="1:9" x14ac:dyDescent="0.25">
      <c r="A514" s="5" t="s">
        <v>668</v>
      </c>
      <c r="B514" s="5" t="s">
        <v>86</v>
      </c>
      <c r="C514" s="6">
        <v>45996.802083333343</v>
      </c>
      <c r="D514" s="7">
        <v>190</v>
      </c>
      <c r="E514" s="8">
        <v>247.18</v>
      </c>
      <c r="F514" s="5" t="s">
        <v>156</v>
      </c>
      <c r="G514" s="8">
        <v>0.15</v>
      </c>
      <c r="H514" s="9">
        <v>46964.2</v>
      </c>
      <c r="I514" s="9">
        <v>0.70446300000000006</v>
      </c>
    </row>
    <row r="515" spans="1:9" x14ac:dyDescent="0.25">
      <c r="A515" s="5" t="s">
        <v>669</v>
      </c>
      <c r="B515" s="5" t="s">
        <v>87</v>
      </c>
      <c r="C515" s="6">
        <v>45995.621527777781</v>
      </c>
      <c r="D515" s="7">
        <v>3030</v>
      </c>
      <c r="E515" s="8">
        <v>422.24</v>
      </c>
      <c r="F515" s="5" t="s">
        <v>159</v>
      </c>
      <c r="G515" s="8">
        <v>0.1</v>
      </c>
      <c r="H515" s="9">
        <v>1279387.2</v>
      </c>
      <c r="I515" s="9">
        <v>12.793872</v>
      </c>
    </row>
    <row r="516" spans="1:9" x14ac:dyDescent="0.25">
      <c r="A516" s="5" t="s">
        <v>670</v>
      </c>
      <c r="B516" s="5" t="s">
        <v>87</v>
      </c>
      <c r="C516" s="6">
        <v>45995.628472222219</v>
      </c>
      <c r="D516" s="7">
        <v>1640</v>
      </c>
      <c r="E516" s="8">
        <v>422.3</v>
      </c>
      <c r="F516" s="5" t="s">
        <v>154</v>
      </c>
      <c r="G516" s="8">
        <v>0.05</v>
      </c>
      <c r="H516" s="9">
        <v>692572</v>
      </c>
      <c r="I516" s="9">
        <v>3.46286</v>
      </c>
    </row>
    <row r="517" spans="1:9" x14ac:dyDescent="0.25">
      <c r="A517" s="5" t="s">
        <v>671</v>
      </c>
      <c r="B517" s="5" t="s">
        <v>87</v>
      </c>
      <c r="C517" s="6">
        <v>45995.635416666657</v>
      </c>
      <c r="D517" s="7">
        <v>5799</v>
      </c>
      <c r="E517" s="8">
        <v>422.13</v>
      </c>
      <c r="F517" s="5" t="s">
        <v>156</v>
      </c>
      <c r="G517" s="8">
        <v>0.15</v>
      </c>
      <c r="H517" s="9">
        <v>2447931.87</v>
      </c>
      <c r="I517" s="9">
        <v>36.718978049999997</v>
      </c>
    </row>
    <row r="518" spans="1:9" x14ac:dyDescent="0.25">
      <c r="A518" s="5" t="s">
        <v>672</v>
      </c>
      <c r="B518" s="5" t="s">
        <v>87</v>
      </c>
      <c r="C518" s="6">
        <v>45995.638888888891</v>
      </c>
      <c r="D518" s="7">
        <v>3601</v>
      </c>
      <c r="E518" s="8">
        <v>422.26</v>
      </c>
      <c r="F518" s="5" t="s">
        <v>156</v>
      </c>
      <c r="G518" s="8">
        <v>0.15</v>
      </c>
      <c r="H518" s="9">
        <v>1520558.26</v>
      </c>
      <c r="I518" s="9">
        <v>22.808373899999999</v>
      </c>
    </row>
    <row r="519" spans="1:9" x14ac:dyDescent="0.25">
      <c r="A519" s="5" t="s">
        <v>673</v>
      </c>
      <c r="B519" s="5" t="s">
        <v>87</v>
      </c>
      <c r="C519" s="6">
        <v>45995.642361111109</v>
      </c>
      <c r="D519" s="7">
        <v>2933</v>
      </c>
      <c r="E519" s="8">
        <v>421.76</v>
      </c>
      <c r="F519" s="5" t="s">
        <v>156</v>
      </c>
      <c r="G519" s="8">
        <v>0.15</v>
      </c>
      <c r="H519" s="9">
        <v>1237022.08</v>
      </c>
      <c r="I519" s="9">
        <v>18.555331200000001</v>
      </c>
    </row>
    <row r="520" spans="1:9" x14ac:dyDescent="0.25">
      <c r="A520" s="5" t="s">
        <v>674</v>
      </c>
      <c r="B520" s="5" t="s">
        <v>87</v>
      </c>
      <c r="C520" s="6">
        <v>45995.645833333343</v>
      </c>
      <c r="D520" s="7">
        <v>1022</v>
      </c>
      <c r="E520" s="8">
        <v>421.54</v>
      </c>
      <c r="F520" s="5" t="s">
        <v>159</v>
      </c>
      <c r="G520" s="8">
        <v>0.1</v>
      </c>
      <c r="H520" s="9">
        <v>430813.88</v>
      </c>
      <c r="I520" s="9">
        <v>4.3081388000000009</v>
      </c>
    </row>
    <row r="521" spans="1:9" x14ac:dyDescent="0.25">
      <c r="A521" s="5" t="s">
        <v>675</v>
      </c>
      <c r="B521" s="5" t="s">
        <v>87</v>
      </c>
      <c r="C521" s="6">
        <v>45995.649305555547</v>
      </c>
      <c r="D521" s="7">
        <v>169</v>
      </c>
      <c r="E521" s="8">
        <v>422.1</v>
      </c>
      <c r="F521" s="5" t="s">
        <v>159</v>
      </c>
      <c r="G521" s="8">
        <v>0.1</v>
      </c>
      <c r="H521" s="9">
        <v>71334.900000000009</v>
      </c>
      <c r="I521" s="9">
        <v>0.71334900000000012</v>
      </c>
    </row>
    <row r="522" spans="1:9" x14ac:dyDescent="0.25">
      <c r="A522" s="5" t="s">
        <v>676</v>
      </c>
      <c r="B522" s="5" t="s">
        <v>87</v>
      </c>
      <c r="C522" s="6">
        <v>45995.652777777781</v>
      </c>
      <c r="D522" s="7">
        <v>995</v>
      </c>
      <c r="E522" s="8">
        <v>422.97</v>
      </c>
      <c r="F522" s="5" t="s">
        <v>156</v>
      </c>
      <c r="G522" s="8">
        <v>0.15</v>
      </c>
      <c r="H522" s="9">
        <v>420855.15</v>
      </c>
      <c r="I522" s="9">
        <v>6.3128272499999998</v>
      </c>
    </row>
    <row r="523" spans="1:9" x14ac:dyDescent="0.25">
      <c r="A523" s="5" t="s">
        <v>677</v>
      </c>
      <c r="B523" s="5" t="s">
        <v>87</v>
      </c>
      <c r="C523" s="6">
        <v>45995.659722222219</v>
      </c>
      <c r="D523" s="7">
        <v>654</v>
      </c>
      <c r="E523" s="8">
        <v>423</v>
      </c>
      <c r="F523" s="5" t="s">
        <v>156</v>
      </c>
      <c r="G523" s="8">
        <v>0.15</v>
      </c>
      <c r="H523" s="9">
        <v>276642</v>
      </c>
      <c r="I523" s="9">
        <v>4.1496299999999993</v>
      </c>
    </row>
    <row r="524" spans="1:9" x14ac:dyDescent="0.25">
      <c r="A524" s="5" t="s">
        <v>678</v>
      </c>
      <c r="B524" s="5" t="s">
        <v>87</v>
      </c>
      <c r="C524" s="6">
        <v>45995.663194444453</v>
      </c>
      <c r="D524" s="7">
        <v>409</v>
      </c>
      <c r="E524" s="8">
        <v>422.82</v>
      </c>
      <c r="F524" s="5" t="s">
        <v>156</v>
      </c>
      <c r="G524" s="8">
        <v>0.15</v>
      </c>
      <c r="H524" s="9">
        <v>172933.38</v>
      </c>
      <c r="I524" s="9">
        <v>2.5940007</v>
      </c>
    </row>
    <row r="525" spans="1:9" x14ac:dyDescent="0.25">
      <c r="A525" s="5" t="s">
        <v>679</v>
      </c>
      <c r="B525" s="5" t="s">
        <v>87</v>
      </c>
      <c r="C525" s="6">
        <v>45995.666666666657</v>
      </c>
      <c r="D525" s="7">
        <v>216</v>
      </c>
      <c r="E525" s="8">
        <v>423.3</v>
      </c>
      <c r="F525" s="5" t="s">
        <v>156</v>
      </c>
      <c r="G525" s="8">
        <v>0.15</v>
      </c>
      <c r="H525" s="9">
        <v>91432.8</v>
      </c>
      <c r="I525" s="9">
        <v>1.3714919999999999</v>
      </c>
    </row>
    <row r="526" spans="1:9" x14ac:dyDescent="0.25">
      <c r="A526" s="5" t="s">
        <v>680</v>
      </c>
      <c r="B526" s="5" t="s">
        <v>88</v>
      </c>
      <c r="C526" s="6">
        <v>45996.795138888891</v>
      </c>
      <c r="D526" s="7">
        <v>175</v>
      </c>
      <c r="E526" s="8">
        <v>195.33</v>
      </c>
      <c r="F526" s="5" t="s">
        <v>156</v>
      </c>
      <c r="G526" s="8">
        <v>0.15</v>
      </c>
      <c r="H526" s="9">
        <v>34182.75</v>
      </c>
      <c r="I526" s="9">
        <v>0.51274124999999993</v>
      </c>
    </row>
    <row r="527" spans="1:9" x14ac:dyDescent="0.25">
      <c r="A527" s="5" t="s">
        <v>681</v>
      </c>
      <c r="B527" s="5" t="s">
        <v>88</v>
      </c>
      <c r="C527" s="6">
        <v>45996.798611111109</v>
      </c>
      <c r="D527" s="7">
        <v>328</v>
      </c>
      <c r="E527" s="8">
        <v>195.54</v>
      </c>
      <c r="F527" s="5" t="s">
        <v>156</v>
      </c>
      <c r="G527" s="8">
        <v>0.15</v>
      </c>
      <c r="H527" s="9">
        <v>64137.120000000003</v>
      </c>
      <c r="I527" s="9">
        <v>0.96205679999999993</v>
      </c>
    </row>
    <row r="528" spans="1:9" x14ac:dyDescent="0.25">
      <c r="A528" s="5" t="s">
        <v>682</v>
      </c>
      <c r="B528" s="5" t="s">
        <v>88</v>
      </c>
      <c r="C528" s="6">
        <v>45996.802083333343</v>
      </c>
      <c r="D528" s="7">
        <v>164</v>
      </c>
      <c r="E528" s="8">
        <v>195.48</v>
      </c>
      <c r="F528" s="5" t="s">
        <v>156</v>
      </c>
      <c r="G528" s="8">
        <v>0.15</v>
      </c>
      <c r="H528" s="9">
        <v>32058.720000000001</v>
      </c>
      <c r="I528" s="9">
        <v>0.48088079999999989</v>
      </c>
    </row>
    <row r="529" spans="1:9" x14ac:dyDescent="0.25">
      <c r="A529" s="5" t="s">
        <v>683</v>
      </c>
      <c r="B529" s="5" t="s">
        <v>88</v>
      </c>
      <c r="C529" s="6">
        <v>45996.805555555547</v>
      </c>
      <c r="D529" s="7">
        <v>238</v>
      </c>
      <c r="E529" s="8">
        <v>195.7</v>
      </c>
      <c r="F529" s="5" t="s">
        <v>154</v>
      </c>
      <c r="G529" s="8">
        <v>0.05</v>
      </c>
      <c r="H529" s="9">
        <v>46576.6</v>
      </c>
      <c r="I529" s="9">
        <v>0.23288300000000001</v>
      </c>
    </row>
    <row r="530" spans="1:9" x14ac:dyDescent="0.25">
      <c r="A530" s="5" t="s">
        <v>684</v>
      </c>
      <c r="B530" s="5" t="s">
        <v>88</v>
      </c>
      <c r="C530" s="6">
        <v>45996.809027777781</v>
      </c>
      <c r="D530" s="7">
        <v>77</v>
      </c>
      <c r="E530" s="8">
        <v>195.82</v>
      </c>
      <c r="F530" s="5" t="s">
        <v>156</v>
      </c>
      <c r="G530" s="8">
        <v>0.15</v>
      </c>
      <c r="H530" s="9">
        <v>15078.14</v>
      </c>
      <c r="I530" s="9">
        <v>0.22617209999999999</v>
      </c>
    </row>
    <row r="531" spans="1:9" x14ac:dyDescent="0.25">
      <c r="A531" s="5" t="s">
        <v>685</v>
      </c>
      <c r="B531" s="5" t="s">
        <v>88</v>
      </c>
      <c r="C531" s="6">
        <v>45996.8125</v>
      </c>
      <c r="D531" s="7">
        <v>542</v>
      </c>
      <c r="E531" s="8">
        <v>195.52</v>
      </c>
      <c r="F531" s="5" t="s">
        <v>159</v>
      </c>
      <c r="G531" s="8">
        <v>0.1</v>
      </c>
      <c r="H531" s="9">
        <v>105971.84</v>
      </c>
      <c r="I531" s="9">
        <v>1.0597183999999999</v>
      </c>
    </row>
    <row r="532" spans="1:9" x14ac:dyDescent="0.25">
      <c r="A532" s="5" t="s">
        <v>686</v>
      </c>
      <c r="B532" s="5" t="s">
        <v>88</v>
      </c>
      <c r="C532" s="6">
        <v>45996.815972222219</v>
      </c>
      <c r="D532" s="7">
        <v>514</v>
      </c>
      <c r="E532" s="8">
        <v>195.66</v>
      </c>
      <c r="F532" s="5" t="s">
        <v>156</v>
      </c>
      <c r="G532" s="8">
        <v>0.15</v>
      </c>
      <c r="H532" s="9">
        <v>100569.24</v>
      </c>
      <c r="I532" s="9">
        <v>1.5085386000000001</v>
      </c>
    </row>
    <row r="533" spans="1:9" x14ac:dyDescent="0.25">
      <c r="A533" s="5" t="s">
        <v>687</v>
      </c>
      <c r="B533" s="5" t="s">
        <v>88</v>
      </c>
      <c r="C533" s="6">
        <v>45996.819444444453</v>
      </c>
      <c r="D533" s="7">
        <v>432</v>
      </c>
      <c r="E533" s="8">
        <v>195.56</v>
      </c>
      <c r="F533" s="5" t="s">
        <v>154</v>
      </c>
      <c r="G533" s="8">
        <v>0.05</v>
      </c>
      <c r="H533" s="9">
        <v>84481.919999999998</v>
      </c>
      <c r="I533" s="9">
        <v>0.42240960000000011</v>
      </c>
    </row>
    <row r="534" spans="1:9" x14ac:dyDescent="0.25">
      <c r="A534" s="5" t="s">
        <v>688</v>
      </c>
      <c r="B534" s="5" t="s">
        <v>88</v>
      </c>
      <c r="C534" s="6">
        <v>45996.822916666657</v>
      </c>
      <c r="D534" s="7">
        <v>1101</v>
      </c>
      <c r="E534" s="8">
        <v>195.64</v>
      </c>
      <c r="F534" s="5" t="s">
        <v>154</v>
      </c>
      <c r="G534" s="8">
        <v>0.05</v>
      </c>
      <c r="H534" s="9">
        <v>215399.64</v>
      </c>
      <c r="I534" s="9">
        <v>1.0769982</v>
      </c>
    </row>
    <row r="535" spans="1:9" x14ac:dyDescent="0.25">
      <c r="A535" s="5" t="s">
        <v>689</v>
      </c>
      <c r="B535" s="5" t="s">
        <v>88</v>
      </c>
      <c r="C535" s="6">
        <v>45996.826388888891</v>
      </c>
      <c r="D535" s="7">
        <v>217</v>
      </c>
      <c r="E535" s="8">
        <v>195.56</v>
      </c>
      <c r="F535" s="5" t="s">
        <v>156</v>
      </c>
      <c r="G535" s="8">
        <v>0.15</v>
      </c>
      <c r="H535" s="9">
        <v>42436.52</v>
      </c>
      <c r="I535" s="9">
        <v>0.6365478</v>
      </c>
    </row>
    <row r="536" spans="1:9" x14ac:dyDescent="0.25">
      <c r="A536" s="5" t="s">
        <v>690</v>
      </c>
      <c r="B536" s="5" t="s">
        <v>88</v>
      </c>
      <c r="C536" s="6">
        <v>45996.833333333343</v>
      </c>
      <c r="D536" s="7">
        <v>1351</v>
      </c>
      <c r="E536" s="8">
        <v>194.84</v>
      </c>
      <c r="F536" s="5" t="s">
        <v>154</v>
      </c>
      <c r="G536" s="8">
        <v>0.05</v>
      </c>
      <c r="H536" s="9">
        <v>263228.84000000003</v>
      </c>
      <c r="I536" s="9">
        <v>1.3161442000000001</v>
      </c>
    </row>
    <row r="537" spans="1:9" x14ac:dyDescent="0.25">
      <c r="A537" s="5" t="s">
        <v>691</v>
      </c>
      <c r="B537" s="5" t="s">
        <v>89</v>
      </c>
      <c r="C537" s="6">
        <v>45996.697916666657</v>
      </c>
      <c r="D537" s="7">
        <v>1776</v>
      </c>
      <c r="E537" s="8">
        <v>186.44</v>
      </c>
      <c r="F537" s="5" t="s">
        <v>156</v>
      </c>
      <c r="G537" s="8">
        <v>0.15</v>
      </c>
      <c r="H537" s="9">
        <v>331117.44</v>
      </c>
      <c r="I537" s="9">
        <v>4.9667615999999999</v>
      </c>
    </row>
    <row r="538" spans="1:9" x14ac:dyDescent="0.25">
      <c r="A538" s="5" t="s">
        <v>692</v>
      </c>
      <c r="B538" s="5" t="s">
        <v>89</v>
      </c>
      <c r="C538" s="6">
        <v>45996.701388888891</v>
      </c>
      <c r="D538" s="7">
        <v>835</v>
      </c>
      <c r="E538" s="8">
        <v>186.37</v>
      </c>
      <c r="F538" s="5" t="s">
        <v>159</v>
      </c>
      <c r="G538" s="8">
        <v>0.1</v>
      </c>
      <c r="H538" s="9">
        <v>155618.95000000001</v>
      </c>
      <c r="I538" s="9">
        <v>1.5561894999999999</v>
      </c>
    </row>
    <row r="539" spans="1:9" x14ac:dyDescent="0.25">
      <c r="A539" s="5" t="s">
        <v>693</v>
      </c>
      <c r="B539" s="5" t="s">
        <v>89</v>
      </c>
      <c r="C539" s="6">
        <v>45996.708333333343</v>
      </c>
      <c r="D539" s="7">
        <v>592</v>
      </c>
      <c r="E539" s="8">
        <v>186.38</v>
      </c>
      <c r="F539" s="5" t="s">
        <v>156</v>
      </c>
      <c r="G539" s="8">
        <v>0.15</v>
      </c>
      <c r="H539" s="9">
        <v>110336.96000000001</v>
      </c>
      <c r="I539" s="9">
        <v>1.6550544</v>
      </c>
    </row>
    <row r="540" spans="1:9" x14ac:dyDescent="0.25">
      <c r="A540" s="5" t="s">
        <v>694</v>
      </c>
      <c r="B540" s="5" t="s">
        <v>89</v>
      </c>
      <c r="C540" s="6">
        <v>45996.711805555547</v>
      </c>
      <c r="D540" s="7">
        <v>514</v>
      </c>
      <c r="E540" s="8">
        <v>186.51</v>
      </c>
      <c r="F540" s="5" t="s">
        <v>156</v>
      </c>
      <c r="G540" s="8">
        <v>0.15</v>
      </c>
      <c r="H540" s="9">
        <v>95866.14</v>
      </c>
      <c r="I540" s="9">
        <v>1.4379921</v>
      </c>
    </row>
    <row r="541" spans="1:9" x14ac:dyDescent="0.25">
      <c r="A541" s="5" t="s">
        <v>695</v>
      </c>
      <c r="B541" s="5" t="s">
        <v>89</v>
      </c>
      <c r="C541" s="6">
        <v>45996.71875</v>
      </c>
      <c r="D541" s="7">
        <v>1040</v>
      </c>
      <c r="E541" s="8">
        <v>186.39</v>
      </c>
      <c r="F541" s="5" t="s">
        <v>154</v>
      </c>
      <c r="G541" s="8">
        <v>0.05</v>
      </c>
      <c r="H541" s="9">
        <v>193845.6</v>
      </c>
      <c r="I541" s="9">
        <v>0.96922799999999987</v>
      </c>
    </row>
    <row r="542" spans="1:9" x14ac:dyDescent="0.25">
      <c r="A542" s="5" t="s">
        <v>696</v>
      </c>
      <c r="B542" s="5" t="s">
        <v>89</v>
      </c>
      <c r="C542" s="6">
        <v>45996.725694444453</v>
      </c>
      <c r="D542" s="7">
        <v>431</v>
      </c>
      <c r="E542" s="8">
        <v>185.69</v>
      </c>
      <c r="F542" s="5" t="s">
        <v>159</v>
      </c>
      <c r="G542" s="8">
        <v>0.1</v>
      </c>
      <c r="H542" s="9">
        <v>80032.39</v>
      </c>
      <c r="I542" s="9">
        <v>0.80032390000000009</v>
      </c>
    </row>
    <row r="543" spans="1:9" x14ac:dyDescent="0.25">
      <c r="A543" s="5" t="s">
        <v>697</v>
      </c>
      <c r="B543" s="5" t="s">
        <v>89</v>
      </c>
      <c r="C543" s="6">
        <v>45996.729166666657</v>
      </c>
      <c r="D543" s="7">
        <v>2134</v>
      </c>
      <c r="E543" s="8">
        <v>185.57</v>
      </c>
      <c r="F543" s="5" t="s">
        <v>159</v>
      </c>
      <c r="G543" s="8">
        <v>0.1</v>
      </c>
      <c r="H543" s="9">
        <v>396006.38</v>
      </c>
      <c r="I543" s="9">
        <v>3.9600638000000008</v>
      </c>
    </row>
    <row r="544" spans="1:9" x14ac:dyDescent="0.25">
      <c r="A544" s="5" t="s">
        <v>698</v>
      </c>
      <c r="B544" s="5" t="s">
        <v>89</v>
      </c>
      <c r="C544" s="6">
        <v>45996.736111111109</v>
      </c>
      <c r="D544" s="7">
        <v>208</v>
      </c>
      <c r="E544" s="8">
        <v>186.01</v>
      </c>
      <c r="F544" s="5" t="s">
        <v>156</v>
      </c>
      <c r="G544" s="8">
        <v>0.15</v>
      </c>
      <c r="H544" s="9">
        <v>38690.080000000002</v>
      </c>
      <c r="I544" s="9">
        <v>0.58035119999999996</v>
      </c>
    </row>
    <row r="545" spans="1:9" x14ac:dyDescent="0.25">
      <c r="A545" s="5" t="s">
        <v>699</v>
      </c>
      <c r="B545" s="5" t="s">
        <v>89</v>
      </c>
      <c r="C545" s="6">
        <v>45996.739583333343</v>
      </c>
      <c r="D545" s="7">
        <v>338</v>
      </c>
      <c r="E545" s="8">
        <v>185.69</v>
      </c>
      <c r="F545" s="5" t="s">
        <v>154</v>
      </c>
      <c r="G545" s="8">
        <v>0.05</v>
      </c>
      <c r="H545" s="9">
        <v>62763.22</v>
      </c>
      <c r="I545" s="9">
        <v>0.31381609999999999</v>
      </c>
    </row>
    <row r="546" spans="1:9" x14ac:dyDescent="0.25">
      <c r="A546" s="5" t="s">
        <v>700</v>
      </c>
      <c r="B546" s="5" t="s">
        <v>89</v>
      </c>
      <c r="C546" s="6">
        <v>45996.743055555547</v>
      </c>
      <c r="D546" s="7">
        <v>2687</v>
      </c>
      <c r="E546" s="8">
        <v>185.54</v>
      </c>
      <c r="F546" s="5" t="s">
        <v>156</v>
      </c>
      <c r="G546" s="8">
        <v>0.15</v>
      </c>
      <c r="H546" s="9">
        <v>498545.98</v>
      </c>
      <c r="I546" s="9">
        <v>7.4781896999999997</v>
      </c>
    </row>
    <row r="547" spans="1:9" x14ac:dyDescent="0.25">
      <c r="A547" s="5" t="s">
        <v>701</v>
      </c>
      <c r="B547" s="5" t="s">
        <v>90</v>
      </c>
      <c r="C547" s="6">
        <v>45992.663194444453</v>
      </c>
      <c r="D547" s="7">
        <v>2422</v>
      </c>
      <c r="E547" s="8">
        <v>414.4</v>
      </c>
      <c r="F547" s="5" t="s">
        <v>156</v>
      </c>
      <c r="G547" s="8">
        <v>0.15</v>
      </c>
      <c r="H547" s="9">
        <v>1003676.8</v>
      </c>
      <c r="I547" s="9">
        <v>15.055152</v>
      </c>
    </row>
    <row r="548" spans="1:9" x14ac:dyDescent="0.25">
      <c r="A548" s="5" t="s">
        <v>702</v>
      </c>
      <c r="B548" s="5" t="s">
        <v>90</v>
      </c>
      <c r="C548" s="6">
        <v>45992.670138888891</v>
      </c>
      <c r="D548" s="7">
        <v>1372</v>
      </c>
      <c r="E548" s="8">
        <v>414.45</v>
      </c>
      <c r="F548" s="5" t="s">
        <v>156</v>
      </c>
      <c r="G548" s="8">
        <v>0.15</v>
      </c>
      <c r="H548" s="9">
        <v>568625.4</v>
      </c>
      <c r="I548" s="9">
        <v>8.529380999999999</v>
      </c>
    </row>
    <row r="549" spans="1:9" x14ac:dyDescent="0.25">
      <c r="A549" s="5" t="s">
        <v>703</v>
      </c>
      <c r="B549" s="5" t="s">
        <v>90</v>
      </c>
      <c r="C549" s="6">
        <v>45992.680555555547</v>
      </c>
      <c r="D549" s="7">
        <v>3133</v>
      </c>
      <c r="E549" s="8">
        <v>414.54</v>
      </c>
      <c r="F549" s="5" t="s">
        <v>156</v>
      </c>
      <c r="G549" s="8">
        <v>0.15</v>
      </c>
      <c r="H549" s="9">
        <v>1298753.82</v>
      </c>
      <c r="I549" s="9">
        <v>19.481307300000001</v>
      </c>
    </row>
    <row r="550" spans="1:9" x14ac:dyDescent="0.25">
      <c r="A550" s="5" t="s">
        <v>704</v>
      </c>
      <c r="B550" s="5" t="s">
        <v>90</v>
      </c>
      <c r="C550" s="6">
        <v>45992.684027777781</v>
      </c>
      <c r="D550" s="7">
        <v>611</v>
      </c>
      <c r="E550" s="8">
        <v>414.65</v>
      </c>
      <c r="F550" s="5" t="s">
        <v>156</v>
      </c>
      <c r="G550" s="8">
        <v>0.15</v>
      </c>
      <c r="H550" s="9">
        <v>253351.15</v>
      </c>
      <c r="I550" s="9">
        <v>3.8002672500000001</v>
      </c>
    </row>
    <row r="551" spans="1:9" x14ac:dyDescent="0.25">
      <c r="A551" s="5" t="s">
        <v>705</v>
      </c>
      <c r="B551" s="5" t="s">
        <v>91</v>
      </c>
      <c r="C551" s="6">
        <v>45996.770833333343</v>
      </c>
      <c r="D551" s="7">
        <v>1159</v>
      </c>
      <c r="E551" s="8">
        <v>185.38</v>
      </c>
      <c r="F551" s="5" t="s">
        <v>154</v>
      </c>
      <c r="G551" s="8">
        <v>0.05</v>
      </c>
      <c r="H551" s="9">
        <v>214855.42</v>
      </c>
      <c r="I551" s="9">
        <v>1.0742771</v>
      </c>
    </row>
    <row r="552" spans="1:9" x14ac:dyDescent="0.25">
      <c r="A552" s="5" t="s">
        <v>706</v>
      </c>
      <c r="B552" s="5" t="s">
        <v>91</v>
      </c>
      <c r="C552" s="6">
        <v>45996.798611111109</v>
      </c>
      <c r="D552" s="7">
        <v>94</v>
      </c>
      <c r="E552" s="8">
        <v>185.52</v>
      </c>
      <c r="F552" s="5" t="s">
        <v>159</v>
      </c>
      <c r="G552" s="8">
        <v>0.1</v>
      </c>
      <c r="H552" s="9">
        <v>17438.88</v>
      </c>
      <c r="I552" s="9">
        <v>0.17438880000000001</v>
      </c>
    </row>
    <row r="553" spans="1:9" x14ac:dyDescent="0.25">
      <c r="A553" s="5" t="s">
        <v>707</v>
      </c>
      <c r="B553" s="5" t="s">
        <v>91</v>
      </c>
      <c r="C553" s="6">
        <v>45996.809027777781</v>
      </c>
      <c r="D553" s="7">
        <v>904</v>
      </c>
      <c r="E553" s="8">
        <v>185.91</v>
      </c>
      <c r="F553" s="5" t="s">
        <v>154</v>
      </c>
      <c r="G553" s="8">
        <v>0.05</v>
      </c>
      <c r="H553" s="9">
        <v>168062.64</v>
      </c>
      <c r="I553" s="9">
        <v>0.84031319999999998</v>
      </c>
    </row>
    <row r="554" spans="1:9" x14ac:dyDescent="0.25">
      <c r="A554" s="5" t="s">
        <v>708</v>
      </c>
      <c r="B554" s="5" t="s">
        <v>91</v>
      </c>
      <c r="C554" s="6">
        <v>45996.8125</v>
      </c>
      <c r="D554" s="7">
        <v>2008</v>
      </c>
      <c r="E554" s="8">
        <v>185.82</v>
      </c>
      <c r="F554" s="5" t="s">
        <v>154</v>
      </c>
      <c r="G554" s="8">
        <v>0.05</v>
      </c>
      <c r="H554" s="9">
        <v>373126.56</v>
      </c>
      <c r="I554" s="9">
        <v>1.8656328</v>
      </c>
    </row>
    <row r="555" spans="1:9" x14ac:dyDescent="0.25">
      <c r="A555" s="5" t="s">
        <v>709</v>
      </c>
      <c r="B555" s="5" t="s">
        <v>92</v>
      </c>
      <c r="C555" s="6">
        <v>45994.611111111109</v>
      </c>
      <c r="D555" s="7">
        <v>313</v>
      </c>
      <c r="E555" s="8">
        <v>193.04</v>
      </c>
      <c r="F555" s="5" t="s">
        <v>154</v>
      </c>
      <c r="G555" s="8">
        <v>0.05</v>
      </c>
      <c r="H555" s="9">
        <v>60421.52</v>
      </c>
      <c r="I555" s="9">
        <v>0.30210759999999998</v>
      </c>
    </row>
    <row r="556" spans="1:9" x14ac:dyDescent="0.25">
      <c r="A556" s="5" t="s">
        <v>710</v>
      </c>
      <c r="B556" s="5" t="s">
        <v>92</v>
      </c>
      <c r="C556" s="6">
        <v>45994.614583333343</v>
      </c>
      <c r="D556" s="7">
        <v>531</v>
      </c>
      <c r="E556" s="8">
        <v>193.05</v>
      </c>
      <c r="F556" s="5" t="s">
        <v>159</v>
      </c>
      <c r="G556" s="8">
        <v>0.1</v>
      </c>
      <c r="H556" s="9">
        <v>102509.55</v>
      </c>
      <c r="I556" s="9">
        <v>1.0250954999999999</v>
      </c>
    </row>
    <row r="557" spans="1:9" x14ac:dyDescent="0.25">
      <c r="A557" s="5" t="s">
        <v>711</v>
      </c>
      <c r="B557" s="5" t="s">
        <v>92</v>
      </c>
      <c r="C557" s="6">
        <v>45994.618055555547</v>
      </c>
      <c r="D557" s="7">
        <v>674</v>
      </c>
      <c r="E557" s="8">
        <v>193.11</v>
      </c>
      <c r="F557" s="5" t="s">
        <v>156</v>
      </c>
      <c r="G557" s="8">
        <v>0.15</v>
      </c>
      <c r="H557" s="9">
        <v>130156.14</v>
      </c>
      <c r="I557" s="9">
        <v>1.9523421000000001</v>
      </c>
    </row>
    <row r="558" spans="1:9" x14ac:dyDescent="0.25">
      <c r="A558" s="5" t="s">
        <v>712</v>
      </c>
      <c r="B558" s="5" t="s">
        <v>92</v>
      </c>
      <c r="C558" s="6">
        <v>45994.621527777781</v>
      </c>
      <c r="D558" s="7">
        <v>179</v>
      </c>
      <c r="E558" s="8">
        <v>192.89</v>
      </c>
      <c r="F558" s="5" t="s">
        <v>159</v>
      </c>
      <c r="G558" s="8">
        <v>0.1</v>
      </c>
      <c r="H558" s="9">
        <v>34527.31</v>
      </c>
      <c r="I558" s="9">
        <v>0.3452731</v>
      </c>
    </row>
    <row r="559" spans="1:9" x14ac:dyDescent="0.25">
      <c r="A559" s="5" t="s">
        <v>713</v>
      </c>
      <c r="B559" s="5" t="s">
        <v>92</v>
      </c>
      <c r="C559" s="6">
        <v>45994.625</v>
      </c>
      <c r="D559" s="7">
        <v>233</v>
      </c>
      <c r="E559" s="8">
        <v>192.97</v>
      </c>
      <c r="F559" s="5" t="s">
        <v>156</v>
      </c>
      <c r="G559" s="8">
        <v>0.15</v>
      </c>
      <c r="H559" s="9">
        <v>44962.01</v>
      </c>
      <c r="I559" s="9">
        <v>0.67443015000000006</v>
      </c>
    </row>
    <row r="560" spans="1:9" x14ac:dyDescent="0.25">
      <c r="A560" s="5" t="s">
        <v>714</v>
      </c>
      <c r="B560" s="5" t="s">
        <v>92</v>
      </c>
      <c r="C560" s="6">
        <v>45994.628472222219</v>
      </c>
      <c r="D560" s="7">
        <v>359</v>
      </c>
      <c r="E560" s="8">
        <v>192.8</v>
      </c>
      <c r="F560" s="5" t="s">
        <v>154</v>
      </c>
      <c r="G560" s="8">
        <v>0.05</v>
      </c>
      <c r="H560" s="9">
        <v>69215.199999999997</v>
      </c>
      <c r="I560" s="9">
        <v>0.34607599999999999</v>
      </c>
    </row>
    <row r="561" spans="1:9" x14ac:dyDescent="0.25">
      <c r="A561" s="5" t="s">
        <v>715</v>
      </c>
      <c r="B561" s="5" t="s">
        <v>92</v>
      </c>
      <c r="C561" s="6">
        <v>45994.631944444453</v>
      </c>
      <c r="D561" s="7">
        <v>3190</v>
      </c>
      <c r="E561" s="8">
        <v>192.66</v>
      </c>
      <c r="F561" s="5" t="s">
        <v>154</v>
      </c>
      <c r="G561" s="8">
        <v>0.05</v>
      </c>
      <c r="H561" s="9">
        <v>614585.4</v>
      </c>
      <c r="I561" s="9">
        <v>3.072927</v>
      </c>
    </row>
    <row r="562" spans="1:9" x14ac:dyDescent="0.25">
      <c r="A562" s="5" t="s">
        <v>716</v>
      </c>
      <c r="B562" s="5" t="s">
        <v>93</v>
      </c>
      <c r="C562" s="6">
        <v>45995.628472222219</v>
      </c>
      <c r="D562" s="7">
        <v>276</v>
      </c>
      <c r="E562" s="8">
        <v>422.02</v>
      </c>
      <c r="F562" s="5" t="s">
        <v>159</v>
      </c>
      <c r="G562" s="8">
        <v>0.1</v>
      </c>
      <c r="H562" s="9">
        <v>116477.52</v>
      </c>
      <c r="I562" s="9">
        <v>1.1647752</v>
      </c>
    </row>
    <row r="563" spans="1:9" x14ac:dyDescent="0.25">
      <c r="A563" s="5" t="s">
        <v>717</v>
      </c>
      <c r="B563" s="5" t="s">
        <v>93</v>
      </c>
      <c r="C563" s="6">
        <v>45995.642361111109</v>
      </c>
      <c r="D563" s="7">
        <v>2643</v>
      </c>
      <c r="E563" s="8">
        <v>421.21</v>
      </c>
      <c r="F563" s="5" t="s">
        <v>156</v>
      </c>
      <c r="G563" s="8">
        <v>0.15</v>
      </c>
      <c r="H563" s="9">
        <v>1113258.03</v>
      </c>
      <c r="I563" s="9">
        <v>16.698870450000001</v>
      </c>
    </row>
    <row r="564" spans="1:9" x14ac:dyDescent="0.25">
      <c r="A564" s="5" t="s">
        <v>718</v>
      </c>
      <c r="B564" s="5" t="s">
        <v>93</v>
      </c>
      <c r="C564" s="6">
        <v>45995.652777777781</v>
      </c>
      <c r="D564" s="7">
        <v>752</v>
      </c>
      <c r="E564" s="8">
        <v>422.57</v>
      </c>
      <c r="F564" s="5" t="s">
        <v>159</v>
      </c>
      <c r="G564" s="8">
        <v>0.1</v>
      </c>
      <c r="H564" s="9">
        <v>317772.64</v>
      </c>
      <c r="I564" s="9">
        <v>3.177726400000001</v>
      </c>
    </row>
    <row r="565" spans="1:9" x14ac:dyDescent="0.25">
      <c r="A565" s="5" t="s">
        <v>719</v>
      </c>
      <c r="B565" s="5" t="s">
        <v>93</v>
      </c>
      <c r="C565" s="6">
        <v>45995.663194444453</v>
      </c>
      <c r="D565" s="7">
        <v>3880</v>
      </c>
      <c r="E565" s="8">
        <v>422.64</v>
      </c>
      <c r="F565" s="5" t="s">
        <v>159</v>
      </c>
      <c r="G565" s="8">
        <v>0.1</v>
      </c>
      <c r="H565" s="9">
        <v>1639843.2</v>
      </c>
      <c r="I565" s="9">
        <v>16.398432</v>
      </c>
    </row>
    <row r="566" spans="1:9" x14ac:dyDescent="0.25">
      <c r="A566" s="5" t="s">
        <v>720</v>
      </c>
      <c r="B566" s="5" t="s">
        <v>93</v>
      </c>
      <c r="C566" s="6">
        <v>45995.684027777781</v>
      </c>
      <c r="D566" s="7">
        <v>8364</v>
      </c>
      <c r="E566" s="8">
        <v>423.09</v>
      </c>
      <c r="F566" s="5" t="s">
        <v>156</v>
      </c>
      <c r="G566" s="8">
        <v>0.15</v>
      </c>
      <c r="H566" s="9">
        <v>3538724.76</v>
      </c>
      <c r="I566" s="9">
        <v>53.080871399999992</v>
      </c>
    </row>
    <row r="567" spans="1:9" x14ac:dyDescent="0.25">
      <c r="A567" s="5" t="s">
        <v>721</v>
      </c>
      <c r="B567" s="5" t="s">
        <v>93</v>
      </c>
      <c r="C567" s="6">
        <v>45995.715277777781</v>
      </c>
      <c r="D567" s="7">
        <v>2564</v>
      </c>
      <c r="E567" s="8">
        <v>424.24</v>
      </c>
      <c r="F567" s="5" t="s">
        <v>154</v>
      </c>
      <c r="G567" s="8">
        <v>0.05</v>
      </c>
      <c r="H567" s="9">
        <v>1087751.3600000001</v>
      </c>
      <c r="I567" s="9">
        <v>5.4387568000000011</v>
      </c>
    </row>
    <row r="568" spans="1:9" x14ac:dyDescent="0.25">
      <c r="A568" s="5" t="s">
        <v>722</v>
      </c>
      <c r="B568" s="5" t="s">
        <v>94</v>
      </c>
      <c r="C568" s="6">
        <v>45995.722222222219</v>
      </c>
      <c r="D568" s="7">
        <v>1175</v>
      </c>
      <c r="E568" s="8">
        <v>248.18</v>
      </c>
      <c r="F568" s="5" t="s">
        <v>154</v>
      </c>
      <c r="G568" s="8">
        <v>0.05</v>
      </c>
      <c r="H568" s="9">
        <v>291611.5</v>
      </c>
      <c r="I568" s="9">
        <v>1.4580575</v>
      </c>
    </row>
    <row r="569" spans="1:9" x14ac:dyDescent="0.25">
      <c r="A569" s="5" t="s">
        <v>723</v>
      </c>
      <c r="B569" s="5" t="s">
        <v>94</v>
      </c>
      <c r="C569" s="6">
        <v>45995.725694444453</v>
      </c>
      <c r="D569" s="7">
        <v>8099</v>
      </c>
      <c r="E569" s="8">
        <v>248.53</v>
      </c>
      <c r="F569" s="5" t="s">
        <v>159</v>
      </c>
      <c r="G569" s="8">
        <v>0.1</v>
      </c>
      <c r="H569" s="9">
        <v>2012844.47</v>
      </c>
      <c r="I569" s="9">
        <v>20.128444699999999</v>
      </c>
    </row>
    <row r="570" spans="1:9" x14ac:dyDescent="0.25">
      <c r="A570" s="5" t="s">
        <v>724</v>
      </c>
      <c r="B570" s="5" t="s">
        <v>94</v>
      </c>
      <c r="C570" s="6">
        <v>45995.732638888891</v>
      </c>
      <c r="D570" s="7">
        <v>302</v>
      </c>
      <c r="E570" s="8">
        <v>248.77</v>
      </c>
      <c r="F570" s="5" t="s">
        <v>156</v>
      </c>
      <c r="G570" s="8">
        <v>0.15</v>
      </c>
      <c r="H570" s="9">
        <v>75128.540000000008</v>
      </c>
      <c r="I570" s="9">
        <v>1.1269281</v>
      </c>
    </row>
    <row r="571" spans="1:9" x14ac:dyDescent="0.25">
      <c r="A571" s="5" t="s">
        <v>725</v>
      </c>
      <c r="B571" s="5" t="s">
        <v>95</v>
      </c>
      <c r="C571" s="6">
        <v>45995.680555555547</v>
      </c>
      <c r="D571" s="7">
        <v>76</v>
      </c>
      <c r="E571" s="8">
        <v>423.88</v>
      </c>
      <c r="F571" s="5" t="s">
        <v>156</v>
      </c>
      <c r="G571" s="8">
        <v>0.15</v>
      </c>
      <c r="H571" s="9">
        <v>32214.880000000001</v>
      </c>
      <c r="I571" s="9">
        <v>0.48322320000000002</v>
      </c>
    </row>
    <row r="572" spans="1:9" x14ac:dyDescent="0.25">
      <c r="A572" s="5" t="s">
        <v>726</v>
      </c>
      <c r="B572" s="5" t="s">
        <v>95</v>
      </c>
      <c r="C572" s="6">
        <v>45995.684027777781</v>
      </c>
      <c r="D572" s="7">
        <v>1568</v>
      </c>
      <c r="E572" s="8">
        <v>423.55</v>
      </c>
      <c r="F572" s="5" t="s">
        <v>156</v>
      </c>
      <c r="G572" s="8">
        <v>0.15</v>
      </c>
      <c r="H572" s="9">
        <v>664126.4</v>
      </c>
      <c r="I572" s="9">
        <v>9.9618960000000012</v>
      </c>
    </row>
    <row r="573" spans="1:9" x14ac:dyDescent="0.25">
      <c r="A573" s="5" t="s">
        <v>727</v>
      </c>
      <c r="B573" s="5" t="s">
        <v>95</v>
      </c>
      <c r="C573" s="6">
        <v>45995.6875</v>
      </c>
      <c r="D573" s="7">
        <v>1665</v>
      </c>
      <c r="E573" s="8">
        <v>424.1</v>
      </c>
      <c r="F573" s="5" t="s">
        <v>156</v>
      </c>
      <c r="G573" s="8">
        <v>0.15</v>
      </c>
      <c r="H573" s="9">
        <v>706126.5</v>
      </c>
      <c r="I573" s="9">
        <v>10.5918975</v>
      </c>
    </row>
    <row r="574" spans="1:9" x14ac:dyDescent="0.25">
      <c r="A574" s="5" t="s">
        <v>728</v>
      </c>
      <c r="B574" s="5" t="s">
        <v>95</v>
      </c>
      <c r="C574" s="6">
        <v>45995.690972222219</v>
      </c>
      <c r="D574" s="7">
        <v>947</v>
      </c>
      <c r="E574" s="8">
        <v>423.92</v>
      </c>
      <c r="F574" s="5" t="s">
        <v>159</v>
      </c>
      <c r="G574" s="8">
        <v>0.1</v>
      </c>
      <c r="H574" s="9">
        <v>401452.24</v>
      </c>
      <c r="I574" s="9">
        <v>4.0145224000000006</v>
      </c>
    </row>
    <row r="575" spans="1:9" x14ac:dyDescent="0.25">
      <c r="A575" s="5" t="s">
        <v>729</v>
      </c>
      <c r="B575" s="5" t="s">
        <v>95</v>
      </c>
      <c r="C575" s="6">
        <v>45995.694444444453</v>
      </c>
      <c r="D575" s="7">
        <v>592</v>
      </c>
      <c r="E575" s="8">
        <v>423.72</v>
      </c>
      <c r="F575" s="5" t="s">
        <v>159</v>
      </c>
      <c r="G575" s="8">
        <v>0.1</v>
      </c>
      <c r="H575" s="9">
        <v>250842.23999999999</v>
      </c>
      <c r="I575" s="9">
        <v>2.5084224000000002</v>
      </c>
    </row>
    <row r="576" spans="1:9" x14ac:dyDescent="0.25">
      <c r="A576" s="5" t="s">
        <v>730</v>
      </c>
      <c r="B576" s="5" t="s">
        <v>95</v>
      </c>
      <c r="C576" s="6">
        <v>45995.697916666657</v>
      </c>
      <c r="D576" s="7">
        <v>162</v>
      </c>
      <c r="E576" s="8">
        <v>424.49</v>
      </c>
      <c r="F576" s="5" t="s">
        <v>159</v>
      </c>
      <c r="G576" s="8">
        <v>0.1</v>
      </c>
      <c r="H576" s="9">
        <v>68767.38</v>
      </c>
      <c r="I576" s="9">
        <v>0.68767380000000011</v>
      </c>
    </row>
    <row r="577" spans="1:9" x14ac:dyDescent="0.25">
      <c r="A577" s="5" t="s">
        <v>731</v>
      </c>
      <c r="B577" s="5" t="s">
        <v>95</v>
      </c>
      <c r="C577" s="6">
        <v>45995.701388888891</v>
      </c>
      <c r="D577" s="7">
        <v>953</v>
      </c>
      <c r="E577" s="8">
        <v>424.13</v>
      </c>
      <c r="F577" s="5" t="s">
        <v>156</v>
      </c>
      <c r="G577" s="8">
        <v>0.15</v>
      </c>
      <c r="H577" s="9">
        <v>404195.89</v>
      </c>
      <c r="I577" s="9">
        <v>6.0629383499999996</v>
      </c>
    </row>
    <row r="578" spans="1:9" x14ac:dyDescent="0.25">
      <c r="A578" s="5" t="s">
        <v>732</v>
      </c>
      <c r="B578" s="5" t="s">
        <v>95</v>
      </c>
      <c r="C578" s="6">
        <v>45995.704861111109</v>
      </c>
      <c r="D578" s="7">
        <v>3594</v>
      </c>
      <c r="E578" s="8">
        <v>423.9</v>
      </c>
      <c r="F578" s="5" t="s">
        <v>159</v>
      </c>
      <c r="G578" s="8">
        <v>0.1</v>
      </c>
      <c r="H578" s="9">
        <v>1523496.6</v>
      </c>
      <c r="I578" s="9">
        <v>15.234966</v>
      </c>
    </row>
    <row r="579" spans="1:9" x14ac:dyDescent="0.25">
      <c r="A579" s="5" t="s">
        <v>733</v>
      </c>
      <c r="B579" s="5" t="s">
        <v>96</v>
      </c>
      <c r="C579" s="6">
        <v>45995.642361111109</v>
      </c>
      <c r="D579" s="7">
        <v>1435</v>
      </c>
      <c r="E579" s="8">
        <v>185.05</v>
      </c>
      <c r="F579" s="5" t="s">
        <v>159</v>
      </c>
      <c r="G579" s="8">
        <v>0.1</v>
      </c>
      <c r="H579" s="9">
        <v>265546.75</v>
      </c>
      <c r="I579" s="9">
        <v>2.6554674999999999</v>
      </c>
    </row>
    <row r="580" spans="1:9" x14ac:dyDescent="0.25">
      <c r="A580" s="5" t="s">
        <v>734</v>
      </c>
      <c r="B580" s="5" t="s">
        <v>96</v>
      </c>
      <c r="C580" s="6">
        <v>45995.645833333343</v>
      </c>
      <c r="D580" s="7">
        <v>4024</v>
      </c>
      <c r="E580" s="8">
        <v>185.09</v>
      </c>
      <c r="F580" s="5" t="s">
        <v>156</v>
      </c>
      <c r="G580" s="8">
        <v>0.15</v>
      </c>
      <c r="H580" s="9">
        <v>744802.16</v>
      </c>
      <c r="I580" s="9">
        <v>11.172032400000001</v>
      </c>
    </row>
    <row r="581" spans="1:9" x14ac:dyDescent="0.25">
      <c r="A581" s="5" t="s">
        <v>735</v>
      </c>
      <c r="B581" s="5" t="s">
        <v>96</v>
      </c>
      <c r="C581" s="6">
        <v>45995.659722222219</v>
      </c>
      <c r="D581" s="7">
        <v>1448</v>
      </c>
      <c r="E581" s="8">
        <v>185.63</v>
      </c>
      <c r="F581" s="5" t="s">
        <v>154</v>
      </c>
      <c r="G581" s="8">
        <v>0.05</v>
      </c>
      <c r="H581" s="9">
        <v>268792.24</v>
      </c>
      <c r="I581" s="9">
        <v>1.3439612000000001</v>
      </c>
    </row>
    <row r="582" spans="1:9" x14ac:dyDescent="0.25">
      <c r="A582" s="5" t="s">
        <v>736</v>
      </c>
      <c r="B582" s="5" t="s">
        <v>97</v>
      </c>
      <c r="C582" s="6">
        <v>45996.65625</v>
      </c>
      <c r="D582" s="7">
        <v>398</v>
      </c>
      <c r="E582" s="8">
        <v>185.93</v>
      </c>
      <c r="F582" s="5" t="s">
        <v>159</v>
      </c>
      <c r="G582" s="8">
        <v>0.1</v>
      </c>
      <c r="H582" s="9">
        <v>74000.14</v>
      </c>
      <c r="I582" s="9">
        <v>0.74000140000000003</v>
      </c>
    </row>
    <row r="583" spans="1:9" x14ac:dyDescent="0.25">
      <c r="A583" s="5" t="s">
        <v>737</v>
      </c>
      <c r="B583" s="5" t="s">
        <v>97</v>
      </c>
      <c r="C583" s="6">
        <v>45996.663194444453</v>
      </c>
      <c r="D583" s="7">
        <v>1061</v>
      </c>
      <c r="E583" s="8">
        <v>185.92</v>
      </c>
      <c r="F583" s="5" t="s">
        <v>156</v>
      </c>
      <c r="G583" s="8">
        <v>0.15</v>
      </c>
      <c r="H583" s="9">
        <v>197261.12</v>
      </c>
      <c r="I583" s="9">
        <v>2.9589167999999999</v>
      </c>
    </row>
    <row r="584" spans="1:9" x14ac:dyDescent="0.25">
      <c r="A584" s="5" t="s">
        <v>738</v>
      </c>
      <c r="B584" s="5" t="s">
        <v>97</v>
      </c>
      <c r="C584" s="6">
        <v>45996.666666666657</v>
      </c>
      <c r="D584" s="7">
        <v>715</v>
      </c>
      <c r="E584" s="8">
        <v>185.93</v>
      </c>
      <c r="F584" s="5" t="s">
        <v>156</v>
      </c>
      <c r="G584" s="8">
        <v>0.15</v>
      </c>
      <c r="H584" s="9">
        <v>132939.95000000001</v>
      </c>
      <c r="I584" s="9">
        <v>1.9940992500000001</v>
      </c>
    </row>
    <row r="585" spans="1:9" x14ac:dyDescent="0.25">
      <c r="A585" s="5" t="s">
        <v>739</v>
      </c>
      <c r="B585" s="5" t="s">
        <v>97</v>
      </c>
      <c r="C585" s="6">
        <v>45996.680555555547</v>
      </c>
      <c r="D585" s="7">
        <v>93</v>
      </c>
      <c r="E585" s="8">
        <v>185.89</v>
      </c>
      <c r="F585" s="5" t="s">
        <v>156</v>
      </c>
      <c r="G585" s="8">
        <v>0.15</v>
      </c>
      <c r="H585" s="9">
        <v>17287.77</v>
      </c>
      <c r="I585" s="9">
        <v>0.25931654999999998</v>
      </c>
    </row>
    <row r="586" spans="1:9" x14ac:dyDescent="0.25">
      <c r="A586" s="5" t="s">
        <v>740</v>
      </c>
      <c r="B586" s="5" t="s">
        <v>97</v>
      </c>
      <c r="C586" s="6">
        <v>45996.690972222219</v>
      </c>
      <c r="D586" s="7">
        <v>325</v>
      </c>
      <c r="E586" s="8">
        <v>186.19</v>
      </c>
      <c r="F586" s="5" t="s">
        <v>154</v>
      </c>
      <c r="G586" s="8">
        <v>0.05</v>
      </c>
      <c r="H586" s="9">
        <v>60511.75</v>
      </c>
      <c r="I586" s="9">
        <v>0.30255874999999999</v>
      </c>
    </row>
    <row r="587" spans="1:9" x14ac:dyDescent="0.25">
      <c r="A587" s="5" t="s">
        <v>741</v>
      </c>
      <c r="B587" s="5" t="s">
        <v>97</v>
      </c>
      <c r="C587" s="6">
        <v>45996.697916666657</v>
      </c>
      <c r="D587" s="7">
        <v>507</v>
      </c>
      <c r="E587" s="8">
        <v>186.23</v>
      </c>
      <c r="F587" s="5" t="s">
        <v>159</v>
      </c>
      <c r="G587" s="8">
        <v>0.1</v>
      </c>
      <c r="H587" s="9">
        <v>94418.61</v>
      </c>
      <c r="I587" s="9">
        <v>0.94418610000000003</v>
      </c>
    </row>
    <row r="588" spans="1:9" x14ac:dyDescent="0.25">
      <c r="A588" s="5" t="s">
        <v>742</v>
      </c>
      <c r="B588" s="5" t="s">
        <v>97</v>
      </c>
      <c r="C588" s="6">
        <v>45996.704861111109</v>
      </c>
      <c r="D588" s="7">
        <v>358</v>
      </c>
      <c r="E588" s="8">
        <v>186.15</v>
      </c>
      <c r="F588" s="5" t="s">
        <v>156</v>
      </c>
      <c r="G588" s="8">
        <v>0.15</v>
      </c>
      <c r="H588" s="9">
        <v>66641.7</v>
      </c>
      <c r="I588" s="9">
        <v>0.99962549999999994</v>
      </c>
    </row>
    <row r="589" spans="1:9" x14ac:dyDescent="0.25">
      <c r="A589" s="5" t="s">
        <v>743</v>
      </c>
      <c r="B589" s="5" t="s">
        <v>97</v>
      </c>
      <c r="C589" s="6">
        <v>45996.725694444453</v>
      </c>
      <c r="D589" s="7">
        <v>57</v>
      </c>
      <c r="E589" s="8">
        <v>185.67</v>
      </c>
      <c r="F589" s="5" t="s">
        <v>154</v>
      </c>
      <c r="G589" s="8">
        <v>0.05</v>
      </c>
      <c r="H589" s="9">
        <v>10583.19</v>
      </c>
      <c r="I589" s="9">
        <v>5.2915950000000003E-2</v>
      </c>
    </row>
    <row r="590" spans="1:9" x14ac:dyDescent="0.25">
      <c r="A590" s="5" t="s">
        <v>744</v>
      </c>
      <c r="B590" s="5" t="s">
        <v>97</v>
      </c>
      <c r="C590" s="6">
        <v>45996.729166666657</v>
      </c>
      <c r="D590" s="7">
        <v>44</v>
      </c>
      <c r="E590" s="8">
        <v>185.46</v>
      </c>
      <c r="F590" s="5" t="s">
        <v>156</v>
      </c>
      <c r="G590" s="8">
        <v>0.15</v>
      </c>
      <c r="H590" s="9">
        <v>8160.2400000000007</v>
      </c>
      <c r="I590" s="9">
        <v>0.1224036</v>
      </c>
    </row>
    <row r="591" spans="1:9" x14ac:dyDescent="0.25">
      <c r="A591" s="5" t="s">
        <v>745</v>
      </c>
      <c r="B591" s="5" t="s">
        <v>97</v>
      </c>
      <c r="C591" s="6">
        <v>45996.746527777781</v>
      </c>
      <c r="D591" s="7">
        <v>224</v>
      </c>
      <c r="E591" s="8">
        <v>185.45</v>
      </c>
      <c r="F591" s="5" t="s">
        <v>159</v>
      </c>
      <c r="G591" s="8">
        <v>0.1</v>
      </c>
      <c r="H591" s="9">
        <v>41540.800000000003</v>
      </c>
      <c r="I591" s="9">
        <v>0.415408</v>
      </c>
    </row>
    <row r="592" spans="1:9" x14ac:dyDescent="0.25">
      <c r="A592" s="5" t="s">
        <v>746</v>
      </c>
      <c r="B592" s="5" t="s">
        <v>98</v>
      </c>
      <c r="C592" s="6">
        <v>45995.604166666657</v>
      </c>
      <c r="D592" s="7">
        <v>4246</v>
      </c>
      <c r="E592" s="8">
        <v>185.08</v>
      </c>
      <c r="F592" s="5" t="s">
        <v>156</v>
      </c>
      <c r="G592" s="8">
        <v>0.15</v>
      </c>
      <c r="H592" s="9">
        <v>785849.68</v>
      </c>
      <c r="I592" s="9">
        <v>11.7877452</v>
      </c>
    </row>
    <row r="593" spans="1:9" x14ac:dyDescent="0.25">
      <c r="A593" s="5" t="s">
        <v>747</v>
      </c>
      <c r="B593" s="5" t="s">
        <v>98</v>
      </c>
      <c r="C593" s="6">
        <v>45995.618055555547</v>
      </c>
      <c r="D593" s="7">
        <v>3542</v>
      </c>
      <c r="E593" s="8">
        <v>184.61</v>
      </c>
      <c r="F593" s="5" t="s">
        <v>156</v>
      </c>
      <c r="G593" s="8">
        <v>0.15</v>
      </c>
      <c r="H593" s="9">
        <v>653888.62</v>
      </c>
      <c r="I593" s="9">
        <v>9.8083292999999987</v>
      </c>
    </row>
    <row r="594" spans="1:9" x14ac:dyDescent="0.25">
      <c r="A594" s="5" t="s">
        <v>748</v>
      </c>
      <c r="B594" s="5" t="s">
        <v>98</v>
      </c>
      <c r="C594" s="6">
        <v>45995.621527777781</v>
      </c>
      <c r="D594" s="7">
        <v>6132</v>
      </c>
      <c r="E594" s="8">
        <v>185.07</v>
      </c>
      <c r="F594" s="5" t="s">
        <v>156</v>
      </c>
      <c r="G594" s="8">
        <v>0.15</v>
      </c>
      <c r="H594" s="9">
        <v>1134849.24</v>
      </c>
      <c r="I594" s="9">
        <v>17.0227386</v>
      </c>
    </row>
    <row r="595" spans="1:9" x14ac:dyDescent="0.25">
      <c r="A595" s="5" t="s">
        <v>749</v>
      </c>
      <c r="B595" s="5" t="s">
        <v>98</v>
      </c>
      <c r="C595" s="6">
        <v>45995.635416666657</v>
      </c>
      <c r="D595" s="7">
        <v>1537</v>
      </c>
      <c r="E595" s="8">
        <v>185.06</v>
      </c>
      <c r="F595" s="5" t="s">
        <v>156</v>
      </c>
      <c r="G595" s="8">
        <v>0.15</v>
      </c>
      <c r="H595" s="9">
        <v>284437.21999999997</v>
      </c>
      <c r="I595" s="9">
        <v>4.2665583000000007</v>
      </c>
    </row>
    <row r="596" spans="1:9" x14ac:dyDescent="0.25">
      <c r="A596" s="5" t="s">
        <v>750</v>
      </c>
      <c r="B596" s="5" t="s">
        <v>99</v>
      </c>
      <c r="C596" s="6">
        <v>45994.65625</v>
      </c>
      <c r="D596" s="7">
        <v>2481</v>
      </c>
      <c r="E596" s="8">
        <v>244.82</v>
      </c>
      <c r="F596" s="5" t="s">
        <v>156</v>
      </c>
      <c r="G596" s="8">
        <v>0.15</v>
      </c>
      <c r="H596" s="9">
        <v>607398.41999999993</v>
      </c>
      <c r="I596" s="9">
        <v>9.110976299999999</v>
      </c>
    </row>
    <row r="597" spans="1:9" x14ac:dyDescent="0.25">
      <c r="A597" s="5" t="s">
        <v>751</v>
      </c>
      <c r="B597" s="5" t="s">
        <v>99</v>
      </c>
      <c r="C597" s="6">
        <v>45994.659722222219</v>
      </c>
      <c r="D597" s="7">
        <v>202</v>
      </c>
      <c r="E597" s="8">
        <v>244.4</v>
      </c>
      <c r="F597" s="5" t="s">
        <v>159</v>
      </c>
      <c r="G597" s="8">
        <v>0.1</v>
      </c>
      <c r="H597" s="9">
        <v>49368.800000000003</v>
      </c>
      <c r="I597" s="9">
        <v>0.49368800000000013</v>
      </c>
    </row>
    <row r="598" spans="1:9" x14ac:dyDescent="0.25">
      <c r="A598" s="5" t="s">
        <v>752</v>
      </c>
      <c r="B598" s="5" t="s">
        <v>99</v>
      </c>
      <c r="C598" s="6">
        <v>45994.666666666657</v>
      </c>
      <c r="D598" s="7">
        <v>3064</v>
      </c>
      <c r="E598" s="8">
        <v>244.19</v>
      </c>
      <c r="F598" s="5" t="s">
        <v>154</v>
      </c>
      <c r="G598" s="8">
        <v>0.05</v>
      </c>
      <c r="H598" s="9">
        <v>748198.16</v>
      </c>
      <c r="I598" s="9">
        <v>3.7409908000000009</v>
      </c>
    </row>
    <row r="599" spans="1:9" x14ac:dyDescent="0.25">
      <c r="A599" s="5" t="s">
        <v>753</v>
      </c>
      <c r="B599" s="5" t="s">
        <v>99</v>
      </c>
      <c r="C599" s="6">
        <v>45994.673611111109</v>
      </c>
      <c r="D599" s="7">
        <v>1166</v>
      </c>
      <c r="E599" s="8">
        <v>244.11</v>
      </c>
      <c r="F599" s="5" t="s">
        <v>156</v>
      </c>
      <c r="G599" s="8">
        <v>0.15</v>
      </c>
      <c r="H599" s="9">
        <v>284632.26</v>
      </c>
      <c r="I599" s="9">
        <v>4.2694839</v>
      </c>
    </row>
    <row r="600" spans="1:9" x14ac:dyDescent="0.25">
      <c r="A600" s="5" t="s">
        <v>754</v>
      </c>
      <c r="B600" s="5" t="s">
        <v>99</v>
      </c>
      <c r="C600" s="6">
        <v>45994.677083333343</v>
      </c>
      <c r="D600" s="7">
        <v>5609</v>
      </c>
      <c r="E600" s="8">
        <v>243.86</v>
      </c>
      <c r="F600" s="5" t="s">
        <v>156</v>
      </c>
      <c r="G600" s="8">
        <v>0.15</v>
      </c>
      <c r="H600" s="9">
        <v>1367810.74</v>
      </c>
      <c r="I600" s="9">
        <v>20.517161099999999</v>
      </c>
    </row>
    <row r="601" spans="1:9" x14ac:dyDescent="0.25">
      <c r="A601" s="5" t="s">
        <v>755</v>
      </c>
      <c r="B601" s="5" t="s">
        <v>100</v>
      </c>
      <c r="C601" s="6">
        <v>45992.684027777781</v>
      </c>
      <c r="D601" s="7">
        <v>312</v>
      </c>
      <c r="E601" s="8">
        <v>414.3</v>
      </c>
      <c r="F601" s="5" t="s">
        <v>154</v>
      </c>
      <c r="G601" s="8">
        <v>0.05</v>
      </c>
      <c r="H601" s="9">
        <v>129261.6</v>
      </c>
      <c r="I601" s="9">
        <v>0.6463080000000001</v>
      </c>
    </row>
    <row r="602" spans="1:9" x14ac:dyDescent="0.25">
      <c r="A602" s="5" t="s">
        <v>756</v>
      </c>
      <c r="B602" s="5" t="s">
        <v>100</v>
      </c>
      <c r="C602" s="6">
        <v>45992.6875</v>
      </c>
      <c r="D602" s="7">
        <v>1648</v>
      </c>
      <c r="E602" s="8">
        <v>414.66</v>
      </c>
      <c r="F602" s="5" t="s">
        <v>156</v>
      </c>
      <c r="G602" s="8">
        <v>0.15</v>
      </c>
      <c r="H602" s="9">
        <v>683359.68</v>
      </c>
      <c r="I602" s="9">
        <v>10.2503952</v>
      </c>
    </row>
    <row r="603" spans="1:9" x14ac:dyDescent="0.25">
      <c r="A603" s="5" t="s">
        <v>757</v>
      </c>
      <c r="B603" s="5" t="s">
        <v>100</v>
      </c>
      <c r="C603" s="6">
        <v>45992.697916666657</v>
      </c>
      <c r="D603" s="7">
        <v>320</v>
      </c>
      <c r="E603" s="8">
        <v>415.58</v>
      </c>
      <c r="F603" s="5" t="s">
        <v>154</v>
      </c>
      <c r="G603" s="8">
        <v>0.05</v>
      </c>
      <c r="H603" s="9">
        <v>132985.60000000001</v>
      </c>
      <c r="I603" s="9">
        <v>0.66492800000000007</v>
      </c>
    </row>
    <row r="604" spans="1:9" x14ac:dyDescent="0.25">
      <c r="A604" s="5" t="s">
        <v>758</v>
      </c>
      <c r="B604" s="5" t="s">
        <v>100</v>
      </c>
      <c r="C604" s="6">
        <v>45992.701388888891</v>
      </c>
      <c r="D604" s="7">
        <v>582</v>
      </c>
      <c r="E604" s="8">
        <v>415.45</v>
      </c>
      <c r="F604" s="5" t="s">
        <v>156</v>
      </c>
      <c r="G604" s="8">
        <v>0.15</v>
      </c>
      <c r="H604" s="9">
        <v>241791.9</v>
      </c>
      <c r="I604" s="9">
        <v>3.6268785000000001</v>
      </c>
    </row>
    <row r="605" spans="1:9" x14ac:dyDescent="0.25">
      <c r="A605" s="5" t="s">
        <v>759</v>
      </c>
      <c r="B605" s="5" t="s">
        <v>100</v>
      </c>
      <c r="C605" s="6">
        <v>45992.708333333343</v>
      </c>
      <c r="D605" s="7">
        <v>1316</v>
      </c>
      <c r="E605" s="8">
        <v>416.52</v>
      </c>
      <c r="F605" s="5" t="s">
        <v>154</v>
      </c>
      <c r="G605" s="8">
        <v>0.05</v>
      </c>
      <c r="H605" s="9">
        <v>548140.31999999995</v>
      </c>
      <c r="I605" s="9">
        <v>2.7407016</v>
      </c>
    </row>
    <row r="606" spans="1:9" x14ac:dyDescent="0.25">
      <c r="A606" s="5" t="s">
        <v>760</v>
      </c>
      <c r="B606" s="5" t="s">
        <v>100</v>
      </c>
      <c r="C606" s="6">
        <v>45992.71875</v>
      </c>
      <c r="D606" s="7">
        <v>951</v>
      </c>
      <c r="E606" s="8">
        <v>417.06</v>
      </c>
      <c r="F606" s="5" t="s">
        <v>156</v>
      </c>
      <c r="G606" s="8">
        <v>0.15</v>
      </c>
      <c r="H606" s="9">
        <v>396624.06</v>
      </c>
      <c r="I606" s="9">
        <v>5.9493608999999994</v>
      </c>
    </row>
    <row r="607" spans="1:9" x14ac:dyDescent="0.25">
      <c r="A607" s="5" t="s">
        <v>761</v>
      </c>
      <c r="B607" s="5" t="s">
        <v>101</v>
      </c>
      <c r="C607" s="6">
        <v>45993.715277777781</v>
      </c>
      <c r="D607" s="7">
        <v>1036</v>
      </c>
      <c r="E607" s="8">
        <v>418.11</v>
      </c>
      <c r="F607" s="5" t="s">
        <v>156</v>
      </c>
      <c r="G607" s="8">
        <v>0.15</v>
      </c>
      <c r="H607" s="9">
        <v>433161.96</v>
      </c>
      <c r="I607" s="9">
        <v>6.4974294000000006</v>
      </c>
    </row>
    <row r="608" spans="1:9" x14ac:dyDescent="0.25">
      <c r="A608" s="5" t="s">
        <v>762</v>
      </c>
      <c r="B608" s="5" t="s">
        <v>101</v>
      </c>
      <c r="C608" s="6">
        <v>45993.763888888891</v>
      </c>
      <c r="D608" s="7">
        <v>420</v>
      </c>
      <c r="E608" s="8">
        <v>422.82</v>
      </c>
      <c r="F608" s="5" t="s">
        <v>159</v>
      </c>
      <c r="G608" s="8">
        <v>0.1</v>
      </c>
      <c r="H608" s="9">
        <v>177584.4</v>
      </c>
      <c r="I608" s="9">
        <v>1.775844</v>
      </c>
    </row>
    <row r="609" spans="1:9" x14ac:dyDescent="0.25">
      <c r="A609" s="5" t="s">
        <v>763</v>
      </c>
      <c r="B609" s="5" t="s">
        <v>101</v>
      </c>
      <c r="C609" s="6">
        <v>45993.802083333343</v>
      </c>
      <c r="D609" s="7">
        <v>2900</v>
      </c>
      <c r="E609" s="8">
        <v>423.06</v>
      </c>
      <c r="F609" s="5" t="s">
        <v>154</v>
      </c>
      <c r="G609" s="8">
        <v>0.05</v>
      </c>
      <c r="H609" s="9">
        <v>1226874</v>
      </c>
      <c r="I609" s="9">
        <v>6.1343700000000014</v>
      </c>
    </row>
    <row r="610" spans="1:9" x14ac:dyDescent="0.25">
      <c r="A610" s="5" t="s">
        <v>764</v>
      </c>
      <c r="B610" s="5" t="s">
        <v>101</v>
      </c>
      <c r="C610" s="6">
        <v>45993.805555555547</v>
      </c>
      <c r="D610" s="7">
        <v>891</v>
      </c>
      <c r="E610" s="8">
        <v>423.02</v>
      </c>
      <c r="F610" s="5" t="s">
        <v>156</v>
      </c>
      <c r="G610" s="8">
        <v>0.15</v>
      </c>
      <c r="H610" s="9">
        <v>376910.82</v>
      </c>
      <c r="I610" s="9">
        <v>5.6536622999999997</v>
      </c>
    </row>
    <row r="611" spans="1:9" x14ac:dyDescent="0.25">
      <c r="A611" s="5" t="s">
        <v>765</v>
      </c>
      <c r="B611" s="5" t="s">
        <v>101</v>
      </c>
      <c r="C611" s="6">
        <v>45993.819444444453</v>
      </c>
      <c r="D611" s="7">
        <v>1541</v>
      </c>
      <c r="E611" s="8">
        <v>421.91</v>
      </c>
      <c r="F611" s="5" t="s">
        <v>159</v>
      </c>
      <c r="G611" s="8">
        <v>0.1</v>
      </c>
      <c r="H611" s="9">
        <v>650163.31000000006</v>
      </c>
      <c r="I611" s="9">
        <v>6.5016331000000003</v>
      </c>
    </row>
    <row r="612" spans="1:9" x14ac:dyDescent="0.25">
      <c r="A612" s="5" t="s">
        <v>766</v>
      </c>
      <c r="B612" s="5" t="s">
        <v>102</v>
      </c>
      <c r="C612" s="6">
        <v>45995.736111111109</v>
      </c>
      <c r="D612" s="7">
        <v>2388</v>
      </c>
      <c r="E612" s="8">
        <v>424.13</v>
      </c>
      <c r="F612" s="5" t="s">
        <v>159</v>
      </c>
      <c r="G612" s="8">
        <v>0.1</v>
      </c>
      <c r="H612" s="9">
        <v>1012822.44</v>
      </c>
      <c r="I612" s="9">
        <v>10.128224400000001</v>
      </c>
    </row>
    <row r="613" spans="1:9" x14ac:dyDescent="0.25">
      <c r="A613" s="5" t="s">
        <v>767</v>
      </c>
      <c r="B613" s="5" t="s">
        <v>102</v>
      </c>
      <c r="C613" s="6">
        <v>45995.739583333343</v>
      </c>
      <c r="D613" s="7">
        <v>2336</v>
      </c>
      <c r="E613" s="8">
        <v>424</v>
      </c>
      <c r="F613" s="5" t="s">
        <v>154</v>
      </c>
      <c r="G613" s="8">
        <v>0.05</v>
      </c>
      <c r="H613" s="9">
        <v>990464</v>
      </c>
      <c r="I613" s="9">
        <v>4.9523200000000003</v>
      </c>
    </row>
    <row r="614" spans="1:9" x14ac:dyDescent="0.25">
      <c r="A614" s="5" t="s">
        <v>768</v>
      </c>
      <c r="B614" s="5" t="s">
        <v>102</v>
      </c>
      <c r="C614" s="6">
        <v>45995.746527777781</v>
      </c>
      <c r="D614" s="7">
        <v>2071</v>
      </c>
      <c r="E614" s="8">
        <v>424.38</v>
      </c>
      <c r="F614" s="5" t="s">
        <v>159</v>
      </c>
      <c r="G614" s="8">
        <v>0.1</v>
      </c>
      <c r="H614" s="9">
        <v>878890.98</v>
      </c>
      <c r="I614" s="9">
        <v>8.788909799999999</v>
      </c>
    </row>
    <row r="615" spans="1:9" x14ac:dyDescent="0.25">
      <c r="A615" s="5" t="s">
        <v>769</v>
      </c>
      <c r="B615" s="5" t="s">
        <v>102</v>
      </c>
      <c r="C615" s="6">
        <v>45995.75</v>
      </c>
      <c r="D615" s="7">
        <v>150</v>
      </c>
      <c r="E615" s="8">
        <v>424.32</v>
      </c>
      <c r="F615" s="5" t="s">
        <v>159</v>
      </c>
      <c r="G615" s="8">
        <v>0.1</v>
      </c>
      <c r="H615" s="9">
        <v>63648</v>
      </c>
      <c r="I615" s="9">
        <v>0.63648000000000005</v>
      </c>
    </row>
    <row r="616" spans="1:9" x14ac:dyDescent="0.25">
      <c r="A616" s="5" t="s">
        <v>770</v>
      </c>
      <c r="B616" s="5" t="s">
        <v>102</v>
      </c>
      <c r="C616" s="6">
        <v>45995.753472222219</v>
      </c>
      <c r="D616" s="7">
        <v>1758</v>
      </c>
      <c r="E616" s="8">
        <v>423.56</v>
      </c>
      <c r="F616" s="5" t="s">
        <v>156</v>
      </c>
      <c r="G616" s="8">
        <v>0.15</v>
      </c>
      <c r="H616" s="9">
        <v>744618.48</v>
      </c>
      <c r="I616" s="9">
        <v>11.1692772</v>
      </c>
    </row>
    <row r="617" spans="1:9" x14ac:dyDescent="0.25">
      <c r="A617" s="5" t="s">
        <v>771</v>
      </c>
      <c r="B617" s="5" t="s">
        <v>103</v>
      </c>
      <c r="C617" s="6">
        <v>45992.753472222219</v>
      </c>
      <c r="D617" s="7">
        <v>5779</v>
      </c>
      <c r="E617" s="8">
        <v>418.69</v>
      </c>
      <c r="F617" s="5" t="s">
        <v>156</v>
      </c>
      <c r="G617" s="8">
        <v>0.15</v>
      </c>
      <c r="H617" s="9">
        <v>2419609.5099999998</v>
      </c>
      <c r="I617" s="9">
        <v>36.294142649999998</v>
      </c>
    </row>
    <row r="618" spans="1:9" x14ac:dyDescent="0.25">
      <c r="A618" s="5" t="s">
        <v>772</v>
      </c>
      <c r="B618" s="5" t="s">
        <v>103</v>
      </c>
      <c r="C618" s="6">
        <v>45992.798611111109</v>
      </c>
      <c r="D618" s="7">
        <v>1871</v>
      </c>
      <c r="E618" s="8">
        <v>419.03</v>
      </c>
      <c r="F618" s="5" t="s">
        <v>156</v>
      </c>
      <c r="G618" s="8">
        <v>0.15</v>
      </c>
      <c r="H618" s="9">
        <v>784005.13</v>
      </c>
      <c r="I618" s="9">
        <v>11.76007695</v>
      </c>
    </row>
    <row r="619" spans="1:9" x14ac:dyDescent="0.25">
      <c r="A619" s="5" t="s">
        <v>773</v>
      </c>
      <c r="B619" s="5" t="s">
        <v>103</v>
      </c>
      <c r="C619" s="6">
        <v>45992.802083333343</v>
      </c>
      <c r="D619" s="7">
        <v>756</v>
      </c>
      <c r="E619" s="8">
        <v>418.51</v>
      </c>
      <c r="F619" s="5" t="s">
        <v>159</v>
      </c>
      <c r="G619" s="8">
        <v>0.1</v>
      </c>
      <c r="H619" s="9">
        <v>316393.56</v>
      </c>
      <c r="I619" s="9">
        <v>3.1639355999999998</v>
      </c>
    </row>
    <row r="620" spans="1:9" x14ac:dyDescent="0.25">
      <c r="A620" s="5" t="s">
        <v>774</v>
      </c>
      <c r="B620" s="5" t="s">
        <v>103</v>
      </c>
      <c r="C620" s="6">
        <v>45992.805555555547</v>
      </c>
      <c r="D620" s="7">
        <v>9064</v>
      </c>
      <c r="E620" s="8">
        <v>418.08</v>
      </c>
      <c r="F620" s="5" t="s">
        <v>156</v>
      </c>
      <c r="G620" s="8">
        <v>0.15</v>
      </c>
      <c r="H620" s="9">
        <v>3789477.12</v>
      </c>
      <c r="I620" s="9">
        <v>56.842156799999998</v>
      </c>
    </row>
    <row r="621" spans="1:9" x14ac:dyDescent="0.25">
      <c r="A621" s="5" t="s">
        <v>775</v>
      </c>
      <c r="B621" s="5" t="s">
        <v>103</v>
      </c>
      <c r="C621" s="6">
        <v>45992.809027777781</v>
      </c>
      <c r="D621" s="7">
        <v>665</v>
      </c>
      <c r="E621" s="8">
        <v>417.42</v>
      </c>
      <c r="F621" s="5" t="s">
        <v>159</v>
      </c>
      <c r="G621" s="8">
        <v>0.1</v>
      </c>
      <c r="H621" s="9">
        <v>277584.3</v>
      </c>
      <c r="I621" s="9">
        <v>2.7758430000000001</v>
      </c>
    </row>
    <row r="622" spans="1:9" x14ac:dyDescent="0.25">
      <c r="A622" s="5" t="s">
        <v>776</v>
      </c>
      <c r="B622" s="5" t="s">
        <v>104</v>
      </c>
      <c r="C622" s="6">
        <v>45995.788194444453</v>
      </c>
      <c r="D622" s="7">
        <v>343</v>
      </c>
      <c r="E622" s="8">
        <v>247.86</v>
      </c>
      <c r="F622" s="5" t="s">
        <v>159</v>
      </c>
      <c r="G622" s="8">
        <v>0.1</v>
      </c>
      <c r="H622" s="9">
        <v>85015.98000000001</v>
      </c>
      <c r="I622" s="9">
        <v>0.85015980000000013</v>
      </c>
    </row>
    <row r="623" spans="1:9" x14ac:dyDescent="0.25">
      <c r="A623" s="5" t="s">
        <v>777</v>
      </c>
      <c r="B623" s="5" t="s">
        <v>104</v>
      </c>
      <c r="C623" s="6">
        <v>45995.809027777781</v>
      </c>
      <c r="D623" s="7">
        <v>307</v>
      </c>
      <c r="E623" s="8">
        <v>248.26</v>
      </c>
      <c r="F623" s="5" t="s">
        <v>154</v>
      </c>
      <c r="G623" s="8">
        <v>0.05</v>
      </c>
      <c r="H623" s="9">
        <v>76215.819999999992</v>
      </c>
      <c r="I623" s="9">
        <v>0.38107909999999989</v>
      </c>
    </row>
    <row r="624" spans="1:9" x14ac:dyDescent="0.25">
      <c r="A624" s="5" t="s">
        <v>778</v>
      </c>
      <c r="B624" s="5" t="s">
        <v>104</v>
      </c>
      <c r="C624" s="6">
        <v>45995.826388888891</v>
      </c>
      <c r="D624" s="7">
        <v>6744</v>
      </c>
      <c r="E624" s="8">
        <v>248.77</v>
      </c>
      <c r="F624" s="5" t="s">
        <v>156</v>
      </c>
      <c r="G624" s="8">
        <v>0.15</v>
      </c>
      <c r="H624" s="9">
        <v>1677704.88</v>
      </c>
      <c r="I624" s="9">
        <v>25.165573200000001</v>
      </c>
    </row>
    <row r="625" spans="1:9" x14ac:dyDescent="0.25">
      <c r="A625" s="5" t="s">
        <v>779</v>
      </c>
      <c r="B625" s="5" t="s">
        <v>105</v>
      </c>
      <c r="C625" s="6">
        <v>45993.625</v>
      </c>
      <c r="D625" s="7">
        <v>599</v>
      </c>
      <c r="E625" s="8">
        <v>242.75</v>
      </c>
      <c r="F625" s="5" t="s">
        <v>159</v>
      </c>
      <c r="G625" s="8">
        <v>0.1</v>
      </c>
      <c r="H625" s="9">
        <v>145407.25</v>
      </c>
      <c r="I625" s="9">
        <v>1.4540725000000001</v>
      </c>
    </row>
    <row r="626" spans="1:9" x14ac:dyDescent="0.25">
      <c r="A626" s="5" t="s">
        <v>780</v>
      </c>
      <c r="B626" s="5" t="s">
        <v>105</v>
      </c>
      <c r="C626" s="6">
        <v>45993.628472222219</v>
      </c>
      <c r="D626" s="7">
        <v>1921</v>
      </c>
      <c r="E626" s="8">
        <v>242.69</v>
      </c>
      <c r="F626" s="5" t="s">
        <v>156</v>
      </c>
      <c r="G626" s="8">
        <v>0.15</v>
      </c>
      <c r="H626" s="9">
        <v>466207.49</v>
      </c>
      <c r="I626" s="9">
        <v>6.9931123500000014</v>
      </c>
    </row>
    <row r="627" spans="1:9" x14ac:dyDescent="0.25">
      <c r="A627" s="5" t="s">
        <v>781</v>
      </c>
      <c r="B627" s="5" t="s">
        <v>105</v>
      </c>
      <c r="C627" s="6">
        <v>45993.635416666657</v>
      </c>
      <c r="D627" s="7">
        <v>1163</v>
      </c>
      <c r="E627" s="8">
        <v>242.47</v>
      </c>
      <c r="F627" s="5" t="s">
        <v>159</v>
      </c>
      <c r="G627" s="8">
        <v>0.1</v>
      </c>
      <c r="H627" s="9">
        <v>281992.61</v>
      </c>
      <c r="I627" s="9">
        <v>2.8199261</v>
      </c>
    </row>
    <row r="628" spans="1:9" x14ac:dyDescent="0.25">
      <c r="A628" s="5" t="s">
        <v>782</v>
      </c>
      <c r="B628" s="5" t="s">
        <v>105</v>
      </c>
      <c r="C628" s="6">
        <v>45993.638888888891</v>
      </c>
      <c r="D628" s="7">
        <v>5958</v>
      </c>
      <c r="E628" s="8">
        <v>242.63</v>
      </c>
      <c r="F628" s="5" t="s">
        <v>156</v>
      </c>
      <c r="G628" s="8">
        <v>0.15</v>
      </c>
      <c r="H628" s="9">
        <v>1445589.54</v>
      </c>
      <c r="I628" s="9">
        <v>21.683843100000001</v>
      </c>
    </row>
    <row r="629" spans="1:9" x14ac:dyDescent="0.25">
      <c r="A629" s="5" t="s">
        <v>783</v>
      </c>
      <c r="B629" s="5" t="s">
        <v>105</v>
      </c>
      <c r="C629" s="6">
        <v>45993.649305555547</v>
      </c>
      <c r="D629" s="7">
        <v>4933</v>
      </c>
      <c r="E629" s="8">
        <v>242.41</v>
      </c>
      <c r="F629" s="5" t="s">
        <v>159</v>
      </c>
      <c r="G629" s="8">
        <v>0.1</v>
      </c>
      <c r="H629" s="9">
        <v>1195808.53</v>
      </c>
      <c r="I629" s="9">
        <v>11.9580853</v>
      </c>
    </row>
    <row r="630" spans="1:9" x14ac:dyDescent="0.25">
      <c r="A630" s="5" t="s">
        <v>784</v>
      </c>
      <c r="B630" s="5" t="s">
        <v>105</v>
      </c>
      <c r="C630" s="6">
        <v>45993.663194444453</v>
      </c>
      <c r="D630" s="7">
        <v>660</v>
      </c>
      <c r="E630" s="8">
        <v>242.62</v>
      </c>
      <c r="F630" s="5" t="s">
        <v>154</v>
      </c>
      <c r="G630" s="8">
        <v>0.05</v>
      </c>
      <c r="H630" s="9">
        <v>160129.20000000001</v>
      </c>
      <c r="I630" s="9">
        <v>0.80064600000000008</v>
      </c>
    </row>
    <row r="631" spans="1:9" x14ac:dyDescent="0.25">
      <c r="A631" s="5" t="s">
        <v>785</v>
      </c>
      <c r="B631" s="5" t="s">
        <v>105</v>
      </c>
      <c r="C631" s="6">
        <v>45993.673611111109</v>
      </c>
      <c r="D631" s="7">
        <v>301</v>
      </c>
      <c r="E631" s="8">
        <v>242.37</v>
      </c>
      <c r="F631" s="5" t="s">
        <v>156</v>
      </c>
      <c r="G631" s="8">
        <v>0.15</v>
      </c>
      <c r="H631" s="9">
        <v>72953.37</v>
      </c>
      <c r="I631" s="9">
        <v>1.09430055</v>
      </c>
    </row>
    <row r="632" spans="1:9" x14ac:dyDescent="0.25">
      <c r="A632" s="5" t="s">
        <v>786</v>
      </c>
      <c r="B632" s="5" t="s">
        <v>105</v>
      </c>
      <c r="C632" s="6">
        <v>45993.684027777781</v>
      </c>
      <c r="D632" s="7">
        <v>1836</v>
      </c>
      <c r="E632" s="8">
        <v>243.23</v>
      </c>
      <c r="F632" s="5" t="s">
        <v>156</v>
      </c>
      <c r="G632" s="8">
        <v>0.15</v>
      </c>
      <c r="H632" s="9">
        <v>446570.28</v>
      </c>
      <c r="I632" s="9">
        <v>6.6985541999999976</v>
      </c>
    </row>
    <row r="633" spans="1:9" x14ac:dyDescent="0.25">
      <c r="A633" s="5" t="s">
        <v>787</v>
      </c>
      <c r="B633" s="5" t="s">
        <v>105</v>
      </c>
      <c r="C633" s="6">
        <v>45993.694444444453</v>
      </c>
      <c r="D633" s="7">
        <v>2065</v>
      </c>
      <c r="E633" s="8">
        <v>243.37</v>
      </c>
      <c r="F633" s="5" t="s">
        <v>156</v>
      </c>
      <c r="G633" s="8">
        <v>0.15</v>
      </c>
      <c r="H633" s="9">
        <v>502559.05</v>
      </c>
      <c r="I633" s="9">
        <v>7.5383857499999998</v>
      </c>
    </row>
    <row r="634" spans="1:9" x14ac:dyDescent="0.25">
      <c r="A634" s="5" t="s">
        <v>788</v>
      </c>
      <c r="B634" s="5" t="s">
        <v>106</v>
      </c>
      <c r="C634" s="6">
        <v>45993.722222222219</v>
      </c>
      <c r="D634" s="7">
        <v>836</v>
      </c>
      <c r="E634" s="8">
        <v>244.52</v>
      </c>
      <c r="F634" s="5" t="s">
        <v>154</v>
      </c>
      <c r="G634" s="8">
        <v>0.05</v>
      </c>
      <c r="H634" s="9">
        <v>204418.72</v>
      </c>
      <c r="I634" s="9">
        <v>1.0220936</v>
      </c>
    </row>
    <row r="635" spans="1:9" x14ac:dyDescent="0.25">
      <c r="A635" s="5" t="s">
        <v>789</v>
      </c>
      <c r="B635" s="5" t="s">
        <v>106</v>
      </c>
      <c r="C635" s="6">
        <v>45993.75</v>
      </c>
      <c r="D635" s="7">
        <v>1101</v>
      </c>
      <c r="E635" s="8">
        <v>243.59</v>
      </c>
      <c r="F635" s="5" t="s">
        <v>156</v>
      </c>
      <c r="G635" s="8">
        <v>0.15</v>
      </c>
      <c r="H635" s="9">
        <v>268192.59000000003</v>
      </c>
      <c r="I635" s="9">
        <v>4.0228888500000002</v>
      </c>
    </row>
    <row r="636" spans="1:9" x14ac:dyDescent="0.25">
      <c r="A636" s="5" t="s">
        <v>790</v>
      </c>
      <c r="B636" s="5" t="s">
        <v>106</v>
      </c>
      <c r="C636" s="6">
        <v>45993.760416666657</v>
      </c>
      <c r="D636" s="7">
        <v>4465</v>
      </c>
      <c r="E636" s="8">
        <v>243.71</v>
      </c>
      <c r="F636" s="5" t="s">
        <v>156</v>
      </c>
      <c r="G636" s="8">
        <v>0.15</v>
      </c>
      <c r="H636" s="9">
        <v>1088165.1499999999</v>
      </c>
      <c r="I636" s="9">
        <v>16.322477249999999</v>
      </c>
    </row>
    <row r="637" spans="1:9" x14ac:dyDescent="0.25">
      <c r="A637" s="5" t="s">
        <v>791</v>
      </c>
      <c r="B637" s="5" t="s">
        <v>106</v>
      </c>
      <c r="C637" s="6">
        <v>45993.78125</v>
      </c>
      <c r="D637" s="7">
        <v>733</v>
      </c>
      <c r="E637" s="8">
        <v>242.67</v>
      </c>
      <c r="F637" s="5" t="s">
        <v>156</v>
      </c>
      <c r="G637" s="8">
        <v>0.15</v>
      </c>
      <c r="H637" s="9">
        <v>177877.11</v>
      </c>
      <c r="I637" s="9">
        <v>2.6681566499999998</v>
      </c>
    </row>
    <row r="638" spans="1:9" x14ac:dyDescent="0.25">
      <c r="A638" s="5" t="s">
        <v>792</v>
      </c>
      <c r="B638" s="5" t="s">
        <v>106</v>
      </c>
      <c r="C638" s="6">
        <v>45993.795138888891</v>
      </c>
      <c r="D638" s="7">
        <v>654</v>
      </c>
      <c r="E638" s="8">
        <v>242.42</v>
      </c>
      <c r="F638" s="5" t="s">
        <v>156</v>
      </c>
      <c r="G638" s="8">
        <v>0.15</v>
      </c>
      <c r="H638" s="9">
        <v>158542.68</v>
      </c>
      <c r="I638" s="9">
        <v>2.3781401999999998</v>
      </c>
    </row>
    <row r="639" spans="1:9" x14ac:dyDescent="0.25">
      <c r="A639" s="5" t="s">
        <v>793</v>
      </c>
      <c r="B639" s="5" t="s">
        <v>106</v>
      </c>
      <c r="C639" s="6">
        <v>45993.802083333343</v>
      </c>
      <c r="D639" s="7">
        <v>1918</v>
      </c>
      <c r="E639" s="8">
        <v>242.81</v>
      </c>
      <c r="F639" s="5" t="s">
        <v>156</v>
      </c>
      <c r="G639" s="8">
        <v>0.15</v>
      </c>
      <c r="H639" s="9">
        <v>465709.58</v>
      </c>
      <c r="I639" s="9">
        <v>6.9856437000000007</v>
      </c>
    </row>
    <row r="640" spans="1:9" x14ac:dyDescent="0.25">
      <c r="A640" s="5" t="s">
        <v>794</v>
      </c>
      <c r="B640" s="5" t="s">
        <v>106</v>
      </c>
      <c r="C640" s="6">
        <v>45993.8125</v>
      </c>
      <c r="D640" s="7">
        <v>101</v>
      </c>
      <c r="E640" s="8">
        <v>242.56</v>
      </c>
      <c r="F640" s="5" t="s">
        <v>154</v>
      </c>
      <c r="G640" s="8">
        <v>0.05</v>
      </c>
      <c r="H640" s="9">
        <v>24498.560000000001</v>
      </c>
      <c r="I640" s="9">
        <v>0.1224928</v>
      </c>
    </row>
    <row r="641" spans="1:9" x14ac:dyDescent="0.25">
      <c r="A641" s="5" t="s">
        <v>795</v>
      </c>
      <c r="B641" s="5" t="s">
        <v>106</v>
      </c>
      <c r="C641" s="6">
        <v>45993.822916666657</v>
      </c>
      <c r="D641" s="7">
        <v>4786</v>
      </c>
      <c r="E641" s="8">
        <v>242.34</v>
      </c>
      <c r="F641" s="5" t="s">
        <v>156</v>
      </c>
      <c r="G641" s="8">
        <v>0.15</v>
      </c>
      <c r="H641" s="9">
        <v>1159839.24</v>
      </c>
      <c r="I641" s="9">
        <v>17.397588599999999</v>
      </c>
    </row>
    <row r="642" spans="1:9" x14ac:dyDescent="0.25">
      <c r="A642" s="5" t="s">
        <v>796</v>
      </c>
      <c r="B642" s="5" t="s">
        <v>107</v>
      </c>
      <c r="C642" s="6">
        <v>45993.621527777781</v>
      </c>
      <c r="D642" s="7">
        <v>3743</v>
      </c>
      <c r="E642" s="8">
        <v>243.09</v>
      </c>
      <c r="F642" s="5" t="s">
        <v>156</v>
      </c>
      <c r="G642" s="8">
        <v>0.15</v>
      </c>
      <c r="H642" s="9">
        <v>909885.87</v>
      </c>
      <c r="I642" s="9">
        <v>13.64828805</v>
      </c>
    </row>
    <row r="643" spans="1:9" x14ac:dyDescent="0.25">
      <c r="A643" s="5" t="s">
        <v>797</v>
      </c>
      <c r="B643" s="5" t="s">
        <v>107</v>
      </c>
      <c r="C643" s="6">
        <v>45993.625</v>
      </c>
      <c r="D643" s="7">
        <v>17</v>
      </c>
      <c r="E643" s="8">
        <v>242.74</v>
      </c>
      <c r="F643" s="5" t="s">
        <v>156</v>
      </c>
      <c r="G643" s="8">
        <v>0.15</v>
      </c>
      <c r="H643" s="9">
        <v>4126.58</v>
      </c>
      <c r="I643" s="9">
        <v>6.1898699999999987E-2</v>
      </c>
    </row>
    <row r="644" spans="1:9" x14ac:dyDescent="0.25">
      <c r="A644" s="5" t="s">
        <v>798</v>
      </c>
      <c r="B644" s="5" t="s">
        <v>107</v>
      </c>
      <c r="C644" s="6">
        <v>45993.628472222219</v>
      </c>
      <c r="D644" s="7">
        <v>2882</v>
      </c>
      <c r="E644" s="8">
        <v>242.81</v>
      </c>
      <c r="F644" s="5" t="s">
        <v>159</v>
      </c>
      <c r="G644" s="8">
        <v>0.1</v>
      </c>
      <c r="H644" s="9">
        <v>699778.42</v>
      </c>
      <c r="I644" s="9">
        <v>6.9977842000000008</v>
      </c>
    </row>
    <row r="645" spans="1:9" x14ac:dyDescent="0.25">
      <c r="A645" s="5" t="s">
        <v>799</v>
      </c>
      <c r="B645" s="5" t="s">
        <v>107</v>
      </c>
      <c r="C645" s="6">
        <v>45993.631944444453</v>
      </c>
      <c r="D645" s="7">
        <v>180</v>
      </c>
      <c r="E645" s="8">
        <v>242.43</v>
      </c>
      <c r="F645" s="5" t="s">
        <v>156</v>
      </c>
      <c r="G645" s="8">
        <v>0.15</v>
      </c>
      <c r="H645" s="9">
        <v>43637.4</v>
      </c>
      <c r="I645" s="9">
        <v>0.65456099999999995</v>
      </c>
    </row>
    <row r="646" spans="1:9" x14ac:dyDescent="0.25">
      <c r="A646" s="5" t="s">
        <v>800</v>
      </c>
      <c r="B646" s="5" t="s">
        <v>107</v>
      </c>
      <c r="C646" s="6">
        <v>45993.635416666657</v>
      </c>
      <c r="D646" s="7">
        <v>1128</v>
      </c>
      <c r="E646" s="8">
        <v>242.46</v>
      </c>
      <c r="F646" s="5" t="s">
        <v>156</v>
      </c>
      <c r="G646" s="8">
        <v>0.15</v>
      </c>
      <c r="H646" s="9">
        <v>273494.88</v>
      </c>
      <c r="I646" s="9">
        <v>4.1024231999999996</v>
      </c>
    </row>
    <row r="647" spans="1:9" x14ac:dyDescent="0.25">
      <c r="A647" s="5" t="s">
        <v>801</v>
      </c>
      <c r="B647" s="5" t="s">
        <v>108</v>
      </c>
      <c r="C647" s="6">
        <v>45995.725694444453</v>
      </c>
      <c r="D647" s="7">
        <v>238</v>
      </c>
      <c r="E647" s="8">
        <v>172.9</v>
      </c>
      <c r="F647" s="5" t="s">
        <v>156</v>
      </c>
      <c r="G647" s="8">
        <v>0.15</v>
      </c>
      <c r="H647" s="9">
        <v>41150.199999999997</v>
      </c>
      <c r="I647" s="9">
        <v>0.61725300000000005</v>
      </c>
    </row>
    <row r="648" spans="1:9" x14ac:dyDescent="0.25">
      <c r="A648" s="5" t="s">
        <v>802</v>
      </c>
      <c r="B648" s="5" t="s">
        <v>108</v>
      </c>
      <c r="C648" s="6">
        <v>45995.729166666657</v>
      </c>
      <c r="D648" s="7">
        <v>491</v>
      </c>
      <c r="E648" s="8">
        <v>172.66</v>
      </c>
      <c r="F648" s="5" t="s">
        <v>156</v>
      </c>
      <c r="G648" s="8">
        <v>0.15</v>
      </c>
      <c r="H648" s="9">
        <v>84776.06</v>
      </c>
      <c r="I648" s="9">
        <v>1.2716409</v>
      </c>
    </row>
    <row r="649" spans="1:9" x14ac:dyDescent="0.25">
      <c r="A649" s="5" t="s">
        <v>803</v>
      </c>
      <c r="B649" s="5" t="s">
        <v>108</v>
      </c>
      <c r="C649" s="6">
        <v>45995.732638888891</v>
      </c>
      <c r="D649" s="7">
        <v>896</v>
      </c>
      <c r="E649" s="8">
        <v>172.9</v>
      </c>
      <c r="F649" s="5" t="s">
        <v>156</v>
      </c>
      <c r="G649" s="8">
        <v>0.15</v>
      </c>
      <c r="H649" s="9">
        <v>154918.39999999999</v>
      </c>
      <c r="I649" s="9">
        <v>2.3237760000000001</v>
      </c>
    </row>
    <row r="650" spans="1:9" x14ac:dyDescent="0.25">
      <c r="A650" s="5" t="s">
        <v>804</v>
      </c>
      <c r="B650" s="5" t="s">
        <v>108</v>
      </c>
      <c r="C650" s="6">
        <v>45995.736111111109</v>
      </c>
      <c r="D650" s="7">
        <v>814</v>
      </c>
      <c r="E650" s="8">
        <v>172.99</v>
      </c>
      <c r="F650" s="5" t="s">
        <v>156</v>
      </c>
      <c r="G650" s="8">
        <v>0.15</v>
      </c>
      <c r="H650" s="9">
        <v>140813.85999999999</v>
      </c>
      <c r="I650" s="9">
        <v>2.1122079</v>
      </c>
    </row>
    <row r="651" spans="1:9" x14ac:dyDescent="0.25">
      <c r="A651" s="5" t="s">
        <v>805</v>
      </c>
      <c r="B651" s="5" t="s">
        <v>108</v>
      </c>
      <c r="C651" s="6">
        <v>45995.739583333343</v>
      </c>
      <c r="D651" s="7">
        <v>1693</v>
      </c>
      <c r="E651" s="8">
        <v>172.77</v>
      </c>
      <c r="F651" s="5" t="s">
        <v>156</v>
      </c>
      <c r="G651" s="8">
        <v>0.15</v>
      </c>
      <c r="H651" s="9">
        <v>292499.61</v>
      </c>
      <c r="I651" s="9">
        <v>4.3874941500000011</v>
      </c>
    </row>
    <row r="652" spans="1:9" x14ac:dyDescent="0.25">
      <c r="A652" s="5" t="s">
        <v>806</v>
      </c>
      <c r="B652" s="5" t="s">
        <v>108</v>
      </c>
      <c r="C652" s="6">
        <v>45995.743055555547</v>
      </c>
      <c r="D652" s="7">
        <v>1637</v>
      </c>
      <c r="E652" s="8">
        <v>172.76</v>
      </c>
      <c r="F652" s="5" t="s">
        <v>156</v>
      </c>
      <c r="G652" s="8">
        <v>0.15</v>
      </c>
      <c r="H652" s="9">
        <v>282808.12</v>
      </c>
      <c r="I652" s="9">
        <v>4.2421217999999996</v>
      </c>
    </row>
    <row r="653" spans="1:9" x14ac:dyDescent="0.25">
      <c r="A653" s="5" t="s">
        <v>807</v>
      </c>
      <c r="B653" s="5" t="s">
        <v>108</v>
      </c>
      <c r="C653" s="6">
        <v>45995.746527777781</v>
      </c>
      <c r="D653" s="7">
        <v>3405</v>
      </c>
      <c r="E653" s="8">
        <v>172.68</v>
      </c>
      <c r="F653" s="5" t="s">
        <v>156</v>
      </c>
      <c r="G653" s="8">
        <v>0.15</v>
      </c>
      <c r="H653" s="9">
        <v>587975.4</v>
      </c>
      <c r="I653" s="9">
        <v>8.8196309999999993</v>
      </c>
    </row>
    <row r="654" spans="1:9" x14ac:dyDescent="0.25">
      <c r="A654" s="5" t="s">
        <v>808</v>
      </c>
      <c r="B654" s="5" t="s">
        <v>108</v>
      </c>
      <c r="C654" s="6">
        <v>45995.75</v>
      </c>
      <c r="D654" s="7">
        <v>983</v>
      </c>
      <c r="E654" s="8">
        <v>172.63</v>
      </c>
      <c r="F654" s="5" t="s">
        <v>159</v>
      </c>
      <c r="G654" s="8">
        <v>0.1</v>
      </c>
      <c r="H654" s="9">
        <v>169695.29</v>
      </c>
      <c r="I654" s="9">
        <v>1.6969529000000001</v>
      </c>
    </row>
    <row r="655" spans="1:9" x14ac:dyDescent="0.25">
      <c r="A655" s="5" t="s">
        <v>809</v>
      </c>
      <c r="B655" s="5" t="s">
        <v>109</v>
      </c>
      <c r="C655" s="6">
        <v>45995.78125</v>
      </c>
      <c r="D655" s="7">
        <v>1404</v>
      </c>
      <c r="E655" s="8">
        <v>198.66</v>
      </c>
      <c r="F655" s="5" t="s">
        <v>156</v>
      </c>
      <c r="G655" s="8">
        <v>0.15</v>
      </c>
      <c r="H655" s="9">
        <v>278918.64</v>
      </c>
      <c r="I655" s="9">
        <v>4.1837796000000003</v>
      </c>
    </row>
    <row r="656" spans="1:9" x14ac:dyDescent="0.25">
      <c r="A656" s="5" t="s">
        <v>810</v>
      </c>
      <c r="B656" s="5" t="s">
        <v>109</v>
      </c>
      <c r="C656" s="6">
        <v>45995.784722222219</v>
      </c>
      <c r="D656" s="7">
        <v>1632</v>
      </c>
      <c r="E656" s="8">
        <v>198.73</v>
      </c>
      <c r="F656" s="5" t="s">
        <v>156</v>
      </c>
      <c r="G656" s="8">
        <v>0.15</v>
      </c>
      <c r="H656" s="9">
        <v>324327.36</v>
      </c>
      <c r="I656" s="9">
        <v>4.8649104000000003</v>
      </c>
    </row>
    <row r="657" spans="1:9" x14ac:dyDescent="0.25">
      <c r="A657" s="5" t="s">
        <v>811</v>
      </c>
      <c r="B657" s="5" t="s">
        <v>109</v>
      </c>
      <c r="C657" s="6">
        <v>45995.788194444453</v>
      </c>
      <c r="D657" s="7">
        <v>631</v>
      </c>
      <c r="E657" s="8">
        <v>198.76</v>
      </c>
      <c r="F657" s="5" t="s">
        <v>159</v>
      </c>
      <c r="G657" s="8">
        <v>0.1</v>
      </c>
      <c r="H657" s="9">
        <v>125417.56</v>
      </c>
      <c r="I657" s="9">
        <v>1.2541755999999999</v>
      </c>
    </row>
    <row r="658" spans="1:9" x14ac:dyDescent="0.25">
      <c r="A658" s="5" t="s">
        <v>812</v>
      </c>
      <c r="B658" s="5" t="s">
        <v>109</v>
      </c>
      <c r="C658" s="6">
        <v>45995.791666666657</v>
      </c>
      <c r="D658" s="7">
        <v>4781</v>
      </c>
      <c r="E658" s="8">
        <v>198.67</v>
      </c>
      <c r="F658" s="5" t="s">
        <v>156</v>
      </c>
      <c r="G658" s="8">
        <v>0.15</v>
      </c>
      <c r="H658" s="9">
        <v>949841.2699999999</v>
      </c>
      <c r="I658" s="9">
        <v>14.247619050000001</v>
      </c>
    </row>
    <row r="659" spans="1:9" x14ac:dyDescent="0.25">
      <c r="A659" s="5" t="s">
        <v>813</v>
      </c>
      <c r="B659" s="5" t="s">
        <v>109</v>
      </c>
      <c r="C659" s="6">
        <v>45995.798611111109</v>
      </c>
      <c r="D659" s="7">
        <v>2689</v>
      </c>
      <c r="E659" s="8">
        <v>198.87</v>
      </c>
      <c r="F659" s="5" t="s">
        <v>156</v>
      </c>
      <c r="G659" s="8">
        <v>0.15</v>
      </c>
      <c r="H659" s="9">
        <v>534761.43000000005</v>
      </c>
      <c r="I659" s="9">
        <v>8.0214214500000001</v>
      </c>
    </row>
    <row r="660" spans="1:9" x14ac:dyDescent="0.25">
      <c r="A660" s="5" t="s">
        <v>814</v>
      </c>
      <c r="B660" s="5" t="s">
        <v>109</v>
      </c>
      <c r="C660" s="6">
        <v>45995.805555555547</v>
      </c>
      <c r="D660" s="7">
        <v>1474</v>
      </c>
      <c r="E660" s="8">
        <v>199.01</v>
      </c>
      <c r="F660" s="5" t="s">
        <v>154</v>
      </c>
      <c r="G660" s="8">
        <v>0.05</v>
      </c>
      <c r="H660" s="9">
        <v>293340.74</v>
      </c>
      <c r="I660" s="9">
        <v>1.4667037000000001</v>
      </c>
    </row>
    <row r="661" spans="1:9" x14ac:dyDescent="0.25">
      <c r="A661" s="5" t="s">
        <v>815</v>
      </c>
      <c r="B661" s="5" t="s">
        <v>110</v>
      </c>
      <c r="C661" s="6">
        <v>45995.659722222219</v>
      </c>
      <c r="D661" s="7">
        <v>1837</v>
      </c>
      <c r="E661" s="8">
        <v>197.82</v>
      </c>
      <c r="F661" s="5" t="s">
        <v>156</v>
      </c>
      <c r="G661" s="8">
        <v>0.15</v>
      </c>
      <c r="H661" s="9">
        <v>363395.34</v>
      </c>
      <c r="I661" s="9">
        <v>5.450930099999999</v>
      </c>
    </row>
    <row r="662" spans="1:9" x14ac:dyDescent="0.25">
      <c r="A662" s="5" t="s">
        <v>816</v>
      </c>
      <c r="B662" s="5" t="s">
        <v>110</v>
      </c>
      <c r="C662" s="6">
        <v>45995.663194444453</v>
      </c>
      <c r="D662" s="7">
        <v>6468</v>
      </c>
      <c r="E662" s="8">
        <v>197.41</v>
      </c>
      <c r="F662" s="5" t="s">
        <v>156</v>
      </c>
      <c r="G662" s="8">
        <v>0.15</v>
      </c>
      <c r="H662" s="9">
        <v>1276847.8799999999</v>
      </c>
      <c r="I662" s="9">
        <v>19.152718199999999</v>
      </c>
    </row>
    <row r="663" spans="1:9" x14ac:dyDescent="0.25">
      <c r="A663" s="5" t="s">
        <v>817</v>
      </c>
      <c r="B663" s="5" t="s">
        <v>110</v>
      </c>
      <c r="C663" s="6">
        <v>45995.666666666657</v>
      </c>
      <c r="D663" s="7">
        <v>1004</v>
      </c>
      <c r="E663" s="8">
        <v>197.53</v>
      </c>
      <c r="F663" s="5" t="s">
        <v>156</v>
      </c>
      <c r="G663" s="8">
        <v>0.15</v>
      </c>
      <c r="H663" s="9">
        <v>198320.12</v>
      </c>
      <c r="I663" s="9">
        <v>2.9748017999999998</v>
      </c>
    </row>
    <row r="664" spans="1:9" x14ac:dyDescent="0.25">
      <c r="A664" s="5" t="s">
        <v>818</v>
      </c>
      <c r="B664" s="5" t="s">
        <v>110</v>
      </c>
      <c r="C664" s="6">
        <v>45995.670138888891</v>
      </c>
      <c r="D664" s="7">
        <v>909</v>
      </c>
      <c r="E664" s="8">
        <v>197.63</v>
      </c>
      <c r="F664" s="5" t="s">
        <v>159</v>
      </c>
      <c r="G664" s="8">
        <v>0.1</v>
      </c>
      <c r="H664" s="9">
        <v>179645.67</v>
      </c>
      <c r="I664" s="9">
        <v>1.7964567</v>
      </c>
    </row>
    <row r="665" spans="1:9" x14ac:dyDescent="0.25">
      <c r="A665" s="5" t="s">
        <v>819</v>
      </c>
      <c r="B665" s="5" t="s">
        <v>110</v>
      </c>
      <c r="C665" s="6">
        <v>45995.677083333343</v>
      </c>
      <c r="D665" s="7">
        <v>4768</v>
      </c>
      <c r="E665" s="8">
        <v>197.39</v>
      </c>
      <c r="F665" s="5" t="s">
        <v>156</v>
      </c>
      <c r="G665" s="8">
        <v>0.15</v>
      </c>
      <c r="H665" s="9">
        <v>941155.5199999999</v>
      </c>
      <c r="I665" s="9">
        <v>14.1173328</v>
      </c>
    </row>
    <row r="666" spans="1:9" x14ac:dyDescent="0.25">
      <c r="A666" s="5" t="s">
        <v>820</v>
      </c>
      <c r="B666" s="5" t="s">
        <v>110</v>
      </c>
      <c r="C666" s="6">
        <v>45995.680555555547</v>
      </c>
      <c r="D666" s="7">
        <v>158</v>
      </c>
      <c r="E666" s="8">
        <v>197.6</v>
      </c>
      <c r="F666" s="5" t="s">
        <v>156</v>
      </c>
      <c r="G666" s="8">
        <v>0.15</v>
      </c>
      <c r="H666" s="9">
        <v>31220.799999999999</v>
      </c>
      <c r="I666" s="9">
        <v>0.46831200000000001</v>
      </c>
    </row>
    <row r="667" spans="1:9" x14ac:dyDescent="0.25">
      <c r="A667" s="5" t="s">
        <v>821</v>
      </c>
      <c r="B667" s="5" t="s">
        <v>110</v>
      </c>
      <c r="C667" s="6">
        <v>45995.684027777781</v>
      </c>
      <c r="D667" s="7">
        <v>2994</v>
      </c>
      <c r="E667" s="8">
        <v>197.56</v>
      </c>
      <c r="F667" s="5" t="s">
        <v>156</v>
      </c>
      <c r="G667" s="8">
        <v>0.15</v>
      </c>
      <c r="H667" s="9">
        <v>591494.64</v>
      </c>
      <c r="I667" s="9">
        <v>8.8724195999999989</v>
      </c>
    </row>
    <row r="668" spans="1:9" x14ac:dyDescent="0.25">
      <c r="A668" s="5" t="s">
        <v>822</v>
      </c>
      <c r="B668" s="5" t="s">
        <v>110</v>
      </c>
      <c r="C668" s="6">
        <v>45995.6875</v>
      </c>
      <c r="D668" s="7">
        <v>1094</v>
      </c>
      <c r="E668" s="8">
        <v>197.59</v>
      </c>
      <c r="F668" s="5" t="s">
        <v>156</v>
      </c>
      <c r="G668" s="8">
        <v>0.15</v>
      </c>
      <c r="H668" s="9">
        <v>216163.46</v>
      </c>
      <c r="I668" s="9">
        <v>3.2424518999999998</v>
      </c>
    </row>
    <row r="669" spans="1:9" x14ac:dyDescent="0.25">
      <c r="A669" s="5" t="s">
        <v>823</v>
      </c>
      <c r="B669" s="5" t="s">
        <v>111</v>
      </c>
      <c r="C669" s="6">
        <v>45993.767361111109</v>
      </c>
      <c r="D669" s="7">
        <v>1906</v>
      </c>
      <c r="E669" s="8">
        <v>423.5</v>
      </c>
      <c r="F669" s="5" t="s">
        <v>159</v>
      </c>
      <c r="G669" s="8">
        <v>0.1</v>
      </c>
      <c r="H669" s="9">
        <v>807191</v>
      </c>
      <c r="I669" s="9">
        <v>8.0719100000000008</v>
      </c>
    </row>
    <row r="670" spans="1:9" x14ac:dyDescent="0.25">
      <c r="A670" s="5" t="s">
        <v>824</v>
      </c>
      <c r="B670" s="5" t="s">
        <v>111</v>
      </c>
      <c r="C670" s="6">
        <v>45993.78125</v>
      </c>
      <c r="D670" s="7">
        <v>5682</v>
      </c>
      <c r="E670" s="8">
        <v>423.6</v>
      </c>
      <c r="F670" s="5" t="s">
        <v>159</v>
      </c>
      <c r="G670" s="8">
        <v>0.1</v>
      </c>
      <c r="H670" s="9">
        <v>2406895.2000000002</v>
      </c>
      <c r="I670" s="9">
        <v>24.068951999999999</v>
      </c>
    </row>
    <row r="671" spans="1:9" x14ac:dyDescent="0.25">
      <c r="A671" s="5" t="s">
        <v>825</v>
      </c>
      <c r="B671" s="5" t="s">
        <v>111</v>
      </c>
      <c r="C671" s="6">
        <v>45993.788194444453</v>
      </c>
      <c r="D671" s="7">
        <v>520</v>
      </c>
      <c r="E671" s="8">
        <v>423.79</v>
      </c>
      <c r="F671" s="5" t="s">
        <v>156</v>
      </c>
      <c r="G671" s="8">
        <v>0.15</v>
      </c>
      <c r="H671" s="9">
        <v>220370.8</v>
      </c>
      <c r="I671" s="9">
        <v>3.3055620000000001</v>
      </c>
    </row>
    <row r="672" spans="1:9" x14ac:dyDescent="0.25">
      <c r="A672" s="5" t="s">
        <v>826</v>
      </c>
      <c r="B672" s="5" t="s">
        <v>111</v>
      </c>
      <c r="C672" s="6">
        <v>45993.791666666657</v>
      </c>
      <c r="D672" s="7">
        <v>5053</v>
      </c>
      <c r="E672" s="8">
        <v>423.6</v>
      </c>
      <c r="F672" s="5" t="s">
        <v>159</v>
      </c>
      <c r="G672" s="8">
        <v>0.1</v>
      </c>
      <c r="H672" s="9">
        <v>2140450.7999999998</v>
      </c>
      <c r="I672" s="9">
        <v>21.404508</v>
      </c>
    </row>
    <row r="673" spans="1:9" x14ac:dyDescent="0.25">
      <c r="A673" s="5" t="s">
        <v>827</v>
      </c>
      <c r="B673" s="5" t="s">
        <v>111</v>
      </c>
      <c r="C673" s="6">
        <v>45993.8125</v>
      </c>
      <c r="D673" s="7">
        <v>1198</v>
      </c>
      <c r="E673" s="8">
        <v>422.77</v>
      </c>
      <c r="F673" s="5" t="s">
        <v>159</v>
      </c>
      <c r="G673" s="8">
        <v>0.1</v>
      </c>
      <c r="H673" s="9">
        <v>506478.46</v>
      </c>
      <c r="I673" s="9">
        <v>5.0647845999999994</v>
      </c>
    </row>
    <row r="674" spans="1:9" x14ac:dyDescent="0.25">
      <c r="A674" s="5" t="s">
        <v>828</v>
      </c>
      <c r="B674" s="5" t="s">
        <v>111</v>
      </c>
      <c r="C674" s="6">
        <v>45993.822916666657</v>
      </c>
      <c r="D674" s="7">
        <v>4697</v>
      </c>
      <c r="E674" s="8">
        <v>422.4</v>
      </c>
      <c r="F674" s="5" t="s">
        <v>159</v>
      </c>
      <c r="G674" s="8">
        <v>0.1</v>
      </c>
      <c r="H674" s="9">
        <v>1984012.8</v>
      </c>
      <c r="I674" s="9">
        <v>19.840128</v>
      </c>
    </row>
    <row r="675" spans="1:9" x14ac:dyDescent="0.25">
      <c r="A675" s="5" t="s">
        <v>829</v>
      </c>
      <c r="B675" s="5" t="s">
        <v>111</v>
      </c>
      <c r="C675" s="6">
        <v>45993.840277777781</v>
      </c>
      <c r="D675" s="7">
        <v>1000</v>
      </c>
      <c r="E675" s="8">
        <v>422.06</v>
      </c>
      <c r="F675" s="5" t="s">
        <v>156</v>
      </c>
      <c r="G675" s="8">
        <v>0.15</v>
      </c>
      <c r="H675" s="9">
        <v>422060</v>
      </c>
      <c r="I675" s="9">
        <v>6.3308999999999997</v>
      </c>
    </row>
    <row r="676" spans="1:9" x14ac:dyDescent="0.25">
      <c r="A676" s="5" t="s">
        <v>830</v>
      </c>
      <c r="B676" s="5" t="s">
        <v>111</v>
      </c>
      <c r="C676" s="6">
        <v>45993.857638888891</v>
      </c>
      <c r="D676" s="7">
        <v>1287</v>
      </c>
      <c r="E676" s="8">
        <v>421.88</v>
      </c>
      <c r="F676" s="5" t="s">
        <v>156</v>
      </c>
      <c r="G676" s="8">
        <v>0.15</v>
      </c>
      <c r="H676" s="9">
        <v>542959.55999999994</v>
      </c>
      <c r="I676" s="9">
        <v>8.1443934000000002</v>
      </c>
    </row>
    <row r="677" spans="1:9" x14ac:dyDescent="0.25">
      <c r="A677" s="5" t="s">
        <v>831</v>
      </c>
      <c r="B677" s="5" t="s">
        <v>112</v>
      </c>
      <c r="C677" s="6">
        <v>45995.753472222219</v>
      </c>
      <c r="D677" s="7">
        <v>595</v>
      </c>
      <c r="E677" s="8">
        <v>197.44</v>
      </c>
      <c r="F677" s="5" t="s">
        <v>156</v>
      </c>
      <c r="G677" s="8">
        <v>0.15</v>
      </c>
      <c r="H677" s="9">
        <v>117476.8</v>
      </c>
      <c r="I677" s="9">
        <v>1.7621519999999999</v>
      </c>
    </row>
    <row r="678" spans="1:9" x14ac:dyDescent="0.25">
      <c r="A678" s="5" t="s">
        <v>832</v>
      </c>
      <c r="B678" s="5" t="s">
        <v>112</v>
      </c>
      <c r="C678" s="6">
        <v>45995.756944444453</v>
      </c>
      <c r="D678" s="7">
        <v>1402</v>
      </c>
      <c r="E678" s="8">
        <v>197.8</v>
      </c>
      <c r="F678" s="5" t="s">
        <v>156</v>
      </c>
      <c r="G678" s="8">
        <v>0.15</v>
      </c>
      <c r="H678" s="9">
        <v>277315.59999999998</v>
      </c>
      <c r="I678" s="9">
        <v>4.1597340000000003</v>
      </c>
    </row>
    <row r="679" spans="1:9" x14ac:dyDescent="0.25">
      <c r="A679" s="5" t="s">
        <v>833</v>
      </c>
      <c r="B679" s="5" t="s">
        <v>112</v>
      </c>
      <c r="C679" s="6">
        <v>45995.78125</v>
      </c>
      <c r="D679" s="7">
        <v>843</v>
      </c>
      <c r="E679" s="8">
        <v>198.6</v>
      </c>
      <c r="F679" s="5" t="s">
        <v>154</v>
      </c>
      <c r="G679" s="8">
        <v>0.05</v>
      </c>
      <c r="H679" s="9">
        <v>167419.79999999999</v>
      </c>
      <c r="I679" s="9">
        <v>0.83709899999999993</v>
      </c>
    </row>
    <row r="680" spans="1:9" x14ac:dyDescent="0.25">
      <c r="A680" s="5" t="s">
        <v>834</v>
      </c>
      <c r="B680" s="5" t="s">
        <v>112</v>
      </c>
      <c r="C680" s="6">
        <v>45995.784722222219</v>
      </c>
      <c r="D680" s="7">
        <v>454</v>
      </c>
      <c r="E680" s="8">
        <v>198.71</v>
      </c>
      <c r="F680" s="5" t="s">
        <v>156</v>
      </c>
      <c r="G680" s="8">
        <v>0.15</v>
      </c>
      <c r="H680" s="9">
        <v>90214.34</v>
      </c>
      <c r="I680" s="9">
        <v>1.3532150999999999</v>
      </c>
    </row>
    <row r="681" spans="1:9" x14ac:dyDescent="0.25">
      <c r="A681" s="5" t="s">
        <v>835</v>
      </c>
      <c r="B681" s="5" t="s">
        <v>112</v>
      </c>
      <c r="C681" s="6">
        <v>45995.788194444453</v>
      </c>
      <c r="D681" s="7">
        <v>1335</v>
      </c>
      <c r="E681" s="8">
        <v>198.81</v>
      </c>
      <c r="F681" s="5" t="s">
        <v>156</v>
      </c>
      <c r="G681" s="8">
        <v>0.15</v>
      </c>
      <c r="H681" s="9">
        <v>265411.34999999998</v>
      </c>
      <c r="I681" s="9">
        <v>3.981170249999999</v>
      </c>
    </row>
    <row r="682" spans="1:9" x14ac:dyDescent="0.25">
      <c r="A682" s="5" t="s">
        <v>836</v>
      </c>
      <c r="B682" s="5" t="s">
        <v>112</v>
      </c>
      <c r="C682" s="6">
        <v>45995.795138888891</v>
      </c>
      <c r="D682" s="7">
        <v>342</v>
      </c>
      <c r="E682" s="8">
        <v>198.95</v>
      </c>
      <c r="F682" s="5" t="s">
        <v>159</v>
      </c>
      <c r="G682" s="8">
        <v>0.1</v>
      </c>
      <c r="H682" s="9">
        <v>68040.899999999994</v>
      </c>
      <c r="I682" s="9">
        <v>0.68040900000000004</v>
      </c>
    </row>
    <row r="683" spans="1:9" x14ac:dyDescent="0.25">
      <c r="A683" s="5" t="s">
        <v>837</v>
      </c>
      <c r="B683" s="5" t="s">
        <v>112</v>
      </c>
      <c r="C683" s="6">
        <v>45995.805555555547</v>
      </c>
      <c r="D683" s="7">
        <v>1532</v>
      </c>
      <c r="E683" s="8">
        <v>198.97</v>
      </c>
      <c r="F683" s="5" t="s">
        <v>156</v>
      </c>
      <c r="G683" s="8">
        <v>0.15</v>
      </c>
      <c r="H683" s="9">
        <v>304822.03999999998</v>
      </c>
      <c r="I683" s="9">
        <v>4.5723305999999999</v>
      </c>
    </row>
    <row r="684" spans="1:9" x14ac:dyDescent="0.25">
      <c r="A684" s="5" t="s">
        <v>838</v>
      </c>
      <c r="B684" s="5" t="s">
        <v>113</v>
      </c>
      <c r="C684" s="6">
        <v>45994.666666666657</v>
      </c>
      <c r="D684" s="7">
        <v>377</v>
      </c>
      <c r="E684" s="8">
        <v>423.3</v>
      </c>
      <c r="F684" s="5" t="s">
        <v>159</v>
      </c>
      <c r="G684" s="8">
        <v>0.1</v>
      </c>
      <c r="H684" s="9">
        <v>159584.1</v>
      </c>
      <c r="I684" s="9">
        <v>1.5958410000000001</v>
      </c>
    </row>
    <row r="685" spans="1:9" x14ac:dyDescent="0.25">
      <c r="A685" s="5" t="s">
        <v>839</v>
      </c>
      <c r="B685" s="5" t="s">
        <v>113</v>
      </c>
      <c r="C685" s="6">
        <v>45994.670138888891</v>
      </c>
      <c r="D685" s="7">
        <v>348</v>
      </c>
      <c r="E685" s="8">
        <v>423.56</v>
      </c>
      <c r="F685" s="5" t="s">
        <v>156</v>
      </c>
      <c r="G685" s="8">
        <v>0.15</v>
      </c>
      <c r="H685" s="9">
        <v>147398.88</v>
      </c>
      <c r="I685" s="9">
        <v>2.2109831999999998</v>
      </c>
    </row>
    <row r="686" spans="1:9" x14ac:dyDescent="0.25">
      <c r="A686" s="5" t="s">
        <v>840</v>
      </c>
      <c r="B686" s="5" t="s">
        <v>113</v>
      </c>
      <c r="C686" s="6">
        <v>45994.673611111109</v>
      </c>
      <c r="D686" s="7">
        <v>391</v>
      </c>
      <c r="E686" s="8">
        <v>423.67</v>
      </c>
      <c r="F686" s="5" t="s">
        <v>159</v>
      </c>
      <c r="G686" s="8">
        <v>0.1</v>
      </c>
      <c r="H686" s="9">
        <v>165654.97</v>
      </c>
      <c r="I686" s="9">
        <v>1.6565497</v>
      </c>
    </row>
    <row r="687" spans="1:9" x14ac:dyDescent="0.25">
      <c r="A687" s="5" t="s">
        <v>841</v>
      </c>
      <c r="B687" s="5" t="s">
        <v>113</v>
      </c>
      <c r="C687" s="6">
        <v>45994.6875</v>
      </c>
      <c r="D687" s="7">
        <v>1163</v>
      </c>
      <c r="E687" s="8">
        <v>423.76</v>
      </c>
      <c r="F687" s="5" t="s">
        <v>159</v>
      </c>
      <c r="G687" s="8">
        <v>0.1</v>
      </c>
      <c r="H687" s="9">
        <v>492832.88</v>
      </c>
      <c r="I687" s="9">
        <v>4.9283288000000001</v>
      </c>
    </row>
    <row r="688" spans="1:9" x14ac:dyDescent="0.25">
      <c r="A688" s="5" t="s">
        <v>842</v>
      </c>
      <c r="B688" s="5" t="s">
        <v>113</v>
      </c>
      <c r="C688" s="6">
        <v>45994.690972222219</v>
      </c>
      <c r="D688" s="7">
        <v>459</v>
      </c>
      <c r="E688" s="8">
        <v>423.83</v>
      </c>
      <c r="F688" s="5" t="s">
        <v>156</v>
      </c>
      <c r="G688" s="8">
        <v>0.15</v>
      </c>
      <c r="H688" s="9">
        <v>194537.97</v>
      </c>
      <c r="I688" s="9">
        <v>2.9180695499999998</v>
      </c>
    </row>
    <row r="689" spans="1:9" x14ac:dyDescent="0.25">
      <c r="A689" s="5" t="s">
        <v>843</v>
      </c>
      <c r="B689" s="5" t="s">
        <v>113</v>
      </c>
      <c r="C689" s="6">
        <v>45994.708333333343</v>
      </c>
      <c r="D689" s="7">
        <v>1410</v>
      </c>
      <c r="E689" s="8">
        <v>422.82</v>
      </c>
      <c r="F689" s="5" t="s">
        <v>156</v>
      </c>
      <c r="G689" s="8">
        <v>0.15</v>
      </c>
      <c r="H689" s="9">
        <v>596176.19999999995</v>
      </c>
      <c r="I689" s="9">
        <v>8.9426429999999986</v>
      </c>
    </row>
    <row r="690" spans="1:9" x14ac:dyDescent="0.25">
      <c r="A690" s="5" t="s">
        <v>844</v>
      </c>
      <c r="B690" s="5" t="s">
        <v>113</v>
      </c>
      <c r="C690" s="6">
        <v>45994.715277777781</v>
      </c>
      <c r="D690" s="7">
        <v>1271</v>
      </c>
      <c r="E690" s="8">
        <v>422.58</v>
      </c>
      <c r="F690" s="5" t="s">
        <v>159</v>
      </c>
      <c r="G690" s="8">
        <v>0.1</v>
      </c>
      <c r="H690" s="9">
        <v>537099.17999999993</v>
      </c>
      <c r="I690" s="9">
        <v>5.3709917999999996</v>
      </c>
    </row>
    <row r="691" spans="1:9" x14ac:dyDescent="0.25">
      <c r="A691" s="5" t="s">
        <v>845</v>
      </c>
      <c r="B691" s="5" t="s">
        <v>113</v>
      </c>
      <c r="C691" s="6">
        <v>45994.71875</v>
      </c>
      <c r="D691" s="7">
        <v>1690</v>
      </c>
      <c r="E691" s="8">
        <v>422.31</v>
      </c>
      <c r="F691" s="5" t="s">
        <v>156</v>
      </c>
      <c r="G691" s="8">
        <v>0.15</v>
      </c>
      <c r="H691" s="9">
        <v>713703.9</v>
      </c>
      <c r="I691" s="9">
        <v>10.7055585</v>
      </c>
    </row>
    <row r="692" spans="1:9" x14ac:dyDescent="0.25">
      <c r="A692" s="5" t="s">
        <v>846</v>
      </c>
      <c r="B692" s="5" t="s">
        <v>113</v>
      </c>
      <c r="C692" s="6">
        <v>45994.722222222219</v>
      </c>
      <c r="D692" s="7">
        <v>113</v>
      </c>
      <c r="E692" s="8">
        <v>421.98</v>
      </c>
      <c r="F692" s="5" t="s">
        <v>156</v>
      </c>
      <c r="G692" s="8">
        <v>0.15</v>
      </c>
      <c r="H692" s="9">
        <v>47683.740000000013</v>
      </c>
      <c r="I692" s="9">
        <v>0.71525610000000006</v>
      </c>
    </row>
    <row r="693" spans="1:9" x14ac:dyDescent="0.25">
      <c r="A693" s="5" t="s">
        <v>847</v>
      </c>
      <c r="B693" s="5" t="s">
        <v>113</v>
      </c>
      <c r="C693" s="6">
        <v>45994.729166666657</v>
      </c>
      <c r="D693" s="7">
        <v>2547</v>
      </c>
      <c r="E693" s="8">
        <v>421.95</v>
      </c>
      <c r="F693" s="5" t="s">
        <v>156</v>
      </c>
      <c r="G693" s="8">
        <v>0.15</v>
      </c>
      <c r="H693" s="9">
        <v>1074706.6499999999</v>
      </c>
      <c r="I693" s="9">
        <v>16.12059975</v>
      </c>
    </row>
    <row r="694" spans="1:9" x14ac:dyDescent="0.25">
      <c r="A694" s="5" t="s">
        <v>848</v>
      </c>
      <c r="B694" s="5" t="s">
        <v>113</v>
      </c>
      <c r="C694" s="6">
        <v>45994.739583333343</v>
      </c>
      <c r="D694" s="7">
        <v>1814</v>
      </c>
      <c r="E694" s="8">
        <v>421.91</v>
      </c>
      <c r="F694" s="5" t="s">
        <v>156</v>
      </c>
      <c r="G694" s="8">
        <v>0.15</v>
      </c>
      <c r="H694" s="9">
        <v>765344.74</v>
      </c>
      <c r="I694" s="9">
        <v>11.4801711</v>
      </c>
    </row>
    <row r="695" spans="1:9" x14ac:dyDescent="0.25">
      <c r="A695" s="5" t="s">
        <v>849</v>
      </c>
      <c r="B695" s="5" t="s">
        <v>113</v>
      </c>
      <c r="C695" s="6">
        <v>45994.75</v>
      </c>
      <c r="D695" s="7">
        <v>398</v>
      </c>
      <c r="E695" s="8">
        <v>422.11</v>
      </c>
      <c r="F695" s="5" t="s">
        <v>154</v>
      </c>
      <c r="G695" s="8">
        <v>0.05</v>
      </c>
      <c r="H695" s="9">
        <v>167999.78</v>
      </c>
      <c r="I695" s="9">
        <v>0.83999889999999999</v>
      </c>
    </row>
    <row r="696" spans="1:9" x14ac:dyDescent="0.25">
      <c r="A696" s="5" t="s">
        <v>850</v>
      </c>
      <c r="B696" s="5" t="s">
        <v>114</v>
      </c>
      <c r="C696" s="6">
        <v>45992.708333333343</v>
      </c>
      <c r="D696" s="7">
        <v>2791</v>
      </c>
      <c r="E696" s="8">
        <v>416.79</v>
      </c>
      <c r="F696" s="5" t="s">
        <v>156</v>
      </c>
      <c r="G696" s="8">
        <v>0.15</v>
      </c>
      <c r="H696" s="9">
        <v>1163260.8899999999</v>
      </c>
      <c r="I696" s="9">
        <v>17.448913350000002</v>
      </c>
    </row>
    <row r="697" spans="1:9" x14ac:dyDescent="0.25">
      <c r="A697" s="5" t="s">
        <v>851</v>
      </c>
      <c r="B697" s="5" t="s">
        <v>114</v>
      </c>
      <c r="C697" s="6">
        <v>45992.711805555547</v>
      </c>
      <c r="D697" s="7">
        <v>5363</v>
      </c>
      <c r="E697" s="8">
        <v>416.97</v>
      </c>
      <c r="F697" s="5" t="s">
        <v>154</v>
      </c>
      <c r="G697" s="8">
        <v>0.05</v>
      </c>
      <c r="H697" s="9">
        <v>2236210.11</v>
      </c>
      <c r="I697" s="9">
        <v>11.18105055</v>
      </c>
    </row>
    <row r="698" spans="1:9" x14ac:dyDescent="0.25">
      <c r="A698" s="5" t="s">
        <v>852</v>
      </c>
      <c r="B698" s="5" t="s">
        <v>114</v>
      </c>
      <c r="C698" s="6">
        <v>45992.715277777781</v>
      </c>
      <c r="D698" s="7">
        <v>415</v>
      </c>
      <c r="E698" s="8">
        <v>417.11</v>
      </c>
      <c r="F698" s="5" t="s">
        <v>156</v>
      </c>
      <c r="G698" s="8">
        <v>0.15</v>
      </c>
      <c r="H698" s="9">
        <v>173100.65</v>
      </c>
      <c r="I698" s="9">
        <v>2.5965097500000001</v>
      </c>
    </row>
    <row r="699" spans="1:9" x14ac:dyDescent="0.25">
      <c r="A699" s="5" t="s">
        <v>853</v>
      </c>
      <c r="B699" s="5" t="s">
        <v>114</v>
      </c>
      <c r="C699" s="6">
        <v>45992.71875</v>
      </c>
      <c r="D699" s="7">
        <v>685</v>
      </c>
      <c r="E699" s="8">
        <v>417.41</v>
      </c>
      <c r="F699" s="5" t="s">
        <v>154</v>
      </c>
      <c r="G699" s="8">
        <v>0.05</v>
      </c>
      <c r="H699" s="9">
        <v>285925.84999999998</v>
      </c>
      <c r="I699" s="9">
        <v>1.4296292500000001</v>
      </c>
    </row>
    <row r="700" spans="1:9" x14ac:dyDescent="0.25">
      <c r="A700" s="5" t="s">
        <v>854</v>
      </c>
      <c r="B700" s="5" t="s">
        <v>114</v>
      </c>
      <c r="C700" s="6">
        <v>45992.722222222219</v>
      </c>
      <c r="D700" s="7">
        <v>1076</v>
      </c>
      <c r="E700" s="8">
        <v>417.64</v>
      </c>
      <c r="F700" s="5" t="s">
        <v>156</v>
      </c>
      <c r="G700" s="8">
        <v>0.15</v>
      </c>
      <c r="H700" s="9">
        <v>449380.64</v>
      </c>
      <c r="I700" s="9">
        <v>6.7407096000000006</v>
      </c>
    </row>
    <row r="701" spans="1:9" x14ac:dyDescent="0.25">
      <c r="A701" s="5" t="s">
        <v>855</v>
      </c>
      <c r="B701" s="5" t="s">
        <v>114</v>
      </c>
      <c r="C701" s="6">
        <v>45992.729166666657</v>
      </c>
      <c r="D701" s="7">
        <v>478</v>
      </c>
      <c r="E701" s="8">
        <v>417.62</v>
      </c>
      <c r="F701" s="5" t="s">
        <v>154</v>
      </c>
      <c r="G701" s="8">
        <v>0.05</v>
      </c>
      <c r="H701" s="9">
        <v>199622.36</v>
      </c>
      <c r="I701" s="9">
        <v>0.99811180000000022</v>
      </c>
    </row>
    <row r="702" spans="1:9" x14ac:dyDescent="0.25">
      <c r="A702" s="5" t="s">
        <v>856</v>
      </c>
      <c r="B702" s="5" t="s">
        <v>114</v>
      </c>
      <c r="C702" s="6">
        <v>45992.732638888891</v>
      </c>
      <c r="D702" s="7">
        <v>1313</v>
      </c>
      <c r="E702" s="8">
        <v>418.32</v>
      </c>
      <c r="F702" s="5" t="s">
        <v>156</v>
      </c>
      <c r="G702" s="8">
        <v>0.15</v>
      </c>
      <c r="H702" s="9">
        <v>549254.16</v>
      </c>
      <c r="I702" s="9">
        <v>8.2388124000000005</v>
      </c>
    </row>
    <row r="703" spans="1:9" x14ac:dyDescent="0.25">
      <c r="A703" s="5" t="s">
        <v>857</v>
      </c>
      <c r="B703" s="5" t="s">
        <v>115</v>
      </c>
      <c r="C703" s="6">
        <v>45994.760416666657</v>
      </c>
      <c r="D703" s="7">
        <v>13</v>
      </c>
      <c r="E703" s="8">
        <v>174.2</v>
      </c>
      <c r="F703" s="5" t="s">
        <v>159</v>
      </c>
      <c r="G703" s="8">
        <v>0.1</v>
      </c>
      <c r="H703" s="9">
        <v>2264.6</v>
      </c>
      <c r="I703" s="9">
        <v>2.2645999999999999E-2</v>
      </c>
    </row>
    <row r="704" spans="1:9" x14ac:dyDescent="0.25">
      <c r="A704" s="5" t="s">
        <v>858</v>
      </c>
      <c r="B704" s="5" t="s">
        <v>115</v>
      </c>
      <c r="C704" s="6">
        <v>45994.763888888891</v>
      </c>
      <c r="D704" s="7">
        <v>75</v>
      </c>
      <c r="E704" s="8">
        <v>174.27</v>
      </c>
      <c r="F704" s="5" t="s">
        <v>156</v>
      </c>
      <c r="G704" s="8">
        <v>0.15</v>
      </c>
      <c r="H704" s="9">
        <v>13070.25</v>
      </c>
      <c r="I704" s="9">
        <v>0.19605375</v>
      </c>
    </row>
    <row r="705" spans="1:9" x14ac:dyDescent="0.25">
      <c r="A705" s="5" t="s">
        <v>859</v>
      </c>
      <c r="B705" s="5" t="s">
        <v>115</v>
      </c>
      <c r="C705" s="6">
        <v>45994.777777777781</v>
      </c>
      <c r="D705" s="7">
        <v>795</v>
      </c>
      <c r="E705" s="8">
        <v>174.33</v>
      </c>
      <c r="F705" s="5" t="s">
        <v>159</v>
      </c>
      <c r="G705" s="8">
        <v>0.1</v>
      </c>
      <c r="H705" s="9">
        <v>138592.35</v>
      </c>
      <c r="I705" s="9">
        <v>1.3859235000000001</v>
      </c>
    </row>
    <row r="706" spans="1:9" x14ac:dyDescent="0.25">
      <c r="A706" s="5" t="s">
        <v>860</v>
      </c>
      <c r="B706" s="5" t="s">
        <v>115</v>
      </c>
      <c r="C706" s="6">
        <v>45994.78125</v>
      </c>
      <c r="D706" s="7">
        <v>464</v>
      </c>
      <c r="E706" s="8">
        <v>174.39</v>
      </c>
      <c r="F706" s="5" t="s">
        <v>159</v>
      </c>
      <c r="G706" s="8">
        <v>0.1</v>
      </c>
      <c r="H706" s="9">
        <v>80916.959999999992</v>
      </c>
      <c r="I706" s="9">
        <v>0.80916960000000004</v>
      </c>
    </row>
    <row r="707" spans="1:9" x14ac:dyDescent="0.25">
      <c r="A707" s="5" t="s">
        <v>861</v>
      </c>
      <c r="B707" s="5" t="s">
        <v>115</v>
      </c>
      <c r="C707" s="6">
        <v>45994.788194444453</v>
      </c>
      <c r="D707" s="7">
        <v>1740</v>
      </c>
      <c r="E707" s="8">
        <v>174.19</v>
      </c>
      <c r="F707" s="5" t="s">
        <v>154</v>
      </c>
      <c r="G707" s="8">
        <v>0.05</v>
      </c>
      <c r="H707" s="9">
        <v>303090.59999999998</v>
      </c>
      <c r="I707" s="9">
        <v>1.5154529999999999</v>
      </c>
    </row>
    <row r="708" spans="1:9" x14ac:dyDescent="0.25">
      <c r="A708" s="5" t="s">
        <v>862</v>
      </c>
      <c r="B708" s="5" t="s">
        <v>115</v>
      </c>
      <c r="C708" s="6">
        <v>45994.791666666657</v>
      </c>
      <c r="D708" s="7">
        <v>1353</v>
      </c>
      <c r="E708" s="8">
        <v>174.1</v>
      </c>
      <c r="F708" s="5" t="s">
        <v>156</v>
      </c>
      <c r="G708" s="8">
        <v>0.15</v>
      </c>
      <c r="H708" s="9">
        <v>235557.3</v>
      </c>
      <c r="I708" s="9">
        <v>3.5333595</v>
      </c>
    </row>
    <row r="709" spans="1:9" x14ac:dyDescent="0.25">
      <c r="A709" s="5" t="s">
        <v>863</v>
      </c>
      <c r="B709" s="5" t="s">
        <v>115</v>
      </c>
      <c r="C709" s="6">
        <v>45994.8125</v>
      </c>
      <c r="D709" s="7">
        <v>419</v>
      </c>
      <c r="E709" s="8">
        <v>174.45</v>
      </c>
      <c r="F709" s="5" t="s">
        <v>154</v>
      </c>
      <c r="G709" s="8">
        <v>0.05</v>
      </c>
      <c r="H709" s="9">
        <v>73094.549999999988</v>
      </c>
      <c r="I709" s="9">
        <v>0.36547275000000001</v>
      </c>
    </row>
    <row r="710" spans="1:9" x14ac:dyDescent="0.25">
      <c r="A710" s="5" t="s">
        <v>864</v>
      </c>
      <c r="B710" s="5" t="s">
        <v>115</v>
      </c>
      <c r="C710" s="6">
        <v>45994.829861111109</v>
      </c>
      <c r="D710" s="7">
        <v>272</v>
      </c>
      <c r="E710" s="8">
        <v>174.38</v>
      </c>
      <c r="F710" s="5" t="s">
        <v>159</v>
      </c>
      <c r="G710" s="8">
        <v>0.1</v>
      </c>
      <c r="H710" s="9">
        <v>47431.360000000001</v>
      </c>
      <c r="I710" s="9">
        <v>0.47431360000000011</v>
      </c>
    </row>
    <row r="711" spans="1:9" x14ac:dyDescent="0.25">
      <c r="A711" s="5" t="s">
        <v>865</v>
      </c>
      <c r="B711" s="5" t="s">
        <v>116</v>
      </c>
      <c r="C711" s="6">
        <v>45996.649305555547</v>
      </c>
      <c r="D711" s="7">
        <v>617</v>
      </c>
      <c r="E711" s="8">
        <v>195.13</v>
      </c>
      <c r="F711" s="5" t="s">
        <v>159</v>
      </c>
      <c r="G711" s="8">
        <v>0.1</v>
      </c>
      <c r="H711" s="9">
        <v>120395.21</v>
      </c>
      <c r="I711" s="9">
        <v>1.2039521</v>
      </c>
    </row>
    <row r="712" spans="1:9" x14ac:dyDescent="0.25">
      <c r="A712" s="5" t="s">
        <v>866</v>
      </c>
      <c r="B712" s="5" t="s">
        <v>116</v>
      </c>
      <c r="C712" s="6">
        <v>45996.652777777781</v>
      </c>
      <c r="D712" s="7">
        <v>31</v>
      </c>
      <c r="E712" s="8">
        <v>194.98</v>
      </c>
      <c r="F712" s="5" t="s">
        <v>159</v>
      </c>
      <c r="G712" s="8">
        <v>0.1</v>
      </c>
      <c r="H712" s="9">
        <v>6044.38</v>
      </c>
      <c r="I712" s="9">
        <v>6.0443799999999999E-2</v>
      </c>
    </row>
    <row r="713" spans="1:9" x14ac:dyDescent="0.25">
      <c r="A713" s="5" t="s">
        <v>867</v>
      </c>
      <c r="B713" s="5" t="s">
        <v>116</v>
      </c>
      <c r="C713" s="6">
        <v>45996.65625</v>
      </c>
      <c r="D713" s="7">
        <v>550</v>
      </c>
      <c r="E713" s="8">
        <v>195.01</v>
      </c>
      <c r="F713" s="5" t="s">
        <v>156</v>
      </c>
      <c r="G713" s="8">
        <v>0.15</v>
      </c>
      <c r="H713" s="9">
        <v>107255.5</v>
      </c>
      <c r="I713" s="9">
        <v>1.6088325000000001</v>
      </c>
    </row>
    <row r="714" spans="1:9" x14ac:dyDescent="0.25">
      <c r="A714" s="5" t="s">
        <v>868</v>
      </c>
      <c r="B714" s="5" t="s">
        <v>116</v>
      </c>
      <c r="C714" s="6">
        <v>45996.659722222219</v>
      </c>
      <c r="D714" s="7">
        <v>1082</v>
      </c>
      <c r="E714" s="8">
        <v>195.12</v>
      </c>
      <c r="F714" s="5" t="s">
        <v>159</v>
      </c>
      <c r="G714" s="8">
        <v>0.1</v>
      </c>
      <c r="H714" s="9">
        <v>211119.84</v>
      </c>
      <c r="I714" s="9">
        <v>2.1111984000000001</v>
      </c>
    </row>
    <row r="715" spans="1:9" x14ac:dyDescent="0.25">
      <c r="A715" s="5" t="s">
        <v>869</v>
      </c>
      <c r="B715" s="5" t="s">
        <v>116</v>
      </c>
      <c r="C715" s="6">
        <v>45996.663194444453</v>
      </c>
      <c r="D715" s="7">
        <v>1204</v>
      </c>
      <c r="E715" s="8">
        <v>194.76</v>
      </c>
      <c r="F715" s="5" t="s">
        <v>156</v>
      </c>
      <c r="G715" s="8">
        <v>0.15</v>
      </c>
      <c r="H715" s="9">
        <v>234491.04</v>
      </c>
      <c r="I715" s="9">
        <v>3.5173656000000002</v>
      </c>
    </row>
    <row r="716" spans="1:9" x14ac:dyDescent="0.25">
      <c r="A716" s="5" t="s">
        <v>870</v>
      </c>
      <c r="B716" s="5" t="s">
        <v>116</v>
      </c>
      <c r="C716" s="6">
        <v>45996.666666666657</v>
      </c>
      <c r="D716" s="7">
        <v>471</v>
      </c>
      <c r="E716" s="8">
        <v>194.78</v>
      </c>
      <c r="F716" s="5" t="s">
        <v>159</v>
      </c>
      <c r="G716" s="8">
        <v>0.1</v>
      </c>
      <c r="H716" s="9">
        <v>91741.38</v>
      </c>
      <c r="I716" s="9">
        <v>0.91741380000000006</v>
      </c>
    </row>
    <row r="717" spans="1:9" x14ac:dyDescent="0.25">
      <c r="A717" s="5" t="s">
        <v>871</v>
      </c>
      <c r="B717" s="5" t="s">
        <v>116</v>
      </c>
      <c r="C717" s="6">
        <v>45996.677083333343</v>
      </c>
      <c r="D717" s="7">
        <v>141</v>
      </c>
      <c r="E717" s="8">
        <v>194.83</v>
      </c>
      <c r="F717" s="5" t="s">
        <v>156</v>
      </c>
      <c r="G717" s="8">
        <v>0.15</v>
      </c>
      <c r="H717" s="9">
        <v>27471.03</v>
      </c>
      <c r="I717" s="9">
        <v>0.41206545000000011</v>
      </c>
    </row>
    <row r="718" spans="1:9" x14ac:dyDescent="0.25">
      <c r="A718" s="5" t="s">
        <v>872</v>
      </c>
      <c r="B718" s="5" t="s">
        <v>116</v>
      </c>
      <c r="C718" s="6">
        <v>45996.680555555547</v>
      </c>
      <c r="D718" s="7">
        <v>1367</v>
      </c>
      <c r="E718" s="8">
        <v>194.97</v>
      </c>
      <c r="F718" s="5" t="s">
        <v>156</v>
      </c>
      <c r="G718" s="8">
        <v>0.15</v>
      </c>
      <c r="H718" s="9">
        <v>266523.99</v>
      </c>
      <c r="I718" s="9">
        <v>3.9978598500000002</v>
      </c>
    </row>
    <row r="719" spans="1:9" x14ac:dyDescent="0.25">
      <c r="A719" s="5" t="s">
        <v>873</v>
      </c>
      <c r="B719" s="5" t="s">
        <v>116</v>
      </c>
      <c r="C719" s="6">
        <v>45996.684027777781</v>
      </c>
      <c r="D719" s="7">
        <v>170</v>
      </c>
      <c r="E719" s="8">
        <v>195.21</v>
      </c>
      <c r="F719" s="5" t="s">
        <v>154</v>
      </c>
      <c r="G719" s="8">
        <v>0.05</v>
      </c>
      <c r="H719" s="9">
        <v>33185.699999999997</v>
      </c>
      <c r="I719" s="9">
        <v>0.16592850000000001</v>
      </c>
    </row>
    <row r="720" spans="1:9" x14ac:dyDescent="0.25">
      <c r="A720" s="5" t="s">
        <v>874</v>
      </c>
      <c r="B720" s="5" t="s">
        <v>116</v>
      </c>
      <c r="C720" s="6">
        <v>45996.6875</v>
      </c>
      <c r="D720" s="7">
        <v>240</v>
      </c>
      <c r="E720" s="8">
        <v>195.08</v>
      </c>
      <c r="F720" s="5" t="s">
        <v>156</v>
      </c>
      <c r="G720" s="8">
        <v>0.15</v>
      </c>
      <c r="H720" s="9">
        <v>46819.199999999997</v>
      </c>
      <c r="I720" s="9">
        <v>0.70228800000000002</v>
      </c>
    </row>
    <row r="721" spans="1:9" x14ac:dyDescent="0.25">
      <c r="A721" s="5" t="s">
        <v>875</v>
      </c>
      <c r="B721" s="5" t="s">
        <v>116</v>
      </c>
      <c r="C721" s="6">
        <v>45996.690972222219</v>
      </c>
      <c r="D721" s="7">
        <v>195</v>
      </c>
      <c r="E721" s="8">
        <v>195.08</v>
      </c>
      <c r="F721" s="5" t="s">
        <v>156</v>
      </c>
      <c r="G721" s="8">
        <v>0.15</v>
      </c>
      <c r="H721" s="9">
        <v>38040.600000000013</v>
      </c>
      <c r="I721" s="9">
        <v>0.57060900000000014</v>
      </c>
    </row>
    <row r="722" spans="1:9" x14ac:dyDescent="0.25">
      <c r="A722" s="5" t="s">
        <v>876</v>
      </c>
      <c r="B722" s="5" t="s">
        <v>116</v>
      </c>
      <c r="C722" s="6">
        <v>45996.694444444453</v>
      </c>
      <c r="D722" s="7">
        <v>2100</v>
      </c>
      <c r="E722" s="8">
        <v>195.19</v>
      </c>
      <c r="F722" s="5" t="s">
        <v>159</v>
      </c>
      <c r="G722" s="8">
        <v>0.1</v>
      </c>
      <c r="H722" s="9">
        <v>409899</v>
      </c>
      <c r="I722" s="9">
        <v>4.0989900000000006</v>
      </c>
    </row>
    <row r="723" spans="1:9" x14ac:dyDescent="0.25">
      <c r="A723" s="5" t="s">
        <v>877</v>
      </c>
      <c r="B723" s="5" t="s">
        <v>116</v>
      </c>
      <c r="C723" s="6">
        <v>45996.697916666657</v>
      </c>
      <c r="D723" s="7">
        <v>1022</v>
      </c>
      <c r="E723" s="8">
        <v>194.89</v>
      </c>
      <c r="F723" s="5" t="s">
        <v>159</v>
      </c>
      <c r="G723" s="8">
        <v>0.1</v>
      </c>
      <c r="H723" s="9">
        <v>199177.58</v>
      </c>
      <c r="I723" s="9">
        <v>1.9917758000000001</v>
      </c>
    </row>
    <row r="724" spans="1:9" x14ac:dyDescent="0.25">
      <c r="A724" s="5" t="s">
        <v>878</v>
      </c>
      <c r="B724" s="5" t="s">
        <v>117</v>
      </c>
      <c r="C724" s="6">
        <v>45992.795138888891</v>
      </c>
      <c r="D724" s="7">
        <v>969</v>
      </c>
      <c r="E724" s="8">
        <v>174.27</v>
      </c>
      <c r="F724" s="5" t="s">
        <v>156</v>
      </c>
      <c r="G724" s="8">
        <v>0.15</v>
      </c>
      <c r="H724" s="9">
        <v>168867.63</v>
      </c>
      <c r="I724" s="9">
        <v>2.53301445</v>
      </c>
    </row>
    <row r="725" spans="1:9" x14ac:dyDescent="0.25">
      <c r="A725" s="5" t="s">
        <v>879</v>
      </c>
      <c r="B725" s="5" t="s">
        <v>117</v>
      </c>
      <c r="C725" s="6">
        <v>45992.805555555547</v>
      </c>
      <c r="D725" s="7">
        <v>257</v>
      </c>
      <c r="E725" s="8">
        <v>174.5</v>
      </c>
      <c r="F725" s="5" t="s">
        <v>159</v>
      </c>
      <c r="G725" s="8">
        <v>0.1</v>
      </c>
      <c r="H725" s="9">
        <v>44846.5</v>
      </c>
      <c r="I725" s="9">
        <v>0.44846500000000011</v>
      </c>
    </row>
    <row r="726" spans="1:9" x14ac:dyDescent="0.25">
      <c r="A726" s="5" t="s">
        <v>880</v>
      </c>
      <c r="B726" s="5" t="s">
        <v>117</v>
      </c>
      <c r="C726" s="6">
        <v>45992.8125</v>
      </c>
      <c r="D726" s="7">
        <v>2950</v>
      </c>
      <c r="E726" s="8">
        <v>174.65</v>
      </c>
      <c r="F726" s="5" t="s">
        <v>159</v>
      </c>
      <c r="G726" s="8">
        <v>0.1</v>
      </c>
      <c r="H726" s="9">
        <v>515217.5</v>
      </c>
      <c r="I726" s="9">
        <v>5.1521749999999997</v>
      </c>
    </row>
    <row r="727" spans="1:9" x14ac:dyDescent="0.25">
      <c r="A727" s="5" t="s">
        <v>881</v>
      </c>
      <c r="B727" s="5" t="s">
        <v>117</v>
      </c>
      <c r="C727" s="6">
        <v>45992.815972222219</v>
      </c>
      <c r="D727" s="7">
        <v>654</v>
      </c>
      <c r="E727" s="8">
        <v>174.68</v>
      </c>
      <c r="F727" s="5" t="s">
        <v>156</v>
      </c>
      <c r="G727" s="8">
        <v>0.15</v>
      </c>
      <c r="H727" s="9">
        <v>114240.72</v>
      </c>
      <c r="I727" s="9">
        <v>1.7136108000000001</v>
      </c>
    </row>
    <row r="728" spans="1:9" x14ac:dyDescent="0.25">
      <c r="A728" s="5" t="s">
        <v>882</v>
      </c>
      <c r="B728" s="5" t="s">
        <v>117</v>
      </c>
      <c r="C728" s="6">
        <v>45992.822916666657</v>
      </c>
      <c r="D728" s="7">
        <v>2576</v>
      </c>
      <c r="E728" s="8">
        <v>174.04</v>
      </c>
      <c r="F728" s="5" t="s">
        <v>156</v>
      </c>
      <c r="G728" s="8">
        <v>0.15</v>
      </c>
      <c r="H728" s="9">
        <v>448327.04</v>
      </c>
      <c r="I728" s="9">
        <v>6.7249055999999996</v>
      </c>
    </row>
    <row r="729" spans="1:9" x14ac:dyDescent="0.25">
      <c r="A729" s="5" t="s">
        <v>883</v>
      </c>
      <c r="B729" s="5" t="s">
        <v>117</v>
      </c>
      <c r="C729" s="6">
        <v>45992.826388888891</v>
      </c>
      <c r="D729" s="7">
        <v>3544</v>
      </c>
      <c r="E729" s="8">
        <v>173.96</v>
      </c>
      <c r="F729" s="5" t="s">
        <v>156</v>
      </c>
      <c r="G729" s="8">
        <v>0.15</v>
      </c>
      <c r="H729" s="9">
        <v>616514.24</v>
      </c>
      <c r="I729" s="9">
        <v>9.2477135999999991</v>
      </c>
    </row>
    <row r="730" spans="1:9" x14ac:dyDescent="0.25">
      <c r="A730" s="5" t="s">
        <v>884</v>
      </c>
      <c r="B730" s="5" t="s">
        <v>117</v>
      </c>
      <c r="C730" s="6">
        <v>45992.829861111109</v>
      </c>
      <c r="D730" s="7">
        <v>2909</v>
      </c>
      <c r="E730" s="8">
        <v>174.07</v>
      </c>
      <c r="F730" s="5" t="s">
        <v>156</v>
      </c>
      <c r="G730" s="8">
        <v>0.15</v>
      </c>
      <c r="H730" s="9">
        <v>506369.63</v>
      </c>
      <c r="I730" s="9">
        <v>7.5955444499999993</v>
      </c>
    </row>
    <row r="731" spans="1:9" x14ac:dyDescent="0.25">
      <c r="A731" s="5" t="s">
        <v>885</v>
      </c>
      <c r="B731" s="5" t="s">
        <v>117</v>
      </c>
      <c r="C731" s="6">
        <v>45992.833333333343</v>
      </c>
      <c r="D731" s="7">
        <v>575</v>
      </c>
      <c r="E731" s="8">
        <v>174.19</v>
      </c>
      <c r="F731" s="5" t="s">
        <v>156</v>
      </c>
      <c r="G731" s="8">
        <v>0.15</v>
      </c>
      <c r="H731" s="9">
        <v>100159.25</v>
      </c>
      <c r="I731" s="9">
        <v>1.5023887499999999</v>
      </c>
    </row>
    <row r="732" spans="1:9" x14ac:dyDescent="0.25">
      <c r="A732" s="5" t="s">
        <v>886</v>
      </c>
      <c r="B732" s="5" t="s">
        <v>117</v>
      </c>
      <c r="C732" s="6">
        <v>45992.840277777781</v>
      </c>
      <c r="D732" s="7">
        <v>574</v>
      </c>
      <c r="E732" s="8">
        <v>174.23</v>
      </c>
      <c r="F732" s="5" t="s">
        <v>156</v>
      </c>
      <c r="G732" s="8">
        <v>0.15</v>
      </c>
      <c r="H732" s="9">
        <v>100008.02</v>
      </c>
      <c r="I732" s="9">
        <v>1.5001203000000001</v>
      </c>
    </row>
    <row r="733" spans="1:9" x14ac:dyDescent="0.25">
      <c r="A733" s="5" t="s">
        <v>887</v>
      </c>
      <c r="B733" s="5" t="s">
        <v>117</v>
      </c>
      <c r="C733" s="6">
        <v>45992.84375</v>
      </c>
      <c r="D733" s="7">
        <v>1571</v>
      </c>
      <c r="E733" s="8">
        <v>174.18</v>
      </c>
      <c r="F733" s="5" t="s">
        <v>156</v>
      </c>
      <c r="G733" s="8">
        <v>0.15</v>
      </c>
      <c r="H733" s="9">
        <v>273636.78000000003</v>
      </c>
      <c r="I733" s="9">
        <v>4.1045517</v>
      </c>
    </row>
    <row r="734" spans="1:9" x14ac:dyDescent="0.25">
      <c r="A734" s="5" t="s">
        <v>888</v>
      </c>
      <c r="B734" s="5" t="s">
        <v>117</v>
      </c>
      <c r="C734" s="6">
        <v>45992.847222222219</v>
      </c>
      <c r="D734" s="7">
        <v>5492</v>
      </c>
      <c r="E734" s="8">
        <v>174.41</v>
      </c>
      <c r="F734" s="5" t="s">
        <v>156</v>
      </c>
      <c r="G734" s="8">
        <v>0.15</v>
      </c>
      <c r="H734" s="9">
        <v>957859.72</v>
      </c>
      <c r="I734" s="9">
        <v>14.367895799999999</v>
      </c>
    </row>
    <row r="735" spans="1:9" x14ac:dyDescent="0.25">
      <c r="A735" s="5" t="s">
        <v>889</v>
      </c>
      <c r="B735" s="5" t="s">
        <v>117</v>
      </c>
      <c r="C735" s="6">
        <v>45992.854166666657</v>
      </c>
      <c r="D735" s="7">
        <v>705</v>
      </c>
      <c r="E735" s="8">
        <v>174.52</v>
      </c>
      <c r="F735" s="5" t="s">
        <v>159</v>
      </c>
      <c r="G735" s="8">
        <v>0.1</v>
      </c>
      <c r="H735" s="9">
        <v>123036.6</v>
      </c>
      <c r="I735" s="9">
        <v>1.2303660000000001</v>
      </c>
    </row>
    <row r="736" spans="1:9" x14ac:dyDescent="0.25">
      <c r="A736" s="5" t="s">
        <v>890</v>
      </c>
      <c r="B736" s="5" t="s">
        <v>118</v>
      </c>
      <c r="C736" s="6">
        <v>45993.649305555547</v>
      </c>
      <c r="D736" s="7">
        <v>604</v>
      </c>
      <c r="E736" s="8">
        <v>175.6</v>
      </c>
      <c r="F736" s="5" t="s">
        <v>156</v>
      </c>
      <c r="G736" s="8">
        <v>0.15</v>
      </c>
      <c r="H736" s="9">
        <v>106062.39999999999</v>
      </c>
      <c r="I736" s="9">
        <v>1.5909359999999999</v>
      </c>
    </row>
    <row r="737" spans="1:9" x14ac:dyDescent="0.25">
      <c r="A737" s="5" t="s">
        <v>891</v>
      </c>
      <c r="B737" s="5" t="s">
        <v>118</v>
      </c>
      <c r="C737" s="6">
        <v>45993.652777777781</v>
      </c>
      <c r="D737" s="7">
        <v>2117</v>
      </c>
      <c r="E737" s="8">
        <v>175.33</v>
      </c>
      <c r="F737" s="5" t="s">
        <v>154</v>
      </c>
      <c r="G737" s="8">
        <v>0.05</v>
      </c>
      <c r="H737" s="9">
        <v>371173.61</v>
      </c>
      <c r="I737" s="9">
        <v>1.85586805</v>
      </c>
    </row>
    <row r="738" spans="1:9" x14ac:dyDescent="0.25">
      <c r="A738" s="5" t="s">
        <v>892</v>
      </c>
      <c r="B738" s="5" t="s">
        <v>118</v>
      </c>
      <c r="C738" s="6">
        <v>45993.659722222219</v>
      </c>
      <c r="D738" s="7">
        <v>411</v>
      </c>
      <c r="E738" s="8">
        <v>175.41</v>
      </c>
      <c r="F738" s="5" t="s">
        <v>159</v>
      </c>
      <c r="G738" s="8">
        <v>0.1</v>
      </c>
      <c r="H738" s="9">
        <v>72093.509999999995</v>
      </c>
      <c r="I738" s="9">
        <v>0.72093509999999994</v>
      </c>
    </row>
    <row r="739" spans="1:9" x14ac:dyDescent="0.25">
      <c r="A739" s="5" t="s">
        <v>893</v>
      </c>
      <c r="B739" s="5" t="s">
        <v>118</v>
      </c>
      <c r="C739" s="6">
        <v>45993.663194444453</v>
      </c>
      <c r="D739" s="7">
        <v>2983</v>
      </c>
      <c r="E739" s="8">
        <v>175.41</v>
      </c>
      <c r="F739" s="5" t="s">
        <v>156</v>
      </c>
      <c r="G739" s="8">
        <v>0.15</v>
      </c>
      <c r="H739" s="9">
        <v>523248.03</v>
      </c>
      <c r="I739" s="9">
        <v>7.8487204499999992</v>
      </c>
    </row>
    <row r="740" spans="1:9" x14ac:dyDescent="0.25">
      <c r="A740" s="5" t="s">
        <v>894</v>
      </c>
      <c r="B740" s="5" t="s">
        <v>118</v>
      </c>
      <c r="C740" s="6">
        <v>45993.666666666657</v>
      </c>
      <c r="D740" s="7">
        <v>883</v>
      </c>
      <c r="E740" s="8">
        <v>175.1</v>
      </c>
      <c r="F740" s="5" t="s">
        <v>154</v>
      </c>
      <c r="G740" s="8">
        <v>0.05</v>
      </c>
      <c r="H740" s="9">
        <v>154613.29999999999</v>
      </c>
      <c r="I740" s="9">
        <v>0.77306649999999999</v>
      </c>
    </row>
    <row r="741" spans="1:9" x14ac:dyDescent="0.25">
      <c r="A741" s="5" t="s">
        <v>895</v>
      </c>
      <c r="B741" s="5" t="s">
        <v>118</v>
      </c>
      <c r="C741" s="6">
        <v>45993.670138888891</v>
      </c>
      <c r="D741" s="7">
        <v>342</v>
      </c>
      <c r="E741" s="8">
        <v>175.03</v>
      </c>
      <c r="F741" s="5" t="s">
        <v>156</v>
      </c>
      <c r="G741" s="8">
        <v>0.15</v>
      </c>
      <c r="H741" s="9">
        <v>59860.26</v>
      </c>
      <c r="I741" s="9">
        <v>0.89790390000000009</v>
      </c>
    </row>
    <row r="742" spans="1:9" x14ac:dyDescent="0.25">
      <c r="A742" s="5" t="s">
        <v>896</v>
      </c>
      <c r="B742" s="5" t="s">
        <v>118</v>
      </c>
      <c r="C742" s="6">
        <v>45993.673611111109</v>
      </c>
      <c r="D742" s="7">
        <v>1046</v>
      </c>
      <c r="E742" s="8">
        <v>174.95</v>
      </c>
      <c r="F742" s="5" t="s">
        <v>156</v>
      </c>
      <c r="G742" s="8">
        <v>0.15</v>
      </c>
      <c r="H742" s="9">
        <v>182997.7</v>
      </c>
      <c r="I742" s="9">
        <v>2.7449655000000002</v>
      </c>
    </row>
    <row r="743" spans="1:9" x14ac:dyDescent="0.25">
      <c r="A743" s="5" t="s">
        <v>897</v>
      </c>
      <c r="B743" s="5" t="s">
        <v>118</v>
      </c>
      <c r="C743" s="6">
        <v>45993.677083333343</v>
      </c>
      <c r="D743" s="7">
        <v>4595</v>
      </c>
      <c r="E743" s="8">
        <v>175.13</v>
      </c>
      <c r="F743" s="5" t="s">
        <v>159</v>
      </c>
      <c r="G743" s="8">
        <v>0.1</v>
      </c>
      <c r="H743" s="9">
        <v>804722.35</v>
      </c>
      <c r="I743" s="9">
        <v>8.0472234999999994</v>
      </c>
    </row>
    <row r="744" spans="1:9" x14ac:dyDescent="0.25">
      <c r="A744" s="5" t="s">
        <v>898</v>
      </c>
      <c r="B744" s="5" t="s">
        <v>119</v>
      </c>
      <c r="C744" s="6">
        <v>45994.631944444453</v>
      </c>
      <c r="D744" s="7">
        <v>4314</v>
      </c>
      <c r="E744" s="8">
        <v>187.94</v>
      </c>
      <c r="F744" s="5" t="s">
        <v>156</v>
      </c>
      <c r="G744" s="8">
        <v>0.15</v>
      </c>
      <c r="H744" s="9">
        <v>810773.16</v>
      </c>
      <c r="I744" s="9">
        <v>12.1615974</v>
      </c>
    </row>
    <row r="745" spans="1:9" x14ac:dyDescent="0.25">
      <c r="A745" s="5" t="s">
        <v>899</v>
      </c>
      <c r="B745" s="5" t="s">
        <v>119</v>
      </c>
      <c r="C745" s="6">
        <v>45994.635416666657</v>
      </c>
      <c r="D745" s="7">
        <v>286</v>
      </c>
      <c r="E745" s="8">
        <v>188.59</v>
      </c>
      <c r="F745" s="5" t="s">
        <v>156</v>
      </c>
      <c r="G745" s="8">
        <v>0.15</v>
      </c>
      <c r="H745" s="9">
        <v>53936.74</v>
      </c>
      <c r="I745" s="9">
        <v>0.80905109999999991</v>
      </c>
    </row>
    <row r="746" spans="1:9" x14ac:dyDescent="0.25">
      <c r="A746" s="5" t="s">
        <v>900</v>
      </c>
      <c r="B746" s="5" t="s">
        <v>119</v>
      </c>
      <c r="C746" s="6">
        <v>45994.638888888891</v>
      </c>
      <c r="D746" s="7">
        <v>1840</v>
      </c>
      <c r="E746" s="8">
        <v>188.32</v>
      </c>
      <c r="F746" s="5" t="s">
        <v>156</v>
      </c>
      <c r="G746" s="8">
        <v>0.15</v>
      </c>
      <c r="H746" s="9">
        <v>346508.79999999999</v>
      </c>
      <c r="I746" s="9">
        <v>5.1976319999999996</v>
      </c>
    </row>
    <row r="747" spans="1:9" x14ac:dyDescent="0.25">
      <c r="A747" s="5" t="s">
        <v>901</v>
      </c>
      <c r="B747" s="5" t="s">
        <v>119</v>
      </c>
      <c r="C747" s="6">
        <v>45994.670138888891</v>
      </c>
      <c r="D747" s="7">
        <v>3575</v>
      </c>
      <c r="E747" s="8">
        <v>188.42</v>
      </c>
      <c r="F747" s="5" t="s">
        <v>156</v>
      </c>
      <c r="G747" s="8">
        <v>0.15</v>
      </c>
      <c r="H747" s="9">
        <v>673601.5</v>
      </c>
      <c r="I747" s="9">
        <v>10.104022499999999</v>
      </c>
    </row>
    <row r="748" spans="1:9" x14ac:dyDescent="0.25">
      <c r="A748" s="5" t="s">
        <v>902</v>
      </c>
      <c r="B748" s="5" t="s">
        <v>119</v>
      </c>
      <c r="C748" s="6">
        <v>45994.680555555547</v>
      </c>
      <c r="D748" s="7">
        <v>2427</v>
      </c>
      <c r="E748" s="8">
        <v>188.69</v>
      </c>
      <c r="F748" s="5" t="s">
        <v>156</v>
      </c>
      <c r="G748" s="8">
        <v>0.15</v>
      </c>
      <c r="H748" s="9">
        <v>457950.63</v>
      </c>
      <c r="I748" s="9">
        <v>6.8692594499999986</v>
      </c>
    </row>
    <row r="749" spans="1:9" x14ac:dyDescent="0.25">
      <c r="A749" s="5" t="s">
        <v>903</v>
      </c>
      <c r="B749" s="5" t="s">
        <v>119</v>
      </c>
      <c r="C749" s="6">
        <v>45994.697916666657</v>
      </c>
      <c r="D749" s="7">
        <v>4593</v>
      </c>
      <c r="E749" s="8">
        <v>188.09</v>
      </c>
      <c r="F749" s="5" t="s">
        <v>159</v>
      </c>
      <c r="G749" s="8">
        <v>0.1</v>
      </c>
      <c r="H749" s="9">
        <v>863897.37</v>
      </c>
      <c r="I749" s="9">
        <v>8.6389737000000011</v>
      </c>
    </row>
    <row r="750" spans="1:9" x14ac:dyDescent="0.25">
      <c r="A750" s="5" t="s">
        <v>904</v>
      </c>
      <c r="B750" s="5" t="s">
        <v>119</v>
      </c>
      <c r="C750" s="6">
        <v>45994.704861111109</v>
      </c>
      <c r="D750" s="7">
        <v>1088</v>
      </c>
      <c r="E750" s="8">
        <v>188.01</v>
      </c>
      <c r="F750" s="5" t="s">
        <v>154</v>
      </c>
      <c r="G750" s="8">
        <v>0.05</v>
      </c>
      <c r="H750" s="9">
        <v>204554.88</v>
      </c>
      <c r="I750" s="9">
        <v>1.0227744000000001</v>
      </c>
    </row>
    <row r="751" spans="1:9" x14ac:dyDescent="0.25">
      <c r="A751" s="5" t="s">
        <v>905</v>
      </c>
      <c r="B751" s="5" t="s">
        <v>119</v>
      </c>
      <c r="C751" s="6">
        <v>45994.715277777781</v>
      </c>
      <c r="D751" s="7">
        <v>584</v>
      </c>
      <c r="E751" s="8">
        <v>187.5</v>
      </c>
      <c r="F751" s="5" t="s">
        <v>156</v>
      </c>
      <c r="G751" s="8">
        <v>0.15</v>
      </c>
      <c r="H751" s="9">
        <v>109500</v>
      </c>
      <c r="I751" s="9">
        <v>1.6425000000000001</v>
      </c>
    </row>
    <row r="752" spans="1:9" x14ac:dyDescent="0.25">
      <c r="A752" s="5" t="s">
        <v>906</v>
      </c>
      <c r="B752" s="5" t="s">
        <v>119</v>
      </c>
      <c r="C752" s="6">
        <v>45994.71875</v>
      </c>
      <c r="D752" s="7">
        <v>2843</v>
      </c>
      <c r="E752" s="8">
        <v>187.61</v>
      </c>
      <c r="F752" s="5" t="s">
        <v>156</v>
      </c>
      <c r="G752" s="8">
        <v>0.15</v>
      </c>
      <c r="H752" s="9">
        <v>533375.23</v>
      </c>
      <c r="I752" s="9">
        <v>8.0006284499999989</v>
      </c>
    </row>
    <row r="753" spans="1:9" x14ac:dyDescent="0.25">
      <c r="A753" s="5" t="s">
        <v>907</v>
      </c>
      <c r="B753" s="5" t="s">
        <v>120</v>
      </c>
      <c r="C753" s="6">
        <v>45993.715277777781</v>
      </c>
      <c r="D753" s="7">
        <v>256</v>
      </c>
      <c r="E753" s="8">
        <v>188.54</v>
      </c>
      <c r="F753" s="5" t="s">
        <v>154</v>
      </c>
      <c r="G753" s="8">
        <v>0.05</v>
      </c>
      <c r="H753" s="9">
        <v>48266.239999999998</v>
      </c>
      <c r="I753" s="9">
        <v>0.2413312</v>
      </c>
    </row>
    <row r="754" spans="1:9" x14ac:dyDescent="0.25">
      <c r="A754" s="5" t="s">
        <v>908</v>
      </c>
      <c r="B754" s="5" t="s">
        <v>120</v>
      </c>
      <c r="C754" s="6">
        <v>45993.71875</v>
      </c>
      <c r="D754" s="7">
        <v>628</v>
      </c>
      <c r="E754" s="8">
        <v>188.4</v>
      </c>
      <c r="F754" s="5" t="s">
        <v>159</v>
      </c>
      <c r="G754" s="8">
        <v>0.1</v>
      </c>
      <c r="H754" s="9">
        <v>118315.2</v>
      </c>
      <c r="I754" s="9">
        <v>1.183152</v>
      </c>
    </row>
    <row r="755" spans="1:9" x14ac:dyDescent="0.25">
      <c r="A755" s="5" t="s">
        <v>909</v>
      </c>
      <c r="B755" s="5" t="s">
        <v>120</v>
      </c>
      <c r="C755" s="6">
        <v>45993.725694444453</v>
      </c>
      <c r="D755" s="7">
        <v>62</v>
      </c>
      <c r="E755" s="8">
        <v>188.63</v>
      </c>
      <c r="F755" s="5" t="s">
        <v>159</v>
      </c>
      <c r="G755" s="8">
        <v>0.1</v>
      </c>
      <c r="H755" s="9">
        <v>11695.06</v>
      </c>
      <c r="I755" s="9">
        <v>0.1169506</v>
      </c>
    </row>
    <row r="756" spans="1:9" x14ac:dyDescent="0.25">
      <c r="A756" s="5" t="s">
        <v>910</v>
      </c>
      <c r="B756" s="5" t="s">
        <v>120</v>
      </c>
      <c r="C756" s="6">
        <v>45993.729166666657</v>
      </c>
      <c r="D756" s="7">
        <v>26</v>
      </c>
      <c r="E756" s="8">
        <v>188.46</v>
      </c>
      <c r="F756" s="5" t="s">
        <v>154</v>
      </c>
      <c r="G756" s="8">
        <v>0.05</v>
      </c>
      <c r="H756" s="9">
        <v>4899.96</v>
      </c>
      <c r="I756" s="9">
        <v>2.4499799999999999E-2</v>
      </c>
    </row>
    <row r="757" spans="1:9" x14ac:dyDescent="0.25">
      <c r="A757" s="5" t="s">
        <v>911</v>
      </c>
      <c r="B757" s="5" t="s">
        <v>120</v>
      </c>
      <c r="C757" s="6">
        <v>45993.739583333343</v>
      </c>
      <c r="D757" s="7">
        <v>47</v>
      </c>
      <c r="E757" s="8">
        <v>188.51</v>
      </c>
      <c r="F757" s="5" t="s">
        <v>154</v>
      </c>
      <c r="G757" s="8">
        <v>0.05</v>
      </c>
      <c r="H757" s="9">
        <v>8859.9699999999993</v>
      </c>
      <c r="I757" s="9">
        <v>4.4299849999999988E-2</v>
      </c>
    </row>
    <row r="758" spans="1:9" x14ac:dyDescent="0.25">
      <c r="A758" s="5" t="s">
        <v>912</v>
      </c>
      <c r="B758" s="5" t="s">
        <v>120</v>
      </c>
      <c r="C758" s="6">
        <v>45993.746527777781</v>
      </c>
      <c r="D758" s="7">
        <v>1304</v>
      </c>
      <c r="E758" s="8">
        <v>188.71</v>
      </c>
      <c r="F758" s="5" t="s">
        <v>156</v>
      </c>
      <c r="G758" s="8">
        <v>0.15</v>
      </c>
      <c r="H758" s="9">
        <v>246077.84</v>
      </c>
      <c r="I758" s="9">
        <v>3.6911676</v>
      </c>
    </row>
    <row r="759" spans="1:9" x14ac:dyDescent="0.25">
      <c r="A759" s="5" t="s">
        <v>913</v>
      </c>
      <c r="B759" s="5" t="s">
        <v>120</v>
      </c>
      <c r="C759" s="6">
        <v>45993.75</v>
      </c>
      <c r="D759" s="7">
        <v>1985</v>
      </c>
      <c r="E759" s="8">
        <v>188.91</v>
      </c>
      <c r="F759" s="5" t="s">
        <v>156</v>
      </c>
      <c r="G759" s="8">
        <v>0.15</v>
      </c>
      <c r="H759" s="9">
        <v>374986.35</v>
      </c>
      <c r="I759" s="9">
        <v>5.6247952499999991</v>
      </c>
    </row>
    <row r="760" spans="1:9" x14ac:dyDescent="0.25">
      <c r="A760" s="5" t="s">
        <v>914</v>
      </c>
      <c r="B760" s="5" t="s">
        <v>120</v>
      </c>
      <c r="C760" s="6">
        <v>45993.767361111109</v>
      </c>
      <c r="D760" s="7">
        <v>87</v>
      </c>
      <c r="E760" s="8">
        <v>189.3</v>
      </c>
      <c r="F760" s="5" t="s">
        <v>156</v>
      </c>
      <c r="G760" s="8">
        <v>0.15</v>
      </c>
      <c r="H760" s="9">
        <v>16469.099999999999</v>
      </c>
      <c r="I760" s="9">
        <v>0.24703649999999999</v>
      </c>
    </row>
    <row r="761" spans="1:9" x14ac:dyDescent="0.25">
      <c r="A761" s="5" t="s">
        <v>915</v>
      </c>
      <c r="B761" s="5" t="s">
        <v>120</v>
      </c>
      <c r="C761" s="6">
        <v>45993.770833333343</v>
      </c>
      <c r="D761" s="7">
        <v>152</v>
      </c>
      <c r="E761" s="8">
        <v>189.21</v>
      </c>
      <c r="F761" s="5" t="s">
        <v>156</v>
      </c>
      <c r="G761" s="8">
        <v>0.15</v>
      </c>
      <c r="H761" s="9">
        <v>28759.919999999998</v>
      </c>
      <c r="I761" s="9">
        <v>0.43139880000000003</v>
      </c>
    </row>
    <row r="762" spans="1:9" x14ac:dyDescent="0.25">
      <c r="A762" s="5" t="s">
        <v>916</v>
      </c>
      <c r="B762" s="5" t="s">
        <v>120</v>
      </c>
      <c r="C762" s="6">
        <v>45993.774305555547</v>
      </c>
      <c r="D762" s="7">
        <v>600</v>
      </c>
      <c r="E762" s="8">
        <v>188.9</v>
      </c>
      <c r="F762" s="5" t="s">
        <v>156</v>
      </c>
      <c r="G762" s="8">
        <v>0.15</v>
      </c>
      <c r="H762" s="9">
        <v>113340</v>
      </c>
      <c r="I762" s="9">
        <v>1.7000999999999999</v>
      </c>
    </row>
    <row r="763" spans="1:9" x14ac:dyDescent="0.25">
      <c r="A763" s="5" t="s">
        <v>917</v>
      </c>
      <c r="B763" s="5" t="s">
        <v>120</v>
      </c>
      <c r="C763" s="6">
        <v>45993.78125</v>
      </c>
      <c r="D763" s="7">
        <v>181</v>
      </c>
      <c r="E763" s="8">
        <v>188.72</v>
      </c>
      <c r="F763" s="5" t="s">
        <v>156</v>
      </c>
      <c r="G763" s="8">
        <v>0.15</v>
      </c>
      <c r="H763" s="9">
        <v>34158.32</v>
      </c>
      <c r="I763" s="9">
        <v>0.51237479999999991</v>
      </c>
    </row>
    <row r="764" spans="1:9" x14ac:dyDescent="0.25">
      <c r="A764" s="5" t="s">
        <v>918</v>
      </c>
      <c r="B764" s="5" t="s">
        <v>120</v>
      </c>
      <c r="C764" s="6">
        <v>45993.784722222219</v>
      </c>
      <c r="D764" s="7">
        <v>354</v>
      </c>
      <c r="E764" s="8">
        <v>188.35</v>
      </c>
      <c r="F764" s="5" t="s">
        <v>156</v>
      </c>
      <c r="G764" s="8">
        <v>0.15</v>
      </c>
      <c r="H764" s="9">
        <v>66675.899999999994</v>
      </c>
      <c r="I764" s="9">
        <v>1.0001385</v>
      </c>
    </row>
    <row r="765" spans="1:9" x14ac:dyDescent="0.25">
      <c r="A765" s="5" t="s">
        <v>919</v>
      </c>
      <c r="B765" s="5" t="s">
        <v>121</v>
      </c>
      <c r="C765" s="6">
        <v>45995.690972222219</v>
      </c>
      <c r="D765" s="7">
        <v>974</v>
      </c>
      <c r="E765" s="8">
        <v>172.31</v>
      </c>
      <c r="F765" s="5" t="s">
        <v>156</v>
      </c>
      <c r="G765" s="8">
        <v>0.15</v>
      </c>
      <c r="H765" s="9">
        <v>167829.94</v>
      </c>
      <c r="I765" s="9">
        <v>2.5174490999999999</v>
      </c>
    </row>
    <row r="766" spans="1:9" x14ac:dyDescent="0.25">
      <c r="A766" s="5" t="s">
        <v>920</v>
      </c>
      <c r="B766" s="5" t="s">
        <v>121</v>
      </c>
      <c r="C766" s="6">
        <v>45995.697916666657</v>
      </c>
      <c r="D766" s="7">
        <v>558</v>
      </c>
      <c r="E766" s="8">
        <v>172.83</v>
      </c>
      <c r="F766" s="5" t="s">
        <v>156</v>
      </c>
      <c r="G766" s="8">
        <v>0.15</v>
      </c>
      <c r="H766" s="9">
        <v>96439.140000000014</v>
      </c>
      <c r="I766" s="9">
        <v>1.4465870999999999</v>
      </c>
    </row>
    <row r="767" spans="1:9" x14ac:dyDescent="0.25">
      <c r="A767" s="5" t="s">
        <v>921</v>
      </c>
      <c r="B767" s="5" t="s">
        <v>121</v>
      </c>
      <c r="C767" s="6">
        <v>45995.701388888891</v>
      </c>
      <c r="D767" s="7">
        <v>651</v>
      </c>
      <c r="E767" s="8">
        <v>172.8</v>
      </c>
      <c r="F767" s="5" t="s">
        <v>156</v>
      </c>
      <c r="G767" s="8">
        <v>0.15</v>
      </c>
      <c r="H767" s="9">
        <v>112492.8</v>
      </c>
      <c r="I767" s="9">
        <v>1.687392</v>
      </c>
    </row>
    <row r="768" spans="1:9" x14ac:dyDescent="0.25">
      <c r="A768" s="5" t="s">
        <v>922</v>
      </c>
      <c r="B768" s="5" t="s">
        <v>121</v>
      </c>
      <c r="C768" s="6">
        <v>45995.704861111109</v>
      </c>
      <c r="D768" s="7">
        <v>1299</v>
      </c>
      <c r="E768" s="8">
        <v>173.04</v>
      </c>
      <c r="F768" s="5" t="s">
        <v>156</v>
      </c>
      <c r="G768" s="8">
        <v>0.15</v>
      </c>
      <c r="H768" s="9">
        <v>224778.96</v>
      </c>
      <c r="I768" s="9">
        <v>3.3716843999999999</v>
      </c>
    </row>
    <row r="769" spans="1:9" x14ac:dyDescent="0.25">
      <c r="A769" s="5" t="s">
        <v>923</v>
      </c>
      <c r="B769" s="5" t="s">
        <v>121</v>
      </c>
      <c r="C769" s="6">
        <v>45995.708333333343</v>
      </c>
      <c r="D769" s="7">
        <v>49</v>
      </c>
      <c r="E769" s="8">
        <v>172.82</v>
      </c>
      <c r="F769" s="5" t="s">
        <v>156</v>
      </c>
      <c r="G769" s="8">
        <v>0.15</v>
      </c>
      <c r="H769" s="9">
        <v>8468.18</v>
      </c>
      <c r="I769" s="9">
        <v>0.12702269999999999</v>
      </c>
    </row>
    <row r="770" spans="1:9" x14ac:dyDescent="0.25">
      <c r="A770" s="5" t="s">
        <v>924</v>
      </c>
      <c r="B770" s="5" t="s">
        <v>121</v>
      </c>
      <c r="C770" s="6">
        <v>45995.711805555547</v>
      </c>
      <c r="D770" s="7">
        <v>37</v>
      </c>
      <c r="E770" s="8">
        <v>172.96</v>
      </c>
      <c r="F770" s="5" t="s">
        <v>159</v>
      </c>
      <c r="G770" s="8">
        <v>0.1</v>
      </c>
      <c r="H770" s="9">
        <v>6399.52</v>
      </c>
      <c r="I770" s="9">
        <v>6.3995200000000016E-2</v>
      </c>
    </row>
    <row r="771" spans="1:9" x14ac:dyDescent="0.25">
      <c r="A771" s="5" t="s">
        <v>925</v>
      </c>
      <c r="B771" s="5" t="s">
        <v>121</v>
      </c>
      <c r="C771" s="6">
        <v>45995.715277777781</v>
      </c>
      <c r="D771" s="7">
        <v>678</v>
      </c>
      <c r="E771" s="8">
        <v>173.03</v>
      </c>
      <c r="F771" s="5" t="s">
        <v>159</v>
      </c>
      <c r="G771" s="8">
        <v>0.1</v>
      </c>
      <c r="H771" s="9">
        <v>117314.34</v>
      </c>
      <c r="I771" s="9">
        <v>1.1731434000000001</v>
      </c>
    </row>
    <row r="772" spans="1:9" x14ac:dyDescent="0.25">
      <c r="A772" s="5" t="s">
        <v>926</v>
      </c>
      <c r="B772" s="5" t="s">
        <v>121</v>
      </c>
      <c r="C772" s="6">
        <v>45995.71875</v>
      </c>
      <c r="D772" s="7">
        <v>1559</v>
      </c>
      <c r="E772" s="8">
        <v>172.88</v>
      </c>
      <c r="F772" s="5" t="s">
        <v>154</v>
      </c>
      <c r="G772" s="8">
        <v>0.05</v>
      </c>
      <c r="H772" s="9">
        <v>269519.92</v>
      </c>
      <c r="I772" s="9">
        <v>1.3475995999999999</v>
      </c>
    </row>
    <row r="773" spans="1:9" x14ac:dyDescent="0.25">
      <c r="A773" s="5" t="s">
        <v>927</v>
      </c>
      <c r="B773" s="5" t="s">
        <v>121</v>
      </c>
      <c r="C773" s="6">
        <v>45995.722222222219</v>
      </c>
      <c r="D773" s="7">
        <v>612</v>
      </c>
      <c r="E773" s="8">
        <v>172.91</v>
      </c>
      <c r="F773" s="5" t="s">
        <v>154</v>
      </c>
      <c r="G773" s="8">
        <v>0.05</v>
      </c>
      <c r="H773" s="9">
        <v>105820.92</v>
      </c>
      <c r="I773" s="9">
        <v>0.52910460000000004</v>
      </c>
    </row>
    <row r="774" spans="1:9" x14ac:dyDescent="0.25">
      <c r="A774" s="5" t="s">
        <v>928</v>
      </c>
      <c r="B774" s="5" t="s">
        <v>121</v>
      </c>
      <c r="C774" s="6">
        <v>45995.725694444453</v>
      </c>
      <c r="D774" s="7">
        <v>1137</v>
      </c>
      <c r="E774" s="8">
        <v>172.71</v>
      </c>
      <c r="F774" s="5" t="s">
        <v>156</v>
      </c>
      <c r="G774" s="8">
        <v>0.15</v>
      </c>
      <c r="H774" s="9">
        <v>196371.27</v>
      </c>
      <c r="I774" s="9">
        <v>2.94556905</v>
      </c>
    </row>
    <row r="775" spans="1:9" x14ac:dyDescent="0.25">
      <c r="A775" s="5" t="s">
        <v>929</v>
      </c>
      <c r="B775" s="5" t="s">
        <v>121</v>
      </c>
      <c r="C775" s="6">
        <v>45995.729166666657</v>
      </c>
      <c r="D775" s="7">
        <v>1520</v>
      </c>
      <c r="E775" s="8">
        <v>172.51</v>
      </c>
      <c r="F775" s="5" t="s">
        <v>156</v>
      </c>
      <c r="G775" s="8">
        <v>0.15</v>
      </c>
      <c r="H775" s="9">
        <v>262215.2</v>
      </c>
      <c r="I775" s="9">
        <v>3.9332280000000002</v>
      </c>
    </row>
    <row r="776" spans="1:9" x14ac:dyDescent="0.25">
      <c r="A776" s="5" t="s">
        <v>930</v>
      </c>
      <c r="B776" s="5" t="s">
        <v>121</v>
      </c>
      <c r="C776" s="6">
        <v>45995.732638888891</v>
      </c>
      <c r="D776" s="7">
        <v>7</v>
      </c>
      <c r="E776" s="8">
        <v>172.78</v>
      </c>
      <c r="F776" s="5" t="s">
        <v>156</v>
      </c>
      <c r="G776" s="8">
        <v>0.15</v>
      </c>
      <c r="H776" s="9">
        <v>1209.46</v>
      </c>
      <c r="I776" s="9">
        <v>1.8141899999999999E-2</v>
      </c>
    </row>
    <row r="777" spans="1:9" x14ac:dyDescent="0.25">
      <c r="A777" s="5" t="s">
        <v>931</v>
      </c>
      <c r="B777" s="5" t="s">
        <v>121</v>
      </c>
      <c r="C777" s="6">
        <v>45995.739583333343</v>
      </c>
      <c r="D777" s="7">
        <v>209</v>
      </c>
      <c r="E777" s="8">
        <v>172.6</v>
      </c>
      <c r="F777" s="5" t="s">
        <v>159</v>
      </c>
      <c r="G777" s="8">
        <v>0.1</v>
      </c>
      <c r="H777" s="9">
        <v>36073.4</v>
      </c>
      <c r="I777" s="9">
        <v>0.360734</v>
      </c>
    </row>
    <row r="778" spans="1:9" x14ac:dyDescent="0.25">
      <c r="A778" s="5" t="s">
        <v>932</v>
      </c>
      <c r="B778" s="5" t="s">
        <v>122</v>
      </c>
      <c r="C778" s="6">
        <v>45992.788194444453</v>
      </c>
      <c r="D778" s="7">
        <v>55</v>
      </c>
      <c r="E778" s="8">
        <v>185.78</v>
      </c>
      <c r="F778" s="5" t="s">
        <v>159</v>
      </c>
      <c r="G778" s="8">
        <v>0.1</v>
      </c>
      <c r="H778" s="9">
        <v>10217.9</v>
      </c>
      <c r="I778" s="9">
        <v>0.10217900000000001</v>
      </c>
    </row>
    <row r="779" spans="1:9" x14ac:dyDescent="0.25">
      <c r="A779" s="5" t="s">
        <v>933</v>
      </c>
      <c r="B779" s="5" t="s">
        <v>122</v>
      </c>
      <c r="C779" s="6">
        <v>45992.791666666657</v>
      </c>
      <c r="D779" s="7">
        <v>731</v>
      </c>
      <c r="E779" s="8">
        <v>185.8</v>
      </c>
      <c r="F779" s="5" t="s">
        <v>154</v>
      </c>
      <c r="G779" s="8">
        <v>0.05</v>
      </c>
      <c r="H779" s="9">
        <v>135819.79999999999</v>
      </c>
      <c r="I779" s="9">
        <v>0.67909900000000012</v>
      </c>
    </row>
    <row r="780" spans="1:9" x14ac:dyDescent="0.25">
      <c r="A780" s="5" t="s">
        <v>934</v>
      </c>
      <c r="B780" s="5" t="s">
        <v>122</v>
      </c>
      <c r="C780" s="6">
        <v>45992.798611111109</v>
      </c>
      <c r="D780" s="7">
        <v>2559</v>
      </c>
      <c r="E780" s="8">
        <v>185.74</v>
      </c>
      <c r="F780" s="5" t="s">
        <v>159</v>
      </c>
      <c r="G780" s="8">
        <v>0.1</v>
      </c>
      <c r="H780" s="9">
        <v>475308.66</v>
      </c>
      <c r="I780" s="9">
        <v>4.7530865999999996</v>
      </c>
    </row>
    <row r="781" spans="1:9" x14ac:dyDescent="0.25">
      <c r="A781" s="5" t="s">
        <v>935</v>
      </c>
      <c r="B781" s="5" t="s">
        <v>122</v>
      </c>
      <c r="C781" s="6">
        <v>45992.805555555547</v>
      </c>
      <c r="D781" s="7">
        <v>2732</v>
      </c>
      <c r="E781" s="8">
        <v>185.58</v>
      </c>
      <c r="F781" s="5" t="s">
        <v>154</v>
      </c>
      <c r="G781" s="8">
        <v>0.05</v>
      </c>
      <c r="H781" s="9">
        <v>507004.56000000011</v>
      </c>
      <c r="I781" s="9">
        <v>2.5350228000000001</v>
      </c>
    </row>
    <row r="782" spans="1:9" x14ac:dyDescent="0.25">
      <c r="A782" s="5" t="s">
        <v>936</v>
      </c>
      <c r="B782" s="5" t="s">
        <v>122</v>
      </c>
      <c r="C782" s="6">
        <v>45992.833333333343</v>
      </c>
      <c r="D782" s="7">
        <v>722</v>
      </c>
      <c r="E782" s="8">
        <v>185.98</v>
      </c>
      <c r="F782" s="5" t="s">
        <v>156</v>
      </c>
      <c r="G782" s="8">
        <v>0.15</v>
      </c>
      <c r="H782" s="9">
        <v>134277.56</v>
      </c>
      <c r="I782" s="9">
        <v>2.0141634000000002</v>
      </c>
    </row>
    <row r="783" spans="1:9" x14ac:dyDescent="0.25">
      <c r="A783" s="5" t="s">
        <v>937</v>
      </c>
      <c r="B783" s="5" t="s">
        <v>123</v>
      </c>
      <c r="C783" s="6">
        <v>45993.767361111109</v>
      </c>
      <c r="D783" s="7">
        <v>1286</v>
      </c>
      <c r="E783" s="8">
        <v>194.87</v>
      </c>
      <c r="F783" s="5" t="s">
        <v>156</v>
      </c>
      <c r="G783" s="8">
        <v>0.15</v>
      </c>
      <c r="H783" s="9">
        <v>250602.82</v>
      </c>
      <c r="I783" s="9">
        <v>3.7590422999999999</v>
      </c>
    </row>
    <row r="784" spans="1:9" x14ac:dyDescent="0.25">
      <c r="A784" s="5" t="s">
        <v>938</v>
      </c>
      <c r="B784" s="5" t="s">
        <v>123</v>
      </c>
      <c r="C784" s="6">
        <v>45993.774305555547</v>
      </c>
      <c r="D784" s="7">
        <v>6856</v>
      </c>
      <c r="E784" s="8">
        <v>194.83</v>
      </c>
      <c r="F784" s="5" t="s">
        <v>156</v>
      </c>
      <c r="G784" s="8">
        <v>0.15</v>
      </c>
      <c r="H784" s="9">
        <v>1335754.48</v>
      </c>
      <c r="I784" s="9">
        <v>20.036317199999999</v>
      </c>
    </row>
    <row r="785" spans="1:9" x14ac:dyDescent="0.25">
      <c r="A785" s="5" t="s">
        <v>939</v>
      </c>
      <c r="B785" s="5" t="s">
        <v>123</v>
      </c>
      <c r="C785" s="6">
        <v>45993.777777777781</v>
      </c>
      <c r="D785" s="7">
        <v>4062</v>
      </c>
      <c r="E785" s="8">
        <v>194.74</v>
      </c>
      <c r="F785" s="5" t="s">
        <v>156</v>
      </c>
      <c r="G785" s="8">
        <v>0.15</v>
      </c>
      <c r="H785" s="9">
        <v>791033.88</v>
      </c>
      <c r="I785" s="9">
        <v>11.865508200000001</v>
      </c>
    </row>
    <row r="786" spans="1:9" x14ac:dyDescent="0.25">
      <c r="A786" s="5" t="s">
        <v>940</v>
      </c>
      <c r="B786" s="5" t="s">
        <v>124</v>
      </c>
      <c r="C786" s="6">
        <v>45995.6875</v>
      </c>
      <c r="D786" s="7">
        <v>39</v>
      </c>
      <c r="E786" s="8">
        <v>197.37</v>
      </c>
      <c r="F786" s="5" t="s">
        <v>156</v>
      </c>
      <c r="G786" s="8">
        <v>0.15</v>
      </c>
      <c r="H786" s="9">
        <v>7697.43</v>
      </c>
      <c r="I786" s="9">
        <v>0.11546144999999999</v>
      </c>
    </row>
    <row r="787" spans="1:9" x14ac:dyDescent="0.25">
      <c r="A787" s="5" t="s">
        <v>941</v>
      </c>
      <c r="B787" s="5" t="s">
        <v>124</v>
      </c>
      <c r="C787" s="6">
        <v>45995.690972222219</v>
      </c>
      <c r="D787" s="7">
        <v>565</v>
      </c>
      <c r="E787" s="8">
        <v>197.26</v>
      </c>
      <c r="F787" s="5" t="s">
        <v>156</v>
      </c>
      <c r="G787" s="8">
        <v>0.15</v>
      </c>
      <c r="H787" s="9">
        <v>111451.9</v>
      </c>
      <c r="I787" s="9">
        <v>1.6717785000000001</v>
      </c>
    </row>
    <row r="788" spans="1:9" x14ac:dyDescent="0.25">
      <c r="A788" s="5" t="s">
        <v>942</v>
      </c>
      <c r="B788" s="5" t="s">
        <v>124</v>
      </c>
      <c r="C788" s="6">
        <v>45995.694444444453</v>
      </c>
      <c r="D788" s="7">
        <v>188</v>
      </c>
      <c r="E788" s="8">
        <v>197.17</v>
      </c>
      <c r="F788" s="5" t="s">
        <v>156</v>
      </c>
      <c r="G788" s="8">
        <v>0.15</v>
      </c>
      <c r="H788" s="9">
        <v>37067.96</v>
      </c>
      <c r="I788" s="9">
        <v>0.55601939999999994</v>
      </c>
    </row>
    <row r="789" spans="1:9" x14ac:dyDescent="0.25">
      <c r="A789" s="5" t="s">
        <v>943</v>
      </c>
      <c r="B789" s="5" t="s">
        <v>124</v>
      </c>
      <c r="C789" s="6">
        <v>45995.697916666657</v>
      </c>
      <c r="D789" s="7">
        <v>309</v>
      </c>
      <c r="E789" s="8">
        <v>197.07</v>
      </c>
      <c r="F789" s="5" t="s">
        <v>156</v>
      </c>
      <c r="G789" s="8">
        <v>0.15</v>
      </c>
      <c r="H789" s="9">
        <v>60894.63</v>
      </c>
      <c r="I789" s="9">
        <v>0.91341944999999991</v>
      </c>
    </row>
    <row r="790" spans="1:9" x14ac:dyDescent="0.25">
      <c r="A790" s="5" t="s">
        <v>944</v>
      </c>
      <c r="B790" s="5" t="s">
        <v>124</v>
      </c>
      <c r="C790" s="6">
        <v>45995.708333333343</v>
      </c>
      <c r="D790" s="7">
        <v>940</v>
      </c>
      <c r="E790" s="8">
        <v>197.23</v>
      </c>
      <c r="F790" s="5" t="s">
        <v>156</v>
      </c>
      <c r="G790" s="8">
        <v>0.15</v>
      </c>
      <c r="H790" s="9">
        <v>185396.2</v>
      </c>
      <c r="I790" s="9">
        <v>2.7809430000000002</v>
      </c>
    </row>
    <row r="791" spans="1:9" x14ac:dyDescent="0.25">
      <c r="A791" s="5" t="s">
        <v>945</v>
      </c>
      <c r="B791" s="5" t="s">
        <v>124</v>
      </c>
      <c r="C791" s="6">
        <v>45995.711805555547</v>
      </c>
      <c r="D791" s="7">
        <v>200</v>
      </c>
      <c r="E791" s="8">
        <v>197.59</v>
      </c>
      <c r="F791" s="5" t="s">
        <v>159</v>
      </c>
      <c r="G791" s="8">
        <v>0.1</v>
      </c>
      <c r="H791" s="9">
        <v>39518</v>
      </c>
      <c r="I791" s="9">
        <v>0.39517999999999998</v>
      </c>
    </row>
    <row r="792" spans="1:9" x14ac:dyDescent="0.25">
      <c r="A792" s="5" t="s">
        <v>946</v>
      </c>
      <c r="B792" s="5" t="s">
        <v>124</v>
      </c>
      <c r="C792" s="6">
        <v>45995.71875</v>
      </c>
      <c r="D792" s="7">
        <v>534</v>
      </c>
      <c r="E792" s="8">
        <v>197.67</v>
      </c>
      <c r="F792" s="5" t="s">
        <v>156</v>
      </c>
      <c r="G792" s="8">
        <v>0.15</v>
      </c>
      <c r="H792" s="9">
        <v>105555.78</v>
      </c>
      <c r="I792" s="9">
        <v>1.5833367</v>
      </c>
    </row>
    <row r="793" spans="1:9" x14ac:dyDescent="0.25">
      <c r="A793" s="5" t="s">
        <v>947</v>
      </c>
      <c r="B793" s="5" t="s">
        <v>124</v>
      </c>
      <c r="C793" s="6">
        <v>45995.725694444453</v>
      </c>
      <c r="D793" s="7">
        <v>909</v>
      </c>
      <c r="E793" s="8">
        <v>197.75</v>
      </c>
      <c r="F793" s="5" t="s">
        <v>156</v>
      </c>
      <c r="G793" s="8">
        <v>0.15</v>
      </c>
      <c r="H793" s="9">
        <v>179754.75</v>
      </c>
      <c r="I793" s="9">
        <v>2.69632125</v>
      </c>
    </row>
    <row r="794" spans="1:9" x14ac:dyDescent="0.25">
      <c r="A794" s="5" t="s">
        <v>948</v>
      </c>
      <c r="B794" s="5" t="s">
        <v>124</v>
      </c>
      <c r="C794" s="6">
        <v>45995.729166666657</v>
      </c>
      <c r="D794" s="7">
        <v>182</v>
      </c>
      <c r="E794" s="8">
        <v>198.15</v>
      </c>
      <c r="F794" s="5" t="s">
        <v>154</v>
      </c>
      <c r="G794" s="8">
        <v>0.05</v>
      </c>
      <c r="H794" s="9">
        <v>36063.300000000003</v>
      </c>
      <c r="I794" s="9">
        <v>0.18031649999999999</v>
      </c>
    </row>
    <row r="795" spans="1:9" x14ac:dyDescent="0.25">
      <c r="A795" s="5" t="s">
        <v>949</v>
      </c>
      <c r="B795" s="5" t="s">
        <v>124</v>
      </c>
      <c r="C795" s="6">
        <v>45995.736111111109</v>
      </c>
      <c r="D795" s="7">
        <v>39</v>
      </c>
      <c r="E795" s="8">
        <v>197.81</v>
      </c>
      <c r="F795" s="5" t="s">
        <v>159</v>
      </c>
      <c r="G795" s="8">
        <v>0.1</v>
      </c>
      <c r="H795" s="9">
        <v>7714.59</v>
      </c>
      <c r="I795" s="9">
        <v>7.7145900000000003E-2</v>
      </c>
    </row>
    <row r="796" spans="1:9" x14ac:dyDescent="0.25">
      <c r="A796" s="5" t="s">
        <v>950</v>
      </c>
      <c r="B796" s="5" t="s">
        <v>124</v>
      </c>
      <c r="C796" s="6">
        <v>45995.75</v>
      </c>
      <c r="D796" s="7">
        <v>1581</v>
      </c>
      <c r="E796" s="8">
        <v>197.19</v>
      </c>
      <c r="F796" s="5" t="s">
        <v>159</v>
      </c>
      <c r="G796" s="8">
        <v>0.1</v>
      </c>
      <c r="H796" s="9">
        <v>311757.39</v>
      </c>
      <c r="I796" s="9">
        <v>3.1175739</v>
      </c>
    </row>
    <row r="797" spans="1:9" x14ac:dyDescent="0.25">
      <c r="A797" s="5" t="s">
        <v>951</v>
      </c>
      <c r="B797" s="5" t="s">
        <v>124</v>
      </c>
      <c r="C797" s="6">
        <v>45995.753472222219</v>
      </c>
      <c r="D797" s="7">
        <v>966</v>
      </c>
      <c r="E797" s="8">
        <v>197.22</v>
      </c>
      <c r="F797" s="5" t="s">
        <v>156</v>
      </c>
      <c r="G797" s="8">
        <v>0.15</v>
      </c>
      <c r="H797" s="9">
        <v>190514.52</v>
      </c>
      <c r="I797" s="9">
        <v>2.8577178000000001</v>
      </c>
    </row>
    <row r="798" spans="1:9" x14ac:dyDescent="0.25">
      <c r="A798" s="5" t="s">
        <v>952</v>
      </c>
      <c r="B798" s="5" t="s">
        <v>124</v>
      </c>
      <c r="C798" s="6">
        <v>45995.756944444453</v>
      </c>
      <c r="D798" s="7">
        <v>264</v>
      </c>
      <c r="E798" s="8">
        <v>197.65</v>
      </c>
      <c r="F798" s="5" t="s">
        <v>154</v>
      </c>
      <c r="G798" s="8">
        <v>0.05</v>
      </c>
      <c r="H798" s="9">
        <v>52179.6</v>
      </c>
      <c r="I798" s="9">
        <v>0.26089800000000002</v>
      </c>
    </row>
    <row r="799" spans="1:9" x14ac:dyDescent="0.25">
      <c r="A799" s="5" t="s">
        <v>953</v>
      </c>
      <c r="B799" s="5" t="s">
        <v>125</v>
      </c>
      <c r="C799" s="6">
        <v>45994.635416666657</v>
      </c>
      <c r="D799" s="7">
        <v>6133</v>
      </c>
      <c r="E799" s="8">
        <v>192.58</v>
      </c>
      <c r="F799" s="5" t="s">
        <v>156</v>
      </c>
      <c r="G799" s="8">
        <v>0.15</v>
      </c>
      <c r="H799" s="9">
        <v>1181093.1399999999</v>
      </c>
      <c r="I799" s="9">
        <v>17.716397099999998</v>
      </c>
    </row>
    <row r="800" spans="1:9" x14ac:dyDescent="0.25">
      <c r="A800" s="5" t="s">
        <v>954</v>
      </c>
      <c r="B800" s="5" t="s">
        <v>125</v>
      </c>
      <c r="C800" s="6">
        <v>45994.638888888891</v>
      </c>
      <c r="D800" s="7">
        <v>10188</v>
      </c>
      <c r="E800" s="8">
        <v>192.67</v>
      </c>
      <c r="F800" s="5" t="s">
        <v>159</v>
      </c>
      <c r="G800" s="8">
        <v>0.1</v>
      </c>
      <c r="H800" s="9">
        <v>1962921.96</v>
      </c>
      <c r="I800" s="9">
        <v>19.629219599999999</v>
      </c>
    </row>
    <row r="801" spans="1:9" x14ac:dyDescent="0.25">
      <c r="A801" s="5" t="s">
        <v>955</v>
      </c>
      <c r="B801" s="5" t="s">
        <v>125</v>
      </c>
      <c r="C801" s="6">
        <v>45994.642361111109</v>
      </c>
      <c r="D801" s="7">
        <v>421</v>
      </c>
      <c r="E801" s="8">
        <v>192.91</v>
      </c>
      <c r="F801" s="5" t="s">
        <v>156</v>
      </c>
      <c r="G801" s="8">
        <v>0.15</v>
      </c>
      <c r="H801" s="9">
        <v>81215.11</v>
      </c>
      <c r="I801" s="9">
        <v>1.2182266500000001</v>
      </c>
    </row>
    <row r="802" spans="1:9" x14ac:dyDescent="0.25">
      <c r="A802" s="5" t="s">
        <v>956</v>
      </c>
      <c r="B802" s="5" t="s">
        <v>125</v>
      </c>
      <c r="C802" s="6">
        <v>45994.649305555547</v>
      </c>
      <c r="D802" s="7">
        <v>1009</v>
      </c>
      <c r="E802" s="8">
        <v>192.76</v>
      </c>
      <c r="F802" s="5" t="s">
        <v>159</v>
      </c>
      <c r="G802" s="8">
        <v>0.1</v>
      </c>
      <c r="H802" s="9">
        <v>194494.84</v>
      </c>
      <c r="I802" s="9">
        <v>1.9449483999999999</v>
      </c>
    </row>
    <row r="803" spans="1:9" x14ac:dyDescent="0.25">
      <c r="A803" s="5" t="s">
        <v>957</v>
      </c>
      <c r="B803" s="5" t="s">
        <v>126</v>
      </c>
      <c r="C803" s="6">
        <v>45993.670138888891</v>
      </c>
      <c r="D803" s="7">
        <v>98</v>
      </c>
      <c r="E803" s="8">
        <v>416.95</v>
      </c>
      <c r="F803" s="5" t="s">
        <v>154</v>
      </c>
      <c r="G803" s="8">
        <v>0.05</v>
      </c>
      <c r="H803" s="9">
        <v>40861.1</v>
      </c>
      <c r="I803" s="9">
        <v>0.2043055</v>
      </c>
    </row>
    <row r="804" spans="1:9" x14ac:dyDescent="0.25">
      <c r="A804" s="5" t="s">
        <v>958</v>
      </c>
      <c r="B804" s="5" t="s">
        <v>126</v>
      </c>
      <c r="C804" s="6">
        <v>45993.680555555547</v>
      </c>
      <c r="D804" s="7">
        <v>2509</v>
      </c>
      <c r="E804" s="8">
        <v>418.26</v>
      </c>
      <c r="F804" s="5" t="s">
        <v>156</v>
      </c>
      <c r="G804" s="8">
        <v>0.15</v>
      </c>
      <c r="H804" s="9">
        <v>1049414.3400000001</v>
      </c>
      <c r="I804" s="9">
        <v>15.7412151</v>
      </c>
    </row>
    <row r="805" spans="1:9" x14ac:dyDescent="0.25">
      <c r="A805" s="5" t="s">
        <v>959</v>
      </c>
      <c r="B805" s="5" t="s">
        <v>126</v>
      </c>
      <c r="C805" s="6">
        <v>45993.701388888891</v>
      </c>
      <c r="D805" s="7">
        <v>3778</v>
      </c>
      <c r="E805" s="8">
        <v>418.53</v>
      </c>
      <c r="F805" s="5" t="s">
        <v>156</v>
      </c>
      <c r="G805" s="8">
        <v>0.15</v>
      </c>
      <c r="H805" s="9">
        <v>1581206.34</v>
      </c>
      <c r="I805" s="9">
        <v>23.718095099999999</v>
      </c>
    </row>
    <row r="806" spans="1:9" x14ac:dyDescent="0.25">
      <c r="A806" s="5" t="s">
        <v>960</v>
      </c>
      <c r="B806" s="5" t="s">
        <v>126</v>
      </c>
      <c r="C806" s="6">
        <v>45993.704861111109</v>
      </c>
      <c r="D806" s="7">
        <v>3471</v>
      </c>
      <c r="E806" s="8">
        <v>419.04</v>
      </c>
      <c r="F806" s="5" t="s">
        <v>156</v>
      </c>
      <c r="G806" s="8">
        <v>0.15</v>
      </c>
      <c r="H806" s="9">
        <v>1454487.84</v>
      </c>
      <c r="I806" s="9">
        <v>21.817317599999999</v>
      </c>
    </row>
    <row r="807" spans="1:9" x14ac:dyDescent="0.25">
      <c r="A807" s="5" t="s">
        <v>961</v>
      </c>
      <c r="B807" s="5" t="s">
        <v>126</v>
      </c>
      <c r="C807" s="6">
        <v>45993.725694444453</v>
      </c>
      <c r="D807" s="7">
        <v>434</v>
      </c>
      <c r="E807" s="8">
        <v>419.25</v>
      </c>
      <c r="F807" s="5" t="s">
        <v>154</v>
      </c>
      <c r="G807" s="8">
        <v>0.05</v>
      </c>
      <c r="H807" s="9">
        <v>181954.5</v>
      </c>
      <c r="I807" s="9">
        <v>0.90977249999999998</v>
      </c>
    </row>
    <row r="808" spans="1:9" x14ac:dyDescent="0.25">
      <c r="A808" s="5" t="s">
        <v>962</v>
      </c>
      <c r="B808" s="5" t="s">
        <v>126</v>
      </c>
      <c r="C808" s="6">
        <v>45993.729166666657</v>
      </c>
      <c r="D808" s="7">
        <v>2444</v>
      </c>
      <c r="E808" s="8">
        <v>419.75</v>
      </c>
      <c r="F808" s="5" t="s">
        <v>156</v>
      </c>
      <c r="G808" s="8">
        <v>0.15</v>
      </c>
      <c r="H808" s="9">
        <v>1025869</v>
      </c>
      <c r="I808" s="9">
        <v>15.388035</v>
      </c>
    </row>
    <row r="809" spans="1:9" x14ac:dyDescent="0.25">
      <c r="A809" s="5" t="s">
        <v>963</v>
      </c>
      <c r="B809" s="5" t="s">
        <v>127</v>
      </c>
      <c r="C809" s="6">
        <v>45992.788194444453</v>
      </c>
      <c r="D809" s="7">
        <v>480</v>
      </c>
      <c r="E809" s="8">
        <v>174.07</v>
      </c>
      <c r="F809" s="5" t="s">
        <v>159</v>
      </c>
      <c r="G809" s="8">
        <v>0.1</v>
      </c>
      <c r="H809" s="9">
        <v>83553.599999999991</v>
      </c>
      <c r="I809" s="9">
        <v>0.83553599999999983</v>
      </c>
    </row>
    <row r="810" spans="1:9" x14ac:dyDescent="0.25">
      <c r="A810" s="5" t="s">
        <v>964</v>
      </c>
      <c r="B810" s="5" t="s">
        <v>127</v>
      </c>
      <c r="C810" s="6">
        <v>45992.791666666657</v>
      </c>
      <c r="D810" s="7">
        <v>2425</v>
      </c>
      <c r="E810" s="8">
        <v>174.29</v>
      </c>
      <c r="F810" s="5" t="s">
        <v>156</v>
      </c>
      <c r="G810" s="8">
        <v>0.15</v>
      </c>
      <c r="H810" s="9">
        <v>422653.25</v>
      </c>
      <c r="I810" s="9">
        <v>6.3397987499999999</v>
      </c>
    </row>
    <row r="811" spans="1:9" x14ac:dyDescent="0.25">
      <c r="A811" s="5" t="s">
        <v>965</v>
      </c>
      <c r="B811" s="5" t="s">
        <v>127</v>
      </c>
      <c r="C811" s="6">
        <v>45992.802083333343</v>
      </c>
      <c r="D811" s="7">
        <v>2014</v>
      </c>
      <c r="E811" s="8">
        <v>174.55</v>
      </c>
      <c r="F811" s="5" t="s">
        <v>156</v>
      </c>
      <c r="G811" s="8">
        <v>0.15</v>
      </c>
      <c r="H811" s="9">
        <v>351543.7</v>
      </c>
      <c r="I811" s="9">
        <v>5.2731554999999997</v>
      </c>
    </row>
    <row r="812" spans="1:9" x14ac:dyDescent="0.25">
      <c r="A812" s="5" t="s">
        <v>966</v>
      </c>
      <c r="B812" s="5" t="s">
        <v>127</v>
      </c>
      <c r="C812" s="6">
        <v>45992.805555555547</v>
      </c>
      <c r="D812" s="7">
        <v>1170</v>
      </c>
      <c r="E812" s="8">
        <v>174.6</v>
      </c>
      <c r="F812" s="5" t="s">
        <v>159</v>
      </c>
      <c r="G812" s="8">
        <v>0.1</v>
      </c>
      <c r="H812" s="9">
        <v>204282</v>
      </c>
      <c r="I812" s="9">
        <v>2.0428199999999999</v>
      </c>
    </row>
    <row r="813" spans="1:9" x14ac:dyDescent="0.25">
      <c r="A813" s="5" t="s">
        <v>967</v>
      </c>
      <c r="B813" s="5" t="s">
        <v>127</v>
      </c>
      <c r="C813" s="6">
        <v>45992.8125</v>
      </c>
      <c r="D813" s="7">
        <v>271</v>
      </c>
      <c r="E813" s="8">
        <v>174.78</v>
      </c>
      <c r="F813" s="5" t="s">
        <v>156</v>
      </c>
      <c r="G813" s="8">
        <v>0.15</v>
      </c>
      <c r="H813" s="9">
        <v>47365.38</v>
      </c>
      <c r="I813" s="9">
        <v>0.71048069999999997</v>
      </c>
    </row>
    <row r="814" spans="1:9" x14ac:dyDescent="0.25">
      <c r="A814" s="5" t="s">
        <v>968</v>
      </c>
      <c r="B814" s="5" t="s">
        <v>127</v>
      </c>
      <c r="C814" s="6">
        <v>45992.819444444453</v>
      </c>
      <c r="D814" s="7">
        <v>1961</v>
      </c>
      <c r="E814" s="8">
        <v>174.54</v>
      </c>
      <c r="F814" s="5" t="s">
        <v>156</v>
      </c>
      <c r="G814" s="8">
        <v>0.15</v>
      </c>
      <c r="H814" s="9">
        <v>342272.94</v>
      </c>
      <c r="I814" s="9">
        <v>5.1340941000000004</v>
      </c>
    </row>
    <row r="815" spans="1:9" x14ac:dyDescent="0.25">
      <c r="A815" s="5" t="s">
        <v>969</v>
      </c>
      <c r="B815" s="5" t="s">
        <v>127</v>
      </c>
      <c r="C815" s="6">
        <v>45992.822916666657</v>
      </c>
      <c r="D815" s="7">
        <v>12</v>
      </c>
      <c r="E815" s="8">
        <v>174.21</v>
      </c>
      <c r="F815" s="5" t="s">
        <v>159</v>
      </c>
      <c r="G815" s="8">
        <v>0.1</v>
      </c>
      <c r="H815" s="9">
        <v>2090.52</v>
      </c>
      <c r="I815" s="9">
        <v>2.0905199999999999E-2</v>
      </c>
    </row>
    <row r="816" spans="1:9" x14ac:dyDescent="0.25">
      <c r="A816" s="5" t="s">
        <v>970</v>
      </c>
      <c r="B816" s="5" t="s">
        <v>127</v>
      </c>
      <c r="C816" s="6">
        <v>45992.826388888891</v>
      </c>
      <c r="D816" s="7">
        <v>530</v>
      </c>
      <c r="E816" s="8">
        <v>174.17</v>
      </c>
      <c r="F816" s="5" t="s">
        <v>156</v>
      </c>
      <c r="G816" s="8">
        <v>0.15</v>
      </c>
      <c r="H816" s="9">
        <v>92310.099999999991</v>
      </c>
      <c r="I816" s="9">
        <v>1.3846514999999999</v>
      </c>
    </row>
    <row r="817" spans="1:9" x14ac:dyDescent="0.25">
      <c r="A817" s="5" t="s">
        <v>971</v>
      </c>
      <c r="B817" s="5" t="s">
        <v>127</v>
      </c>
      <c r="C817" s="6">
        <v>45992.829861111109</v>
      </c>
      <c r="D817" s="7">
        <v>1908</v>
      </c>
      <c r="E817" s="8">
        <v>174.33</v>
      </c>
      <c r="F817" s="5" t="s">
        <v>156</v>
      </c>
      <c r="G817" s="8">
        <v>0.15</v>
      </c>
      <c r="H817" s="9">
        <v>332621.64</v>
      </c>
      <c r="I817" s="9">
        <v>4.9893245999999998</v>
      </c>
    </row>
    <row r="818" spans="1:9" x14ac:dyDescent="0.25">
      <c r="A818" s="5" t="s">
        <v>972</v>
      </c>
      <c r="B818" s="5" t="s">
        <v>127</v>
      </c>
      <c r="C818" s="6">
        <v>45992.840277777781</v>
      </c>
      <c r="D818" s="7">
        <v>352</v>
      </c>
      <c r="E818" s="8">
        <v>174.27</v>
      </c>
      <c r="F818" s="5" t="s">
        <v>159</v>
      </c>
      <c r="G818" s="8">
        <v>0.1</v>
      </c>
      <c r="H818" s="9">
        <v>61343.040000000001</v>
      </c>
      <c r="I818" s="9">
        <v>0.61343040000000004</v>
      </c>
    </row>
    <row r="819" spans="1:9" x14ac:dyDescent="0.25">
      <c r="A819" s="5" t="s">
        <v>973</v>
      </c>
      <c r="B819" s="5" t="s">
        <v>127</v>
      </c>
      <c r="C819" s="6">
        <v>45992.857638888891</v>
      </c>
      <c r="D819" s="7">
        <v>183</v>
      </c>
      <c r="E819" s="8">
        <v>174.63</v>
      </c>
      <c r="F819" s="5" t="s">
        <v>159</v>
      </c>
      <c r="G819" s="8">
        <v>0.1</v>
      </c>
      <c r="H819" s="9">
        <v>31957.29</v>
      </c>
      <c r="I819" s="9">
        <v>0.31957289999999999</v>
      </c>
    </row>
    <row r="820" spans="1:9" x14ac:dyDescent="0.25">
      <c r="A820" s="5" t="s">
        <v>974</v>
      </c>
      <c r="B820" s="5" t="s">
        <v>127</v>
      </c>
      <c r="C820" s="6">
        <v>45992.864583333343</v>
      </c>
      <c r="D820" s="7">
        <v>741</v>
      </c>
      <c r="E820" s="8">
        <v>174.95</v>
      </c>
      <c r="F820" s="5" t="s">
        <v>156</v>
      </c>
      <c r="G820" s="8">
        <v>0.15</v>
      </c>
      <c r="H820" s="9">
        <v>129637.95</v>
      </c>
      <c r="I820" s="9">
        <v>1.94456925</v>
      </c>
    </row>
    <row r="821" spans="1:9" x14ac:dyDescent="0.25">
      <c r="A821" s="5" t="s">
        <v>975</v>
      </c>
      <c r="B821" s="5" t="s">
        <v>127</v>
      </c>
      <c r="C821" s="6">
        <v>45992.868055555547</v>
      </c>
      <c r="D821" s="7">
        <v>250</v>
      </c>
      <c r="E821" s="8">
        <v>175.11</v>
      </c>
      <c r="F821" s="5" t="s">
        <v>156</v>
      </c>
      <c r="G821" s="8">
        <v>0.15</v>
      </c>
      <c r="H821" s="9">
        <v>43777.5</v>
      </c>
      <c r="I821" s="9">
        <v>0.65666250000000004</v>
      </c>
    </row>
    <row r="822" spans="1:9" x14ac:dyDescent="0.25">
      <c r="A822" s="5" t="s">
        <v>976</v>
      </c>
      <c r="B822" s="5" t="s">
        <v>128</v>
      </c>
      <c r="C822" s="6">
        <v>45995.708333333343</v>
      </c>
      <c r="D822" s="7">
        <v>1915</v>
      </c>
      <c r="E822" s="8">
        <v>197.31</v>
      </c>
      <c r="F822" s="5" t="s">
        <v>159</v>
      </c>
      <c r="G822" s="8">
        <v>0.1</v>
      </c>
      <c r="H822" s="9">
        <v>377848.65</v>
      </c>
      <c r="I822" s="9">
        <v>3.778486500000001</v>
      </c>
    </row>
    <row r="823" spans="1:9" x14ac:dyDescent="0.25">
      <c r="A823" s="5" t="s">
        <v>977</v>
      </c>
      <c r="B823" s="5" t="s">
        <v>128</v>
      </c>
      <c r="C823" s="6">
        <v>45995.722222222219</v>
      </c>
      <c r="D823" s="7">
        <v>819</v>
      </c>
      <c r="E823" s="8">
        <v>197.88</v>
      </c>
      <c r="F823" s="5" t="s">
        <v>156</v>
      </c>
      <c r="G823" s="8">
        <v>0.15</v>
      </c>
      <c r="H823" s="9">
        <v>162063.72</v>
      </c>
      <c r="I823" s="9">
        <v>2.4309558</v>
      </c>
    </row>
    <row r="824" spans="1:9" x14ac:dyDescent="0.25">
      <c r="A824" s="5" t="s">
        <v>978</v>
      </c>
      <c r="B824" s="5" t="s">
        <v>128</v>
      </c>
      <c r="C824" s="6">
        <v>45995.725694444453</v>
      </c>
      <c r="D824" s="7">
        <v>159</v>
      </c>
      <c r="E824" s="8">
        <v>197.89</v>
      </c>
      <c r="F824" s="5" t="s">
        <v>154</v>
      </c>
      <c r="G824" s="8">
        <v>0.05</v>
      </c>
      <c r="H824" s="9">
        <v>31464.51</v>
      </c>
      <c r="I824" s="9">
        <v>0.15732255000000001</v>
      </c>
    </row>
    <row r="825" spans="1:9" x14ac:dyDescent="0.25">
      <c r="A825" s="5" t="s">
        <v>979</v>
      </c>
      <c r="B825" s="5" t="s">
        <v>128</v>
      </c>
      <c r="C825" s="6">
        <v>45995.732638888891</v>
      </c>
      <c r="D825" s="7">
        <v>606</v>
      </c>
      <c r="E825" s="8">
        <v>197.9</v>
      </c>
      <c r="F825" s="5" t="s">
        <v>156</v>
      </c>
      <c r="G825" s="8">
        <v>0.15</v>
      </c>
      <c r="H825" s="9">
        <v>119927.4</v>
      </c>
      <c r="I825" s="9">
        <v>1.7989109999999999</v>
      </c>
    </row>
    <row r="826" spans="1:9" x14ac:dyDescent="0.25">
      <c r="A826" s="5" t="s">
        <v>980</v>
      </c>
      <c r="B826" s="5" t="s">
        <v>128</v>
      </c>
      <c r="C826" s="6">
        <v>45995.736111111109</v>
      </c>
      <c r="D826" s="7">
        <v>62</v>
      </c>
      <c r="E826" s="8">
        <v>197.74</v>
      </c>
      <c r="F826" s="5" t="s">
        <v>156</v>
      </c>
      <c r="G826" s="8">
        <v>0.15</v>
      </c>
      <c r="H826" s="9">
        <v>12259.88</v>
      </c>
      <c r="I826" s="9">
        <v>0.18389820000000001</v>
      </c>
    </row>
    <row r="827" spans="1:9" x14ac:dyDescent="0.25">
      <c r="A827" s="5" t="s">
        <v>981</v>
      </c>
      <c r="B827" s="5" t="s">
        <v>128</v>
      </c>
      <c r="C827" s="6">
        <v>45995.739583333343</v>
      </c>
      <c r="D827" s="7">
        <v>307</v>
      </c>
      <c r="E827" s="8">
        <v>197.7</v>
      </c>
      <c r="F827" s="5" t="s">
        <v>156</v>
      </c>
      <c r="G827" s="8">
        <v>0.15</v>
      </c>
      <c r="H827" s="9">
        <v>60693.899999999987</v>
      </c>
      <c r="I827" s="9">
        <v>0.91040849999999995</v>
      </c>
    </row>
    <row r="828" spans="1:9" x14ac:dyDescent="0.25">
      <c r="A828" s="5" t="s">
        <v>982</v>
      </c>
      <c r="B828" s="5" t="s">
        <v>128</v>
      </c>
      <c r="C828" s="6">
        <v>45995.743055555547</v>
      </c>
      <c r="D828" s="7">
        <v>740</v>
      </c>
      <c r="E828" s="8">
        <v>197.29</v>
      </c>
      <c r="F828" s="5" t="s">
        <v>156</v>
      </c>
      <c r="G828" s="8">
        <v>0.15</v>
      </c>
      <c r="H828" s="9">
        <v>145994.6</v>
      </c>
      <c r="I828" s="9">
        <v>2.1899190000000002</v>
      </c>
    </row>
    <row r="829" spans="1:9" x14ac:dyDescent="0.25">
      <c r="A829" s="5" t="s">
        <v>983</v>
      </c>
      <c r="B829" s="5" t="s">
        <v>128</v>
      </c>
      <c r="C829" s="6">
        <v>45995.75</v>
      </c>
      <c r="D829" s="7">
        <v>268</v>
      </c>
      <c r="E829" s="8">
        <v>197.21</v>
      </c>
      <c r="F829" s="5" t="s">
        <v>159</v>
      </c>
      <c r="G829" s="8">
        <v>0.1</v>
      </c>
      <c r="H829" s="9">
        <v>52852.28</v>
      </c>
      <c r="I829" s="9">
        <v>0.52852279999999996</v>
      </c>
    </row>
    <row r="830" spans="1:9" x14ac:dyDescent="0.25">
      <c r="A830" s="5" t="s">
        <v>984</v>
      </c>
      <c r="B830" s="5" t="s">
        <v>128</v>
      </c>
      <c r="C830" s="6">
        <v>45995.753472222219</v>
      </c>
      <c r="D830" s="7">
        <v>279</v>
      </c>
      <c r="E830" s="8">
        <v>197.35</v>
      </c>
      <c r="F830" s="5" t="s">
        <v>159</v>
      </c>
      <c r="G830" s="8">
        <v>0.1</v>
      </c>
      <c r="H830" s="9">
        <v>55060.65</v>
      </c>
      <c r="I830" s="9">
        <v>0.5506065</v>
      </c>
    </row>
    <row r="831" spans="1:9" x14ac:dyDescent="0.25">
      <c r="A831" s="5" t="s">
        <v>985</v>
      </c>
      <c r="B831" s="5" t="s">
        <v>128</v>
      </c>
      <c r="C831" s="6">
        <v>45995.756944444453</v>
      </c>
      <c r="D831" s="7">
        <v>902</v>
      </c>
      <c r="E831" s="8">
        <v>197.67</v>
      </c>
      <c r="F831" s="5" t="s">
        <v>156</v>
      </c>
      <c r="G831" s="8">
        <v>0.15</v>
      </c>
      <c r="H831" s="9">
        <v>178298.34</v>
      </c>
      <c r="I831" s="9">
        <v>2.6744751</v>
      </c>
    </row>
    <row r="832" spans="1:9" x14ac:dyDescent="0.25">
      <c r="A832" s="5" t="s">
        <v>986</v>
      </c>
      <c r="B832" s="5" t="s">
        <v>128</v>
      </c>
      <c r="C832" s="6">
        <v>45995.763888888891</v>
      </c>
      <c r="D832" s="7">
        <v>417</v>
      </c>
      <c r="E832" s="8">
        <v>197.88</v>
      </c>
      <c r="F832" s="5" t="s">
        <v>154</v>
      </c>
      <c r="G832" s="8">
        <v>0.05</v>
      </c>
      <c r="H832" s="9">
        <v>82515.959999999992</v>
      </c>
      <c r="I832" s="9">
        <v>0.4125798</v>
      </c>
    </row>
    <row r="833" spans="1:9" x14ac:dyDescent="0.25">
      <c r="A833" s="5" t="s">
        <v>987</v>
      </c>
      <c r="B833" s="5" t="s">
        <v>128</v>
      </c>
      <c r="C833" s="6">
        <v>45995.770833333343</v>
      </c>
      <c r="D833" s="7">
        <v>159</v>
      </c>
      <c r="E833" s="8">
        <v>198.14</v>
      </c>
      <c r="F833" s="5" t="s">
        <v>159</v>
      </c>
      <c r="G833" s="8">
        <v>0.1</v>
      </c>
      <c r="H833" s="9">
        <v>31504.26</v>
      </c>
      <c r="I833" s="9">
        <v>0.31504260000000001</v>
      </c>
    </row>
    <row r="834" spans="1:9" x14ac:dyDescent="0.25">
      <c r="A834" s="5" t="s">
        <v>988</v>
      </c>
      <c r="B834" s="5" t="s">
        <v>128</v>
      </c>
      <c r="C834" s="6">
        <v>45995.774305555547</v>
      </c>
      <c r="D834" s="7">
        <v>2711</v>
      </c>
      <c r="E834" s="8">
        <v>198.67</v>
      </c>
      <c r="F834" s="5" t="s">
        <v>159</v>
      </c>
      <c r="G834" s="8">
        <v>0.1</v>
      </c>
      <c r="H834" s="9">
        <v>538594.37</v>
      </c>
      <c r="I834" s="9">
        <v>5.3859437000000003</v>
      </c>
    </row>
    <row r="835" spans="1:9" x14ac:dyDescent="0.25">
      <c r="A835" s="5" t="s">
        <v>989</v>
      </c>
      <c r="B835" s="5" t="s">
        <v>128</v>
      </c>
      <c r="C835" s="6">
        <v>45995.788194444453</v>
      </c>
      <c r="D835" s="7">
        <v>1566</v>
      </c>
      <c r="E835" s="8">
        <v>198.52</v>
      </c>
      <c r="F835" s="5" t="s">
        <v>156</v>
      </c>
      <c r="G835" s="8">
        <v>0.15</v>
      </c>
      <c r="H835" s="9">
        <v>310882.32</v>
      </c>
      <c r="I835" s="9">
        <v>4.6632347999999997</v>
      </c>
    </row>
    <row r="836" spans="1:9" x14ac:dyDescent="0.25">
      <c r="A836" s="5" t="s">
        <v>990</v>
      </c>
      <c r="B836" s="5" t="s">
        <v>129</v>
      </c>
      <c r="C836" s="6">
        <v>45993.638888888891</v>
      </c>
      <c r="D836" s="7">
        <v>372</v>
      </c>
      <c r="E836" s="8">
        <v>242.65</v>
      </c>
      <c r="F836" s="5" t="s">
        <v>156</v>
      </c>
      <c r="G836" s="8">
        <v>0.15</v>
      </c>
      <c r="H836" s="9">
        <v>90265.8</v>
      </c>
      <c r="I836" s="9">
        <v>1.3539870000000001</v>
      </c>
    </row>
    <row r="837" spans="1:9" x14ac:dyDescent="0.25">
      <c r="A837" s="5" t="s">
        <v>991</v>
      </c>
      <c r="B837" s="5" t="s">
        <v>129</v>
      </c>
      <c r="C837" s="6">
        <v>45993.642361111109</v>
      </c>
      <c r="D837" s="7">
        <v>431</v>
      </c>
      <c r="E837" s="8">
        <v>242.49</v>
      </c>
      <c r="F837" s="5" t="s">
        <v>156</v>
      </c>
      <c r="G837" s="8">
        <v>0.15</v>
      </c>
      <c r="H837" s="9">
        <v>104513.19</v>
      </c>
      <c r="I837" s="9">
        <v>1.5676978500000001</v>
      </c>
    </row>
    <row r="838" spans="1:9" x14ac:dyDescent="0.25">
      <c r="A838" s="5" t="s">
        <v>992</v>
      </c>
      <c r="B838" s="5" t="s">
        <v>129</v>
      </c>
      <c r="C838" s="6">
        <v>45993.645833333343</v>
      </c>
      <c r="D838" s="7">
        <v>289</v>
      </c>
      <c r="E838" s="8">
        <v>242.53</v>
      </c>
      <c r="F838" s="5" t="s">
        <v>156</v>
      </c>
      <c r="G838" s="8">
        <v>0.15</v>
      </c>
      <c r="H838" s="9">
        <v>70091.17</v>
      </c>
      <c r="I838" s="9">
        <v>1.0513675499999999</v>
      </c>
    </row>
    <row r="839" spans="1:9" x14ac:dyDescent="0.25">
      <c r="A839" s="5" t="s">
        <v>993</v>
      </c>
      <c r="B839" s="5" t="s">
        <v>129</v>
      </c>
      <c r="C839" s="6">
        <v>45993.649305555547</v>
      </c>
      <c r="D839" s="7">
        <v>2106</v>
      </c>
      <c r="E839" s="8">
        <v>242.33</v>
      </c>
      <c r="F839" s="5" t="s">
        <v>156</v>
      </c>
      <c r="G839" s="8">
        <v>0.15</v>
      </c>
      <c r="H839" s="9">
        <v>510346.98</v>
      </c>
      <c r="I839" s="9">
        <v>7.6552047000000014</v>
      </c>
    </row>
    <row r="840" spans="1:9" x14ac:dyDescent="0.25">
      <c r="A840" s="5" t="s">
        <v>994</v>
      </c>
      <c r="B840" s="5" t="s">
        <v>129</v>
      </c>
      <c r="C840" s="6">
        <v>45993.652777777781</v>
      </c>
      <c r="D840" s="7">
        <v>987</v>
      </c>
      <c r="E840" s="8">
        <v>242.27</v>
      </c>
      <c r="F840" s="5" t="s">
        <v>156</v>
      </c>
      <c r="G840" s="8">
        <v>0.15</v>
      </c>
      <c r="H840" s="9">
        <v>239120.49</v>
      </c>
      <c r="I840" s="9">
        <v>3.5868073499999999</v>
      </c>
    </row>
    <row r="841" spans="1:9" x14ac:dyDescent="0.25">
      <c r="A841" s="5" t="s">
        <v>995</v>
      </c>
      <c r="B841" s="5" t="s">
        <v>129</v>
      </c>
      <c r="C841" s="6">
        <v>45993.65625</v>
      </c>
      <c r="D841" s="7">
        <v>430</v>
      </c>
      <c r="E841" s="8">
        <v>242.37</v>
      </c>
      <c r="F841" s="5" t="s">
        <v>156</v>
      </c>
      <c r="G841" s="8">
        <v>0.15</v>
      </c>
      <c r="H841" s="9">
        <v>104219.1</v>
      </c>
      <c r="I841" s="9">
        <v>1.5632865</v>
      </c>
    </row>
    <row r="842" spans="1:9" x14ac:dyDescent="0.25">
      <c r="A842" s="5" t="s">
        <v>996</v>
      </c>
      <c r="B842" s="5" t="s">
        <v>129</v>
      </c>
      <c r="C842" s="6">
        <v>45993.670138888891</v>
      </c>
      <c r="D842" s="7">
        <v>169</v>
      </c>
      <c r="E842" s="8">
        <v>242.37</v>
      </c>
      <c r="F842" s="5" t="s">
        <v>156</v>
      </c>
      <c r="G842" s="8">
        <v>0.15</v>
      </c>
      <c r="H842" s="9">
        <v>40960.53</v>
      </c>
      <c r="I842" s="9">
        <v>0.61440795000000004</v>
      </c>
    </row>
    <row r="843" spans="1:9" x14ac:dyDescent="0.25">
      <c r="A843" s="5" t="s">
        <v>997</v>
      </c>
      <c r="B843" s="5" t="s">
        <v>129</v>
      </c>
      <c r="C843" s="6">
        <v>45993.680555555547</v>
      </c>
      <c r="D843" s="7">
        <v>79</v>
      </c>
      <c r="E843" s="8">
        <v>242.88</v>
      </c>
      <c r="F843" s="5" t="s">
        <v>159</v>
      </c>
      <c r="G843" s="8">
        <v>0.1</v>
      </c>
      <c r="H843" s="9">
        <v>19187.52</v>
      </c>
      <c r="I843" s="9">
        <v>0.1918752</v>
      </c>
    </row>
    <row r="844" spans="1:9" x14ac:dyDescent="0.25">
      <c r="A844" s="5" t="s">
        <v>998</v>
      </c>
      <c r="B844" s="5" t="s">
        <v>129</v>
      </c>
      <c r="C844" s="6">
        <v>45993.684027777781</v>
      </c>
      <c r="D844" s="7">
        <v>1179</v>
      </c>
      <c r="E844" s="8">
        <v>243.03</v>
      </c>
      <c r="F844" s="5" t="s">
        <v>156</v>
      </c>
      <c r="G844" s="8">
        <v>0.15</v>
      </c>
      <c r="H844" s="9">
        <v>286532.37</v>
      </c>
      <c r="I844" s="9">
        <v>4.2979855499999999</v>
      </c>
    </row>
    <row r="845" spans="1:9" x14ac:dyDescent="0.25">
      <c r="A845" s="5" t="s">
        <v>999</v>
      </c>
      <c r="B845" s="5" t="s">
        <v>129</v>
      </c>
      <c r="C845" s="6">
        <v>45993.6875</v>
      </c>
      <c r="D845" s="7">
        <v>143</v>
      </c>
      <c r="E845" s="8">
        <v>243.26</v>
      </c>
      <c r="F845" s="5" t="s">
        <v>156</v>
      </c>
      <c r="G845" s="8">
        <v>0.15</v>
      </c>
      <c r="H845" s="9">
        <v>34786.18</v>
      </c>
      <c r="I845" s="9">
        <v>0.5217927</v>
      </c>
    </row>
    <row r="846" spans="1:9" x14ac:dyDescent="0.25">
      <c r="A846" s="5" t="s">
        <v>1000</v>
      </c>
      <c r="B846" s="5" t="s">
        <v>129</v>
      </c>
      <c r="C846" s="6">
        <v>45993.690972222219</v>
      </c>
      <c r="D846" s="7">
        <v>1205</v>
      </c>
      <c r="E846" s="8">
        <v>243.44</v>
      </c>
      <c r="F846" s="5" t="s">
        <v>154</v>
      </c>
      <c r="G846" s="8">
        <v>0.05</v>
      </c>
      <c r="H846" s="9">
        <v>293345.2</v>
      </c>
      <c r="I846" s="9">
        <v>1.466726</v>
      </c>
    </row>
    <row r="847" spans="1:9" x14ac:dyDescent="0.25">
      <c r="A847" s="5" t="s">
        <v>1001</v>
      </c>
      <c r="B847" s="5" t="s">
        <v>129</v>
      </c>
      <c r="C847" s="6">
        <v>45993.697916666657</v>
      </c>
      <c r="D847" s="7">
        <v>212</v>
      </c>
      <c r="E847" s="8">
        <v>243.64</v>
      </c>
      <c r="F847" s="5" t="s">
        <v>159</v>
      </c>
      <c r="G847" s="8">
        <v>0.1</v>
      </c>
      <c r="H847" s="9">
        <v>51651.68</v>
      </c>
      <c r="I847" s="9">
        <v>0.51651680000000011</v>
      </c>
    </row>
    <row r="848" spans="1:9" x14ac:dyDescent="0.25">
      <c r="A848" s="5" t="s">
        <v>1002</v>
      </c>
      <c r="B848" s="5" t="s">
        <v>129</v>
      </c>
      <c r="C848" s="6">
        <v>45993.701388888891</v>
      </c>
      <c r="D848" s="7">
        <v>388</v>
      </c>
      <c r="E848" s="8">
        <v>243.74</v>
      </c>
      <c r="F848" s="5" t="s">
        <v>154</v>
      </c>
      <c r="G848" s="8">
        <v>0.05</v>
      </c>
      <c r="H848" s="9">
        <v>94571.12000000001</v>
      </c>
      <c r="I848" s="9">
        <v>0.47285559999999999</v>
      </c>
    </row>
    <row r="849" spans="1:9" x14ac:dyDescent="0.25">
      <c r="A849" s="5" t="s">
        <v>1003</v>
      </c>
      <c r="B849" s="5" t="s">
        <v>129</v>
      </c>
      <c r="C849" s="6">
        <v>45993.704861111109</v>
      </c>
      <c r="D849" s="7">
        <v>1022</v>
      </c>
      <c r="E849" s="8">
        <v>243.53</v>
      </c>
      <c r="F849" s="5" t="s">
        <v>154</v>
      </c>
      <c r="G849" s="8">
        <v>0.05</v>
      </c>
      <c r="H849" s="9">
        <v>248887.66</v>
      </c>
      <c r="I849" s="9">
        <v>1.2444383000000001</v>
      </c>
    </row>
    <row r="850" spans="1:9" x14ac:dyDescent="0.25">
      <c r="A850" s="5" t="s">
        <v>1004</v>
      </c>
      <c r="B850" s="5" t="s">
        <v>130</v>
      </c>
      <c r="C850" s="6">
        <v>45995.746527777781</v>
      </c>
      <c r="D850" s="7">
        <v>780</v>
      </c>
      <c r="E850" s="8">
        <v>184.98</v>
      </c>
      <c r="F850" s="5" t="s">
        <v>156</v>
      </c>
      <c r="G850" s="8">
        <v>0.15</v>
      </c>
      <c r="H850" s="9">
        <v>144284.4</v>
      </c>
      <c r="I850" s="9">
        <v>2.164266</v>
      </c>
    </row>
    <row r="851" spans="1:9" x14ac:dyDescent="0.25">
      <c r="A851" s="5" t="s">
        <v>1005</v>
      </c>
      <c r="B851" s="5" t="s">
        <v>130</v>
      </c>
      <c r="C851" s="6">
        <v>45995.753472222219</v>
      </c>
      <c r="D851" s="7">
        <v>372</v>
      </c>
      <c r="E851" s="8">
        <v>185.24</v>
      </c>
      <c r="F851" s="5" t="s">
        <v>154</v>
      </c>
      <c r="G851" s="8">
        <v>0.05</v>
      </c>
      <c r="H851" s="9">
        <v>68909.279999999999</v>
      </c>
      <c r="I851" s="9">
        <v>0.34454639999999997</v>
      </c>
    </row>
    <row r="852" spans="1:9" x14ac:dyDescent="0.25">
      <c r="A852" s="5" t="s">
        <v>1006</v>
      </c>
      <c r="B852" s="5" t="s">
        <v>130</v>
      </c>
      <c r="C852" s="6">
        <v>45995.760416666657</v>
      </c>
      <c r="D852" s="7">
        <v>498</v>
      </c>
      <c r="E852" s="8">
        <v>184.87</v>
      </c>
      <c r="F852" s="5" t="s">
        <v>159</v>
      </c>
      <c r="G852" s="8">
        <v>0.1</v>
      </c>
      <c r="H852" s="9">
        <v>92065.260000000009</v>
      </c>
      <c r="I852" s="9">
        <v>0.92065260000000015</v>
      </c>
    </row>
    <row r="853" spans="1:9" x14ac:dyDescent="0.25">
      <c r="A853" s="5" t="s">
        <v>1007</v>
      </c>
      <c r="B853" s="5" t="s">
        <v>130</v>
      </c>
      <c r="C853" s="6">
        <v>45995.763888888891</v>
      </c>
      <c r="D853" s="7">
        <v>196</v>
      </c>
      <c r="E853" s="8">
        <v>184.71</v>
      </c>
      <c r="F853" s="5" t="s">
        <v>154</v>
      </c>
      <c r="G853" s="8">
        <v>0.05</v>
      </c>
      <c r="H853" s="9">
        <v>36203.160000000003</v>
      </c>
      <c r="I853" s="9">
        <v>0.1810158</v>
      </c>
    </row>
    <row r="854" spans="1:9" x14ac:dyDescent="0.25">
      <c r="A854" s="5" t="s">
        <v>1008</v>
      </c>
      <c r="B854" s="5" t="s">
        <v>130</v>
      </c>
      <c r="C854" s="6">
        <v>45995.78125</v>
      </c>
      <c r="D854" s="7">
        <v>1710</v>
      </c>
      <c r="E854" s="8">
        <v>185.02</v>
      </c>
      <c r="F854" s="5" t="s">
        <v>159</v>
      </c>
      <c r="G854" s="8">
        <v>0.1</v>
      </c>
      <c r="H854" s="9">
        <v>316384.2</v>
      </c>
      <c r="I854" s="9">
        <v>3.1638419999999998</v>
      </c>
    </row>
    <row r="855" spans="1:9" x14ac:dyDescent="0.25">
      <c r="A855" s="5" t="s">
        <v>1009</v>
      </c>
      <c r="B855" s="5" t="s">
        <v>131</v>
      </c>
      <c r="C855" s="6">
        <v>45992.649305555547</v>
      </c>
      <c r="D855" s="7">
        <v>746</v>
      </c>
      <c r="E855" s="8">
        <v>413.4</v>
      </c>
      <c r="F855" s="5" t="s">
        <v>156</v>
      </c>
      <c r="G855" s="8">
        <v>0.15</v>
      </c>
      <c r="H855" s="9">
        <v>308396.40000000002</v>
      </c>
      <c r="I855" s="9">
        <v>4.625945999999999</v>
      </c>
    </row>
    <row r="856" spans="1:9" x14ac:dyDescent="0.25">
      <c r="A856" s="5" t="s">
        <v>1010</v>
      </c>
      <c r="B856" s="5" t="s">
        <v>131</v>
      </c>
      <c r="C856" s="6">
        <v>45992.652777777781</v>
      </c>
      <c r="D856" s="7">
        <v>770</v>
      </c>
      <c r="E856" s="8">
        <v>413.51</v>
      </c>
      <c r="F856" s="5" t="s">
        <v>159</v>
      </c>
      <c r="G856" s="8">
        <v>0.1</v>
      </c>
      <c r="H856" s="9">
        <v>318402.7</v>
      </c>
      <c r="I856" s="9">
        <v>3.1840269999999999</v>
      </c>
    </row>
    <row r="857" spans="1:9" x14ac:dyDescent="0.25">
      <c r="A857" s="5" t="s">
        <v>1011</v>
      </c>
      <c r="B857" s="5" t="s">
        <v>131</v>
      </c>
      <c r="C857" s="6">
        <v>45992.65625</v>
      </c>
      <c r="D857" s="7">
        <v>556</v>
      </c>
      <c r="E857" s="8">
        <v>414.09</v>
      </c>
      <c r="F857" s="5" t="s">
        <v>156</v>
      </c>
      <c r="G857" s="8">
        <v>0.15</v>
      </c>
      <c r="H857" s="9">
        <v>230234.04</v>
      </c>
      <c r="I857" s="9">
        <v>3.4535105999999991</v>
      </c>
    </row>
    <row r="858" spans="1:9" x14ac:dyDescent="0.25">
      <c r="A858" s="5" t="s">
        <v>1012</v>
      </c>
      <c r="B858" s="5" t="s">
        <v>131</v>
      </c>
      <c r="C858" s="6">
        <v>45992.659722222219</v>
      </c>
      <c r="D858" s="7">
        <v>21</v>
      </c>
      <c r="E858" s="8">
        <v>414.42</v>
      </c>
      <c r="F858" s="5" t="s">
        <v>156</v>
      </c>
      <c r="G858" s="8">
        <v>0.15</v>
      </c>
      <c r="H858" s="9">
        <v>8702.82</v>
      </c>
      <c r="I858" s="9">
        <v>0.1305423</v>
      </c>
    </row>
    <row r="859" spans="1:9" x14ac:dyDescent="0.25">
      <c r="A859" s="5" t="s">
        <v>1013</v>
      </c>
      <c r="B859" s="5" t="s">
        <v>131</v>
      </c>
      <c r="C859" s="6">
        <v>45992.666666666657</v>
      </c>
      <c r="D859" s="7">
        <v>1</v>
      </c>
      <c r="E859" s="8">
        <v>414.34</v>
      </c>
      <c r="F859" s="5" t="s">
        <v>159</v>
      </c>
      <c r="G859" s="8">
        <v>0.1</v>
      </c>
      <c r="H859" s="9">
        <v>414.34</v>
      </c>
      <c r="I859" s="9">
        <v>4.1433999999999993E-3</v>
      </c>
    </row>
    <row r="860" spans="1:9" x14ac:dyDescent="0.25">
      <c r="A860" s="5" t="s">
        <v>1014</v>
      </c>
      <c r="B860" s="5" t="s">
        <v>131</v>
      </c>
      <c r="C860" s="6">
        <v>45992.670138888891</v>
      </c>
      <c r="D860" s="7">
        <v>5925</v>
      </c>
      <c r="E860" s="8">
        <v>414.15</v>
      </c>
      <c r="F860" s="5" t="s">
        <v>156</v>
      </c>
      <c r="G860" s="8">
        <v>0.15</v>
      </c>
      <c r="H860" s="9">
        <v>2453838.75</v>
      </c>
      <c r="I860" s="9">
        <v>36.807581249999998</v>
      </c>
    </row>
    <row r="861" spans="1:9" x14ac:dyDescent="0.25">
      <c r="A861" s="5" t="s">
        <v>1015</v>
      </c>
      <c r="B861" s="5" t="s">
        <v>131</v>
      </c>
      <c r="C861" s="6">
        <v>45992.673611111109</v>
      </c>
      <c r="D861" s="7">
        <v>2146</v>
      </c>
      <c r="E861" s="8">
        <v>414.7</v>
      </c>
      <c r="F861" s="5" t="s">
        <v>156</v>
      </c>
      <c r="G861" s="8">
        <v>0.15</v>
      </c>
      <c r="H861" s="9">
        <v>889946.2</v>
      </c>
      <c r="I861" s="9">
        <v>13.349193</v>
      </c>
    </row>
    <row r="862" spans="1:9" x14ac:dyDescent="0.25">
      <c r="A862" s="5" t="s">
        <v>1016</v>
      </c>
      <c r="B862" s="5" t="s">
        <v>131</v>
      </c>
      <c r="C862" s="6">
        <v>45992.677083333343</v>
      </c>
      <c r="D862" s="7">
        <v>205</v>
      </c>
      <c r="E862" s="8">
        <v>414.13</v>
      </c>
      <c r="F862" s="5" t="s">
        <v>156</v>
      </c>
      <c r="G862" s="8">
        <v>0.15</v>
      </c>
      <c r="H862" s="9">
        <v>84896.65</v>
      </c>
      <c r="I862" s="9">
        <v>1.2734497499999999</v>
      </c>
    </row>
    <row r="863" spans="1:9" x14ac:dyDescent="0.25">
      <c r="A863" s="5" t="s">
        <v>1017</v>
      </c>
      <c r="B863" s="5" t="s">
        <v>131</v>
      </c>
      <c r="C863" s="6">
        <v>45992.680555555547</v>
      </c>
      <c r="D863" s="7">
        <v>3272</v>
      </c>
      <c r="E863" s="8">
        <v>414.22</v>
      </c>
      <c r="F863" s="5" t="s">
        <v>156</v>
      </c>
      <c r="G863" s="8">
        <v>0.15</v>
      </c>
      <c r="H863" s="9">
        <v>1355327.84</v>
      </c>
      <c r="I863" s="9">
        <v>20.329917600000002</v>
      </c>
    </row>
    <row r="864" spans="1:9" x14ac:dyDescent="0.25">
      <c r="A864" s="5" t="s">
        <v>1018</v>
      </c>
      <c r="B864" s="5" t="s">
        <v>131</v>
      </c>
      <c r="C864" s="6">
        <v>45992.690972222219</v>
      </c>
      <c r="D864" s="7">
        <v>497</v>
      </c>
      <c r="E864" s="8">
        <v>415.26</v>
      </c>
      <c r="F864" s="5" t="s">
        <v>159</v>
      </c>
      <c r="G864" s="8">
        <v>0.1</v>
      </c>
      <c r="H864" s="9">
        <v>206384.22</v>
      </c>
      <c r="I864" s="9">
        <v>2.0638421999999998</v>
      </c>
    </row>
    <row r="865" spans="1:9" x14ac:dyDescent="0.25">
      <c r="A865" s="5" t="s">
        <v>1019</v>
      </c>
      <c r="B865" s="5" t="s">
        <v>131</v>
      </c>
      <c r="C865" s="6">
        <v>45992.715277777781</v>
      </c>
      <c r="D865" s="7">
        <v>1959</v>
      </c>
      <c r="E865" s="8">
        <v>416.58</v>
      </c>
      <c r="F865" s="5" t="s">
        <v>156</v>
      </c>
      <c r="G865" s="8">
        <v>0.15</v>
      </c>
      <c r="H865" s="9">
        <v>816080.22</v>
      </c>
      <c r="I865" s="9">
        <v>12.2412033</v>
      </c>
    </row>
    <row r="866" spans="1:9" x14ac:dyDescent="0.25">
      <c r="A866" s="5" t="s">
        <v>1020</v>
      </c>
      <c r="B866" s="5" t="s">
        <v>131</v>
      </c>
      <c r="C866" s="6">
        <v>45992.71875</v>
      </c>
      <c r="D866" s="7">
        <v>277</v>
      </c>
      <c r="E866" s="8">
        <v>417.1</v>
      </c>
      <c r="F866" s="5" t="s">
        <v>156</v>
      </c>
      <c r="G866" s="8">
        <v>0.15</v>
      </c>
      <c r="H866" s="9">
        <v>115536.7</v>
      </c>
      <c r="I866" s="9">
        <v>1.7330505</v>
      </c>
    </row>
    <row r="867" spans="1:9" x14ac:dyDescent="0.25">
      <c r="A867" s="5" t="s">
        <v>1021</v>
      </c>
      <c r="B867" s="5" t="s">
        <v>131</v>
      </c>
      <c r="C867" s="6">
        <v>45992.725694444453</v>
      </c>
      <c r="D867" s="7">
        <v>392</v>
      </c>
      <c r="E867" s="8">
        <v>417.39</v>
      </c>
      <c r="F867" s="5" t="s">
        <v>159</v>
      </c>
      <c r="G867" s="8">
        <v>0.1</v>
      </c>
      <c r="H867" s="9">
        <v>163616.88</v>
      </c>
      <c r="I867" s="9">
        <v>1.6361688000000001</v>
      </c>
    </row>
    <row r="868" spans="1:9" x14ac:dyDescent="0.25">
      <c r="A868" s="5" t="s">
        <v>1022</v>
      </c>
      <c r="B868" s="5" t="s">
        <v>132</v>
      </c>
      <c r="C868" s="6">
        <v>45994.774305555547</v>
      </c>
      <c r="D868" s="7">
        <v>1107</v>
      </c>
      <c r="E868" s="8">
        <v>174.08</v>
      </c>
      <c r="F868" s="5" t="s">
        <v>159</v>
      </c>
      <c r="G868" s="8">
        <v>0.1</v>
      </c>
      <c r="H868" s="9">
        <v>192706.56</v>
      </c>
      <c r="I868" s="9">
        <v>1.9270655999999999</v>
      </c>
    </row>
    <row r="869" spans="1:9" x14ac:dyDescent="0.25">
      <c r="A869" s="5" t="s">
        <v>1023</v>
      </c>
      <c r="B869" s="5" t="s">
        <v>132</v>
      </c>
      <c r="C869" s="6">
        <v>45994.802083333343</v>
      </c>
      <c r="D869" s="7">
        <v>1697</v>
      </c>
      <c r="E869" s="8">
        <v>174.46</v>
      </c>
      <c r="F869" s="5" t="s">
        <v>156</v>
      </c>
      <c r="G869" s="8">
        <v>0.15</v>
      </c>
      <c r="H869" s="9">
        <v>296058.62</v>
      </c>
      <c r="I869" s="9">
        <v>4.4408792999999998</v>
      </c>
    </row>
    <row r="870" spans="1:9" x14ac:dyDescent="0.25">
      <c r="A870" s="5" t="s">
        <v>1024</v>
      </c>
      <c r="B870" s="5" t="s">
        <v>132</v>
      </c>
      <c r="C870" s="6">
        <v>45994.833333333343</v>
      </c>
      <c r="D870" s="7">
        <v>3583</v>
      </c>
      <c r="E870" s="8">
        <v>174.37</v>
      </c>
      <c r="F870" s="5" t="s">
        <v>156</v>
      </c>
      <c r="G870" s="8">
        <v>0.15</v>
      </c>
      <c r="H870" s="9">
        <v>624767.71</v>
      </c>
      <c r="I870" s="9">
        <v>9.3715156499999992</v>
      </c>
    </row>
    <row r="871" spans="1:9" x14ac:dyDescent="0.25">
      <c r="A871" s="5" t="s">
        <v>1025</v>
      </c>
      <c r="B871" s="5" t="s">
        <v>132</v>
      </c>
      <c r="C871" s="6">
        <v>45994.840277777781</v>
      </c>
      <c r="D871" s="7">
        <v>1949</v>
      </c>
      <c r="E871" s="8">
        <v>174.2</v>
      </c>
      <c r="F871" s="5" t="s">
        <v>159</v>
      </c>
      <c r="G871" s="8">
        <v>0.1</v>
      </c>
      <c r="H871" s="9">
        <v>339515.8</v>
      </c>
      <c r="I871" s="9">
        <v>3.3951579999999999</v>
      </c>
    </row>
    <row r="872" spans="1:9" x14ac:dyDescent="0.25">
      <c r="A872" s="5" t="s">
        <v>1026</v>
      </c>
      <c r="B872" s="5" t="s">
        <v>133</v>
      </c>
      <c r="C872" s="6">
        <v>45994.725694444453</v>
      </c>
      <c r="D872" s="7">
        <v>485</v>
      </c>
      <c r="E872" s="8">
        <v>422.52</v>
      </c>
      <c r="F872" s="5" t="s">
        <v>154</v>
      </c>
      <c r="G872" s="8">
        <v>0.05</v>
      </c>
      <c r="H872" s="9">
        <v>204922.2</v>
      </c>
      <c r="I872" s="9">
        <v>1.0246109999999999</v>
      </c>
    </row>
    <row r="873" spans="1:9" x14ac:dyDescent="0.25">
      <c r="A873" s="5" t="s">
        <v>1027</v>
      </c>
      <c r="B873" s="5" t="s">
        <v>133</v>
      </c>
      <c r="C873" s="6">
        <v>45994.729166666657</v>
      </c>
      <c r="D873" s="7">
        <v>411</v>
      </c>
      <c r="E873" s="8">
        <v>422.19</v>
      </c>
      <c r="F873" s="5" t="s">
        <v>159</v>
      </c>
      <c r="G873" s="8">
        <v>0.1</v>
      </c>
      <c r="H873" s="9">
        <v>173520.09</v>
      </c>
      <c r="I873" s="9">
        <v>1.7352008999999999</v>
      </c>
    </row>
    <row r="874" spans="1:9" x14ac:dyDescent="0.25">
      <c r="A874" s="5" t="s">
        <v>1028</v>
      </c>
      <c r="B874" s="5" t="s">
        <v>133</v>
      </c>
      <c r="C874" s="6">
        <v>45994.736111111109</v>
      </c>
      <c r="D874" s="7">
        <v>81</v>
      </c>
      <c r="E874" s="8">
        <v>421.62</v>
      </c>
      <c r="F874" s="5" t="s">
        <v>156</v>
      </c>
      <c r="G874" s="8">
        <v>0.15</v>
      </c>
      <c r="H874" s="9">
        <v>34151.22</v>
      </c>
      <c r="I874" s="9">
        <v>0.51226830000000001</v>
      </c>
    </row>
    <row r="875" spans="1:9" x14ac:dyDescent="0.25">
      <c r="A875" s="5" t="s">
        <v>1029</v>
      </c>
      <c r="B875" s="5" t="s">
        <v>133</v>
      </c>
      <c r="C875" s="6">
        <v>45994.739583333343</v>
      </c>
      <c r="D875" s="7">
        <v>268</v>
      </c>
      <c r="E875" s="8">
        <v>421.88</v>
      </c>
      <c r="F875" s="5" t="s">
        <v>159</v>
      </c>
      <c r="G875" s="8">
        <v>0.1</v>
      </c>
      <c r="H875" s="9">
        <v>113063.84</v>
      </c>
      <c r="I875" s="9">
        <v>1.1306384</v>
      </c>
    </row>
    <row r="876" spans="1:9" x14ac:dyDescent="0.25">
      <c r="A876" s="5" t="s">
        <v>1030</v>
      </c>
      <c r="B876" s="5" t="s">
        <v>133</v>
      </c>
      <c r="C876" s="6">
        <v>45994.743055555547</v>
      </c>
      <c r="D876" s="7">
        <v>411</v>
      </c>
      <c r="E876" s="8">
        <v>422.61</v>
      </c>
      <c r="F876" s="5" t="s">
        <v>159</v>
      </c>
      <c r="G876" s="8">
        <v>0.1</v>
      </c>
      <c r="H876" s="9">
        <v>173692.71</v>
      </c>
      <c r="I876" s="9">
        <v>1.7369270999999999</v>
      </c>
    </row>
    <row r="877" spans="1:9" x14ac:dyDescent="0.25">
      <c r="A877" s="5" t="s">
        <v>1031</v>
      </c>
      <c r="B877" s="5" t="s">
        <v>133</v>
      </c>
      <c r="C877" s="6">
        <v>45994.746527777781</v>
      </c>
      <c r="D877" s="7">
        <v>723</v>
      </c>
      <c r="E877" s="8">
        <v>422.28</v>
      </c>
      <c r="F877" s="5" t="s">
        <v>154</v>
      </c>
      <c r="G877" s="8">
        <v>0.05</v>
      </c>
      <c r="H877" s="9">
        <v>305308.44</v>
      </c>
      <c r="I877" s="9">
        <v>1.5265422</v>
      </c>
    </row>
    <row r="878" spans="1:9" x14ac:dyDescent="0.25">
      <c r="A878" s="5" t="s">
        <v>1032</v>
      </c>
      <c r="B878" s="5" t="s">
        <v>133</v>
      </c>
      <c r="C878" s="6">
        <v>45994.75</v>
      </c>
      <c r="D878" s="7">
        <v>541</v>
      </c>
      <c r="E878" s="8">
        <v>422.16</v>
      </c>
      <c r="F878" s="5" t="s">
        <v>159</v>
      </c>
      <c r="G878" s="8">
        <v>0.1</v>
      </c>
      <c r="H878" s="9">
        <v>228388.56</v>
      </c>
      <c r="I878" s="9">
        <v>2.283885600000001</v>
      </c>
    </row>
    <row r="879" spans="1:9" x14ac:dyDescent="0.25">
      <c r="A879" s="5" t="s">
        <v>1033</v>
      </c>
      <c r="B879" s="5" t="s">
        <v>133</v>
      </c>
      <c r="C879" s="6">
        <v>45994.753472222219</v>
      </c>
      <c r="D879" s="7">
        <v>1146</v>
      </c>
      <c r="E879" s="8">
        <v>422.68</v>
      </c>
      <c r="F879" s="5" t="s">
        <v>159</v>
      </c>
      <c r="G879" s="8">
        <v>0.1</v>
      </c>
      <c r="H879" s="9">
        <v>484391.28</v>
      </c>
      <c r="I879" s="9">
        <v>4.8439128</v>
      </c>
    </row>
    <row r="880" spans="1:9" x14ac:dyDescent="0.25">
      <c r="A880" s="5" t="s">
        <v>1034</v>
      </c>
      <c r="B880" s="5" t="s">
        <v>134</v>
      </c>
      <c r="C880" s="6">
        <v>45993.611111111109</v>
      </c>
      <c r="D880" s="7">
        <v>685</v>
      </c>
      <c r="E880" s="8">
        <v>243.02</v>
      </c>
      <c r="F880" s="5" t="s">
        <v>154</v>
      </c>
      <c r="G880" s="8">
        <v>0.05</v>
      </c>
      <c r="H880" s="9">
        <v>166468.70000000001</v>
      </c>
      <c r="I880" s="9">
        <v>0.83234350000000012</v>
      </c>
    </row>
    <row r="881" spans="1:9" x14ac:dyDescent="0.25">
      <c r="A881" s="5" t="s">
        <v>1035</v>
      </c>
      <c r="B881" s="5" t="s">
        <v>134</v>
      </c>
      <c r="C881" s="6">
        <v>45993.621527777781</v>
      </c>
      <c r="D881" s="7">
        <v>77</v>
      </c>
      <c r="E881" s="8">
        <v>243.14</v>
      </c>
      <c r="F881" s="5" t="s">
        <v>156</v>
      </c>
      <c r="G881" s="8">
        <v>0.15</v>
      </c>
      <c r="H881" s="9">
        <v>18721.78</v>
      </c>
      <c r="I881" s="9">
        <v>0.28082669999999998</v>
      </c>
    </row>
    <row r="882" spans="1:9" x14ac:dyDescent="0.25">
      <c r="A882" s="5" t="s">
        <v>1036</v>
      </c>
      <c r="B882" s="5" t="s">
        <v>134</v>
      </c>
      <c r="C882" s="6">
        <v>45993.625</v>
      </c>
      <c r="D882" s="7">
        <v>489</v>
      </c>
      <c r="E882" s="8">
        <v>242.77</v>
      </c>
      <c r="F882" s="5" t="s">
        <v>156</v>
      </c>
      <c r="G882" s="8">
        <v>0.15</v>
      </c>
      <c r="H882" s="9">
        <v>118714.53</v>
      </c>
      <c r="I882" s="9">
        <v>1.7807179500000001</v>
      </c>
    </row>
    <row r="883" spans="1:9" x14ac:dyDescent="0.25">
      <c r="A883" s="5" t="s">
        <v>1037</v>
      </c>
      <c r="B883" s="5" t="s">
        <v>134</v>
      </c>
      <c r="C883" s="6">
        <v>45993.628472222219</v>
      </c>
      <c r="D883" s="7">
        <v>311</v>
      </c>
      <c r="E883" s="8">
        <v>242.75</v>
      </c>
      <c r="F883" s="5" t="s">
        <v>156</v>
      </c>
      <c r="G883" s="8">
        <v>0.15</v>
      </c>
      <c r="H883" s="9">
        <v>75495.25</v>
      </c>
      <c r="I883" s="9">
        <v>1.1324287500000001</v>
      </c>
    </row>
    <row r="884" spans="1:9" x14ac:dyDescent="0.25">
      <c r="A884" s="5" t="s">
        <v>1038</v>
      </c>
      <c r="B884" s="5" t="s">
        <v>134</v>
      </c>
      <c r="C884" s="6">
        <v>45993.635416666657</v>
      </c>
      <c r="D884" s="7">
        <v>4330</v>
      </c>
      <c r="E884" s="8">
        <v>242.35</v>
      </c>
      <c r="F884" s="5" t="s">
        <v>156</v>
      </c>
      <c r="G884" s="8">
        <v>0.15</v>
      </c>
      <c r="H884" s="9">
        <v>1049375.5</v>
      </c>
      <c r="I884" s="9">
        <v>15.7406325</v>
      </c>
    </row>
    <row r="885" spans="1:9" x14ac:dyDescent="0.25">
      <c r="A885" s="5" t="s">
        <v>1039</v>
      </c>
      <c r="B885" s="5" t="s">
        <v>134</v>
      </c>
      <c r="C885" s="6">
        <v>45993.652777777781</v>
      </c>
      <c r="D885" s="7">
        <v>1765</v>
      </c>
      <c r="E885" s="8">
        <v>242.28</v>
      </c>
      <c r="F885" s="5" t="s">
        <v>156</v>
      </c>
      <c r="G885" s="8">
        <v>0.15</v>
      </c>
      <c r="H885" s="9">
        <v>427624.2</v>
      </c>
      <c r="I885" s="9">
        <v>6.4143629999999998</v>
      </c>
    </row>
    <row r="886" spans="1:9" x14ac:dyDescent="0.25">
      <c r="A886" s="5" t="s">
        <v>1040</v>
      </c>
      <c r="B886" s="5" t="s">
        <v>134</v>
      </c>
      <c r="C886" s="6">
        <v>45993.659722222219</v>
      </c>
      <c r="D886" s="7">
        <v>1642</v>
      </c>
      <c r="E886" s="8">
        <v>242.06</v>
      </c>
      <c r="F886" s="5" t="s">
        <v>156</v>
      </c>
      <c r="G886" s="8">
        <v>0.15</v>
      </c>
      <c r="H886" s="9">
        <v>397462.52</v>
      </c>
      <c r="I886" s="9">
        <v>5.9619377999999994</v>
      </c>
    </row>
    <row r="887" spans="1:9" x14ac:dyDescent="0.25">
      <c r="A887" s="5" t="s">
        <v>1041</v>
      </c>
      <c r="B887" s="5" t="s">
        <v>134</v>
      </c>
      <c r="C887" s="6">
        <v>45993.663194444453</v>
      </c>
      <c r="D887" s="7">
        <v>1761</v>
      </c>
      <c r="E887" s="8">
        <v>242.52</v>
      </c>
      <c r="F887" s="5" t="s">
        <v>156</v>
      </c>
      <c r="G887" s="8">
        <v>0.15</v>
      </c>
      <c r="H887" s="9">
        <v>427077.72</v>
      </c>
      <c r="I887" s="9">
        <v>6.4061658000000001</v>
      </c>
    </row>
    <row r="888" spans="1:9" x14ac:dyDescent="0.25">
      <c r="A888" s="5" t="s">
        <v>1042</v>
      </c>
      <c r="B888" s="5" t="s">
        <v>134</v>
      </c>
      <c r="C888" s="6">
        <v>45993.666666666657</v>
      </c>
      <c r="D888" s="7">
        <v>754</v>
      </c>
      <c r="E888" s="8">
        <v>242.36</v>
      </c>
      <c r="F888" s="5" t="s">
        <v>156</v>
      </c>
      <c r="G888" s="8">
        <v>0.15</v>
      </c>
      <c r="H888" s="9">
        <v>182739.44</v>
      </c>
      <c r="I888" s="9">
        <v>2.7410915999999999</v>
      </c>
    </row>
    <row r="889" spans="1:9" x14ac:dyDescent="0.25">
      <c r="A889" s="5" t="s">
        <v>1043</v>
      </c>
      <c r="B889" s="5" t="s">
        <v>134</v>
      </c>
      <c r="C889" s="6">
        <v>45993.680555555547</v>
      </c>
      <c r="D889" s="7">
        <v>197</v>
      </c>
      <c r="E889" s="8">
        <v>242.96</v>
      </c>
      <c r="F889" s="5" t="s">
        <v>156</v>
      </c>
      <c r="G889" s="8">
        <v>0.15</v>
      </c>
      <c r="H889" s="9">
        <v>47863.12</v>
      </c>
      <c r="I889" s="9">
        <v>0.7179468</v>
      </c>
    </row>
    <row r="890" spans="1:9" x14ac:dyDescent="0.25">
      <c r="A890" s="5" t="s">
        <v>1044</v>
      </c>
      <c r="B890" s="5" t="s">
        <v>134</v>
      </c>
      <c r="C890" s="6">
        <v>45993.684027777781</v>
      </c>
      <c r="D890" s="7">
        <v>40</v>
      </c>
      <c r="E890" s="8">
        <v>243.24</v>
      </c>
      <c r="F890" s="5" t="s">
        <v>159</v>
      </c>
      <c r="G890" s="8">
        <v>0.1</v>
      </c>
      <c r="H890" s="9">
        <v>9729.6</v>
      </c>
      <c r="I890" s="9">
        <v>9.7296000000000007E-2</v>
      </c>
    </row>
    <row r="891" spans="1:9" x14ac:dyDescent="0.25">
      <c r="A891" s="5" t="s">
        <v>1045</v>
      </c>
      <c r="B891" s="5" t="s">
        <v>134</v>
      </c>
      <c r="C891" s="6">
        <v>45993.690972222219</v>
      </c>
      <c r="D891" s="7">
        <v>707</v>
      </c>
      <c r="E891" s="8">
        <v>243.35</v>
      </c>
      <c r="F891" s="5" t="s">
        <v>156</v>
      </c>
      <c r="G891" s="8">
        <v>0.15</v>
      </c>
      <c r="H891" s="9">
        <v>172048.45</v>
      </c>
      <c r="I891" s="9">
        <v>2.5807267500000002</v>
      </c>
    </row>
    <row r="892" spans="1:9" x14ac:dyDescent="0.25">
      <c r="A892" s="5" t="s">
        <v>1046</v>
      </c>
      <c r="B892" s="5" t="s">
        <v>134</v>
      </c>
      <c r="C892" s="6">
        <v>45993.704861111109</v>
      </c>
      <c r="D892" s="7">
        <v>2495</v>
      </c>
      <c r="E892" s="8">
        <v>243.43</v>
      </c>
      <c r="F892" s="5" t="s">
        <v>156</v>
      </c>
      <c r="G892" s="8">
        <v>0.15</v>
      </c>
      <c r="H892" s="9">
        <v>607357.85</v>
      </c>
      <c r="I892" s="9">
        <v>9.1103677499999982</v>
      </c>
    </row>
    <row r="893" spans="1:9" x14ac:dyDescent="0.25">
      <c r="A893" s="5" t="s">
        <v>1047</v>
      </c>
      <c r="B893" s="5" t="s">
        <v>135</v>
      </c>
      <c r="C893" s="6">
        <v>45993.6875</v>
      </c>
      <c r="D893" s="7">
        <v>441</v>
      </c>
      <c r="E893" s="8">
        <v>243.69</v>
      </c>
      <c r="F893" s="5" t="s">
        <v>156</v>
      </c>
      <c r="G893" s="8">
        <v>0.15</v>
      </c>
      <c r="H893" s="9">
        <v>107467.29</v>
      </c>
      <c r="I893" s="9">
        <v>1.6120093499999999</v>
      </c>
    </row>
    <row r="894" spans="1:9" x14ac:dyDescent="0.25">
      <c r="A894" s="5" t="s">
        <v>1048</v>
      </c>
      <c r="B894" s="5" t="s">
        <v>135</v>
      </c>
      <c r="C894" s="6">
        <v>45993.694444444453</v>
      </c>
      <c r="D894" s="7">
        <v>258</v>
      </c>
      <c r="E894" s="8">
        <v>243.57</v>
      </c>
      <c r="F894" s="5" t="s">
        <v>154</v>
      </c>
      <c r="G894" s="8">
        <v>0.05</v>
      </c>
      <c r="H894" s="9">
        <v>62841.06</v>
      </c>
      <c r="I894" s="9">
        <v>0.31420530000000002</v>
      </c>
    </row>
    <row r="895" spans="1:9" x14ac:dyDescent="0.25">
      <c r="A895" s="5" t="s">
        <v>1049</v>
      </c>
      <c r="B895" s="5" t="s">
        <v>135</v>
      </c>
      <c r="C895" s="6">
        <v>45993.704861111109</v>
      </c>
      <c r="D895" s="7">
        <v>77</v>
      </c>
      <c r="E895" s="8">
        <v>243.6</v>
      </c>
      <c r="F895" s="5" t="s">
        <v>159</v>
      </c>
      <c r="G895" s="8">
        <v>0.1</v>
      </c>
      <c r="H895" s="9">
        <v>18757.2</v>
      </c>
      <c r="I895" s="9">
        <v>0.18757199999999999</v>
      </c>
    </row>
    <row r="896" spans="1:9" x14ac:dyDescent="0.25">
      <c r="A896" s="5" t="s">
        <v>1050</v>
      </c>
      <c r="B896" s="5" t="s">
        <v>135</v>
      </c>
      <c r="C896" s="6">
        <v>45993.711805555547</v>
      </c>
      <c r="D896" s="7">
        <v>1568</v>
      </c>
      <c r="E896" s="8">
        <v>244.15</v>
      </c>
      <c r="F896" s="5" t="s">
        <v>156</v>
      </c>
      <c r="G896" s="8">
        <v>0.15</v>
      </c>
      <c r="H896" s="9">
        <v>382827.2</v>
      </c>
      <c r="I896" s="9">
        <v>5.7424080000000002</v>
      </c>
    </row>
    <row r="897" spans="1:9" x14ac:dyDescent="0.25">
      <c r="A897" s="5" t="s">
        <v>1051</v>
      </c>
      <c r="B897" s="5" t="s">
        <v>135</v>
      </c>
      <c r="C897" s="6">
        <v>45993.715277777781</v>
      </c>
      <c r="D897" s="7">
        <v>1689</v>
      </c>
      <c r="E897" s="8">
        <v>244.23</v>
      </c>
      <c r="F897" s="5" t="s">
        <v>159</v>
      </c>
      <c r="G897" s="8">
        <v>0.1</v>
      </c>
      <c r="H897" s="9">
        <v>412504.47</v>
      </c>
      <c r="I897" s="9">
        <v>4.1250447000000001</v>
      </c>
    </row>
    <row r="898" spans="1:9" x14ac:dyDescent="0.25">
      <c r="A898" s="5" t="s">
        <v>1052</v>
      </c>
      <c r="B898" s="5" t="s">
        <v>135</v>
      </c>
      <c r="C898" s="6">
        <v>45993.725694444453</v>
      </c>
      <c r="D898" s="7">
        <v>1525</v>
      </c>
      <c r="E898" s="8">
        <v>244.49</v>
      </c>
      <c r="F898" s="5" t="s">
        <v>156</v>
      </c>
      <c r="G898" s="8">
        <v>0.15</v>
      </c>
      <c r="H898" s="9">
        <v>372847.25</v>
      </c>
      <c r="I898" s="9">
        <v>5.5927087499999999</v>
      </c>
    </row>
    <row r="899" spans="1:9" x14ac:dyDescent="0.25">
      <c r="A899" s="5" t="s">
        <v>1053</v>
      </c>
      <c r="B899" s="5" t="s">
        <v>136</v>
      </c>
      <c r="C899" s="6">
        <v>45994.645833333343</v>
      </c>
      <c r="D899" s="7">
        <v>87</v>
      </c>
      <c r="E899" s="8">
        <v>245.26</v>
      </c>
      <c r="F899" s="5" t="s">
        <v>156</v>
      </c>
      <c r="G899" s="8">
        <v>0.15</v>
      </c>
      <c r="H899" s="9">
        <v>21337.62</v>
      </c>
      <c r="I899" s="9">
        <v>0.32006430000000002</v>
      </c>
    </row>
    <row r="900" spans="1:9" x14ac:dyDescent="0.25">
      <c r="A900" s="5" t="s">
        <v>1054</v>
      </c>
      <c r="B900" s="5" t="s">
        <v>136</v>
      </c>
      <c r="C900" s="6">
        <v>45994.649305555547</v>
      </c>
      <c r="D900" s="7">
        <v>1440</v>
      </c>
      <c r="E900" s="8">
        <v>245.53</v>
      </c>
      <c r="F900" s="5" t="s">
        <v>156</v>
      </c>
      <c r="G900" s="8">
        <v>0.15</v>
      </c>
      <c r="H900" s="9">
        <v>353563.2</v>
      </c>
      <c r="I900" s="9">
        <v>5.3034480000000004</v>
      </c>
    </row>
    <row r="901" spans="1:9" x14ac:dyDescent="0.25">
      <c r="A901" s="5" t="s">
        <v>1055</v>
      </c>
      <c r="B901" s="5" t="s">
        <v>136</v>
      </c>
      <c r="C901" s="6">
        <v>45994.652777777781</v>
      </c>
      <c r="D901" s="7">
        <v>1492</v>
      </c>
      <c r="E901" s="8">
        <v>245.47</v>
      </c>
      <c r="F901" s="5" t="s">
        <v>156</v>
      </c>
      <c r="G901" s="8">
        <v>0.15</v>
      </c>
      <c r="H901" s="9">
        <v>366241.24</v>
      </c>
      <c r="I901" s="9">
        <v>5.4936185999999996</v>
      </c>
    </row>
    <row r="902" spans="1:9" x14ac:dyDescent="0.25">
      <c r="A902" s="5" t="s">
        <v>1056</v>
      </c>
      <c r="B902" s="5" t="s">
        <v>136</v>
      </c>
      <c r="C902" s="6">
        <v>45994.673611111109</v>
      </c>
      <c r="D902" s="7">
        <v>395</v>
      </c>
      <c r="E902" s="8">
        <v>244.43</v>
      </c>
      <c r="F902" s="5" t="s">
        <v>156</v>
      </c>
      <c r="G902" s="8">
        <v>0.15</v>
      </c>
      <c r="H902" s="9">
        <v>96549.85</v>
      </c>
      <c r="I902" s="9">
        <v>1.4482477499999999</v>
      </c>
    </row>
    <row r="903" spans="1:9" x14ac:dyDescent="0.25">
      <c r="A903" s="5" t="s">
        <v>1057</v>
      </c>
      <c r="B903" s="5" t="s">
        <v>136</v>
      </c>
      <c r="C903" s="6">
        <v>45994.680555555547</v>
      </c>
      <c r="D903" s="7">
        <v>419</v>
      </c>
      <c r="E903" s="8">
        <v>244.09</v>
      </c>
      <c r="F903" s="5" t="s">
        <v>156</v>
      </c>
      <c r="G903" s="8">
        <v>0.15</v>
      </c>
      <c r="H903" s="9">
        <v>102273.71</v>
      </c>
      <c r="I903" s="9">
        <v>1.5341056500000001</v>
      </c>
    </row>
    <row r="904" spans="1:9" x14ac:dyDescent="0.25">
      <c r="A904" s="5" t="s">
        <v>1058</v>
      </c>
      <c r="B904" s="5" t="s">
        <v>136</v>
      </c>
      <c r="C904" s="6">
        <v>45994.697916666657</v>
      </c>
      <c r="D904" s="7">
        <v>224</v>
      </c>
      <c r="E904" s="8">
        <v>244.54</v>
      </c>
      <c r="F904" s="5" t="s">
        <v>156</v>
      </c>
      <c r="G904" s="8">
        <v>0.15</v>
      </c>
      <c r="H904" s="9">
        <v>54776.959999999999</v>
      </c>
      <c r="I904" s="9">
        <v>0.82165440000000001</v>
      </c>
    </row>
    <row r="905" spans="1:9" x14ac:dyDescent="0.25">
      <c r="A905" s="5" t="s">
        <v>1059</v>
      </c>
      <c r="B905" s="5" t="s">
        <v>136</v>
      </c>
      <c r="C905" s="6">
        <v>45994.704861111109</v>
      </c>
      <c r="D905" s="7">
        <v>70</v>
      </c>
      <c r="E905" s="8">
        <v>244.41</v>
      </c>
      <c r="F905" s="5" t="s">
        <v>159</v>
      </c>
      <c r="G905" s="8">
        <v>0.1</v>
      </c>
      <c r="H905" s="9">
        <v>17108.7</v>
      </c>
      <c r="I905" s="9">
        <v>0.17108699999999999</v>
      </c>
    </row>
    <row r="906" spans="1:9" x14ac:dyDescent="0.25">
      <c r="A906" s="5" t="s">
        <v>1060</v>
      </c>
      <c r="B906" s="5" t="s">
        <v>136</v>
      </c>
      <c r="C906" s="6">
        <v>45994.715277777781</v>
      </c>
      <c r="D906" s="7">
        <v>285</v>
      </c>
      <c r="E906" s="8">
        <v>245.37</v>
      </c>
      <c r="F906" s="5" t="s">
        <v>156</v>
      </c>
      <c r="G906" s="8">
        <v>0.15</v>
      </c>
      <c r="H906" s="9">
        <v>69930.45</v>
      </c>
      <c r="I906" s="9">
        <v>1.0489567500000001</v>
      </c>
    </row>
    <row r="907" spans="1:9" x14ac:dyDescent="0.25">
      <c r="A907" s="5" t="s">
        <v>1061</v>
      </c>
      <c r="B907" s="5" t="s">
        <v>136</v>
      </c>
      <c r="C907" s="6">
        <v>45994.71875</v>
      </c>
      <c r="D907" s="7">
        <v>2349</v>
      </c>
      <c r="E907" s="8">
        <v>245.97</v>
      </c>
      <c r="F907" s="5" t="s">
        <v>156</v>
      </c>
      <c r="G907" s="8">
        <v>0.15</v>
      </c>
      <c r="H907" s="9">
        <v>577783.53</v>
      </c>
      <c r="I907" s="9">
        <v>8.6667529500000011</v>
      </c>
    </row>
    <row r="908" spans="1:9" x14ac:dyDescent="0.25">
      <c r="A908" s="5" t="s">
        <v>1062</v>
      </c>
      <c r="B908" s="5" t="s">
        <v>137</v>
      </c>
      <c r="C908" s="6">
        <v>45995.697916666657</v>
      </c>
      <c r="D908" s="7">
        <v>823</v>
      </c>
      <c r="E908" s="8">
        <v>424.16</v>
      </c>
      <c r="F908" s="5" t="s">
        <v>156</v>
      </c>
      <c r="G908" s="8">
        <v>0.15</v>
      </c>
      <c r="H908" s="9">
        <v>349083.68</v>
      </c>
      <c r="I908" s="9">
        <v>5.2362552000000004</v>
      </c>
    </row>
    <row r="909" spans="1:9" x14ac:dyDescent="0.25">
      <c r="A909" s="5" t="s">
        <v>1063</v>
      </c>
      <c r="B909" s="5" t="s">
        <v>137</v>
      </c>
      <c r="C909" s="6">
        <v>45995.708333333343</v>
      </c>
      <c r="D909" s="7">
        <v>115</v>
      </c>
      <c r="E909" s="8">
        <v>423.83</v>
      </c>
      <c r="F909" s="5" t="s">
        <v>154</v>
      </c>
      <c r="G909" s="8">
        <v>0.05</v>
      </c>
      <c r="H909" s="9">
        <v>48740.45</v>
      </c>
      <c r="I909" s="9">
        <v>0.24370225000000001</v>
      </c>
    </row>
    <row r="910" spans="1:9" x14ac:dyDescent="0.25">
      <c r="A910" s="5" t="s">
        <v>1064</v>
      </c>
      <c r="B910" s="5" t="s">
        <v>137</v>
      </c>
      <c r="C910" s="6">
        <v>45995.722222222219</v>
      </c>
      <c r="D910" s="7">
        <v>5315</v>
      </c>
      <c r="E910" s="8">
        <v>424.53</v>
      </c>
      <c r="F910" s="5" t="s">
        <v>156</v>
      </c>
      <c r="G910" s="8">
        <v>0.15</v>
      </c>
      <c r="H910" s="9">
        <v>2256376.9500000002</v>
      </c>
      <c r="I910" s="9">
        <v>33.845654250000003</v>
      </c>
    </row>
    <row r="911" spans="1:9" x14ac:dyDescent="0.25">
      <c r="A911" s="5" t="s">
        <v>1065</v>
      </c>
      <c r="B911" s="5" t="s">
        <v>137</v>
      </c>
      <c r="C911" s="6">
        <v>45995.729166666657</v>
      </c>
      <c r="D911" s="7">
        <v>2197</v>
      </c>
      <c r="E911" s="8">
        <v>424.22</v>
      </c>
      <c r="F911" s="5" t="s">
        <v>159</v>
      </c>
      <c r="G911" s="8">
        <v>0.1</v>
      </c>
      <c r="H911" s="9">
        <v>932011.34000000008</v>
      </c>
      <c r="I911" s="9">
        <v>9.3201134000000021</v>
      </c>
    </row>
    <row r="912" spans="1:9" x14ac:dyDescent="0.25">
      <c r="A912" s="5" t="s">
        <v>1066</v>
      </c>
      <c r="B912" s="5" t="s">
        <v>137</v>
      </c>
      <c r="C912" s="6">
        <v>45995.739583333343</v>
      </c>
      <c r="D912" s="7">
        <v>530</v>
      </c>
      <c r="E912" s="8">
        <v>423.81</v>
      </c>
      <c r="F912" s="5" t="s">
        <v>156</v>
      </c>
      <c r="G912" s="8">
        <v>0.15</v>
      </c>
      <c r="H912" s="9">
        <v>224619.3</v>
      </c>
      <c r="I912" s="9">
        <v>3.3692894999999998</v>
      </c>
    </row>
    <row r="913" spans="1:9" x14ac:dyDescent="0.25">
      <c r="A913" s="5" t="s">
        <v>1067</v>
      </c>
      <c r="B913" s="5" t="s">
        <v>137</v>
      </c>
      <c r="C913" s="6">
        <v>45995.75</v>
      </c>
      <c r="D913" s="7">
        <v>1411</v>
      </c>
      <c r="E913" s="8">
        <v>424.34</v>
      </c>
      <c r="F913" s="5" t="s">
        <v>159</v>
      </c>
      <c r="G913" s="8">
        <v>0.1</v>
      </c>
      <c r="H913" s="9">
        <v>598743.74</v>
      </c>
      <c r="I913" s="9">
        <v>5.9874374000000001</v>
      </c>
    </row>
    <row r="914" spans="1:9" x14ac:dyDescent="0.25">
      <c r="A914" s="5" t="s">
        <v>1068</v>
      </c>
      <c r="B914" s="5" t="s">
        <v>137</v>
      </c>
      <c r="C914" s="6">
        <v>45995.753472222219</v>
      </c>
      <c r="D914" s="7">
        <v>1221</v>
      </c>
      <c r="E914" s="8">
        <v>423.72</v>
      </c>
      <c r="F914" s="5" t="s">
        <v>156</v>
      </c>
      <c r="G914" s="8">
        <v>0.15</v>
      </c>
      <c r="H914" s="9">
        <v>517362.12000000011</v>
      </c>
      <c r="I914" s="9">
        <v>7.7604318000000001</v>
      </c>
    </row>
    <row r="915" spans="1:9" x14ac:dyDescent="0.25">
      <c r="A915" s="5" t="s">
        <v>1069</v>
      </c>
      <c r="B915" s="5" t="s">
        <v>137</v>
      </c>
      <c r="C915" s="6">
        <v>45995.78125</v>
      </c>
      <c r="D915" s="7">
        <v>1855</v>
      </c>
      <c r="E915" s="8">
        <v>423.35</v>
      </c>
      <c r="F915" s="5" t="s">
        <v>159</v>
      </c>
      <c r="G915" s="8">
        <v>0.1</v>
      </c>
      <c r="H915" s="9">
        <v>785314.25</v>
      </c>
      <c r="I915" s="9">
        <v>7.8531425000000006</v>
      </c>
    </row>
    <row r="916" spans="1:9" x14ac:dyDescent="0.25">
      <c r="A916" s="5" t="s">
        <v>1070</v>
      </c>
      <c r="B916" s="5" t="s">
        <v>138</v>
      </c>
      <c r="C916" s="6">
        <v>45993.611111111109</v>
      </c>
      <c r="D916" s="7">
        <v>692</v>
      </c>
      <c r="E916" s="8">
        <v>194.41</v>
      </c>
      <c r="F916" s="5" t="s">
        <v>154</v>
      </c>
      <c r="G916" s="8">
        <v>0.05</v>
      </c>
      <c r="H916" s="9">
        <v>134531.72</v>
      </c>
      <c r="I916" s="9">
        <v>0.6726586</v>
      </c>
    </row>
    <row r="917" spans="1:9" x14ac:dyDescent="0.25">
      <c r="A917" s="5" t="s">
        <v>1071</v>
      </c>
      <c r="B917" s="5" t="s">
        <v>138</v>
      </c>
      <c r="C917" s="6">
        <v>45993.614583333343</v>
      </c>
      <c r="D917" s="7">
        <v>871</v>
      </c>
      <c r="E917" s="8">
        <v>194.57</v>
      </c>
      <c r="F917" s="5" t="s">
        <v>159</v>
      </c>
      <c r="G917" s="8">
        <v>0.1</v>
      </c>
      <c r="H917" s="9">
        <v>169470.47</v>
      </c>
      <c r="I917" s="9">
        <v>1.6947047</v>
      </c>
    </row>
    <row r="918" spans="1:9" x14ac:dyDescent="0.25">
      <c r="A918" s="5" t="s">
        <v>1072</v>
      </c>
      <c r="B918" s="5" t="s">
        <v>138</v>
      </c>
      <c r="C918" s="6">
        <v>45993.625</v>
      </c>
      <c r="D918" s="7">
        <v>238</v>
      </c>
      <c r="E918" s="8">
        <v>194.5</v>
      </c>
      <c r="F918" s="5" t="s">
        <v>156</v>
      </c>
      <c r="G918" s="8">
        <v>0.15</v>
      </c>
      <c r="H918" s="9">
        <v>46291</v>
      </c>
      <c r="I918" s="9">
        <v>0.69436500000000001</v>
      </c>
    </row>
    <row r="919" spans="1:9" x14ac:dyDescent="0.25">
      <c r="A919" s="5" t="s">
        <v>1073</v>
      </c>
      <c r="B919" s="5" t="s">
        <v>138</v>
      </c>
      <c r="C919" s="6">
        <v>45993.628472222219</v>
      </c>
      <c r="D919" s="7">
        <v>1975</v>
      </c>
      <c r="E919" s="8">
        <v>194.33</v>
      </c>
      <c r="F919" s="5" t="s">
        <v>156</v>
      </c>
      <c r="G919" s="8">
        <v>0.15</v>
      </c>
      <c r="H919" s="9">
        <v>383801.75</v>
      </c>
      <c r="I919" s="9">
        <v>5.75702625</v>
      </c>
    </row>
    <row r="920" spans="1:9" x14ac:dyDescent="0.25">
      <c r="A920" s="5" t="s">
        <v>1074</v>
      </c>
      <c r="B920" s="5" t="s">
        <v>138</v>
      </c>
      <c r="C920" s="6">
        <v>45993.631944444453</v>
      </c>
      <c r="D920" s="7">
        <v>1327</v>
      </c>
      <c r="E920" s="8">
        <v>194.21</v>
      </c>
      <c r="F920" s="5" t="s">
        <v>156</v>
      </c>
      <c r="G920" s="8">
        <v>0.15</v>
      </c>
      <c r="H920" s="9">
        <v>257716.67</v>
      </c>
      <c r="I920" s="9">
        <v>3.8657500499999999</v>
      </c>
    </row>
    <row r="921" spans="1:9" x14ac:dyDescent="0.25">
      <c r="A921" s="5" t="s">
        <v>1075</v>
      </c>
      <c r="B921" s="5" t="s">
        <v>138</v>
      </c>
      <c r="C921" s="6">
        <v>45993.645833333343</v>
      </c>
      <c r="D921" s="7">
        <v>3039</v>
      </c>
      <c r="E921" s="8">
        <v>194.05</v>
      </c>
      <c r="F921" s="5" t="s">
        <v>156</v>
      </c>
      <c r="G921" s="8">
        <v>0.15</v>
      </c>
      <c r="H921" s="9">
        <v>589717.95000000007</v>
      </c>
      <c r="I921" s="9">
        <v>8.84576925</v>
      </c>
    </row>
    <row r="922" spans="1:9" x14ac:dyDescent="0.25">
      <c r="A922" s="5" t="s">
        <v>1076</v>
      </c>
      <c r="B922" s="5" t="s">
        <v>138</v>
      </c>
      <c r="C922" s="6">
        <v>45993.663194444453</v>
      </c>
      <c r="D922" s="7">
        <v>3261</v>
      </c>
      <c r="E922" s="8">
        <v>194.67</v>
      </c>
      <c r="F922" s="5" t="s">
        <v>159</v>
      </c>
      <c r="G922" s="8">
        <v>0.1</v>
      </c>
      <c r="H922" s="9">
        <v>634818.87</v>
      </c>
      <c r="I922" s="9">
        <v>6.3481887000000006</v>
      </c>
    </row>
    <row r="923" spans="1:9" x14ac:dyDescent="0.25">
      <c r="A923" s="5" t="s">
        <v>1077</v>
      </c>
      <c r="B923" s="5" t="s">
        <v>138</v>
      </c>
      <c r="C923" s="6">
        <v>45993.666666666657</v>
      </c>
      <c r="D923" s="7">
        <v>1559</v>
      </c>
      <c r="E923" s="8">
        <v>194.58</v>
      </c>
      <c r="F923" s="5" t="s">
        <v>159</v>
      </c>
      <c r="G923" s="8">
        <v>0.1</v>
      </c>
      <c r="H923" s="9">
        <v>303350.21999999997</v>
      </c>
      <c r="I923" s="9">
        <v>3.0335022</v>
      </c>
    </row>
    <row r="924" spans="1:9" x14ac:dyDescent="0.25">
      <c r="A924" s="5" t="s">
        <v>1078</v>
      </c>
      <c r="B924" s="5" t="s">
        <v>138</v>
      </c>
      <c r="C924" s="6">
        <v>45993.670138888891</v>
      </c>
      <c r="D924" s="7">
        <v>2450</v>
      </c>
      <c r="E924" s="8">
        <v>194.44</v>
      </c>
      <c r="F924" s="5" t="s">
        <v>156</v>
      </c>
      <c r="G924" s="8">
        <v>0.15</v>
      </c>
      <c r="H924" s="9">
        <v>476378</v>
      </c>
      <c r="I924" s="9">
        <v>7.14567</v>
      </c>
    </row>
    <row r="925" spans="1:9" x14ac:dyDescent="0.25">
      <c r="A925" s="5" t="s">
        <v>1079</v>
      </c>
      <c r="B925" s="5" t="s">
        <v>139</v>
      </c>
      <c r="C925" s="6">
        <v>45992.628472222219</v>
      </c>
      <c r="D925" s="7">
        <v>7049</v>
      </c>
      <c r="E925" s="8">
        <v>175.18</v>
      </c>
      <c r="F925" s="5" t="s">
        <v>156</v>
      </c>
      <c r="G925" s="8">
        <v>0.15</v>
      </c>
      <c r="H925" s="9">
        <v>1234843.82</v>
      </c>
      <c r="I925" s="9">
        <v>18.522657299999999</v>
      </c>
    </row>
    <row r="926" spans="1:9" x14ac:dyDescent="0.25">
      <c r="A926" s="5" t="s">
        <v>1080</v>
      </c>
      <c r="B926" s="5" t="s">
        <v>139</v>
      </c>
      <c r="C926" s="6">
        <v>45992.635416666657</v>
      </c>
      <c r="D926" s="7">
        <v>1026</v>
      </c>
      <c r="E926" s="8">
        <v>175.09</v>
      </c>
      <c r="F926" s="5" t="s">
        <v>156</v>
      </c>
      <c r="G926" s="8">
        <v>0.15</v>
      </c>
      <c r="H926" s="9">
        <v>179642.34</v>
      </c>
      <c r="I926" s="9">
        <v>2.6946351000000002</v>
      </c>
    </row>
    <row r="927" spans="1:9" x14ac:dyDescent="0.25">
      <c r="A927" s="5" t="s">
        <v>1081</v>
      </c>
      <c r="B927" s="5" t="s">
        <v>139</v>
      </c>
      <c r="C927" s="6">
        <v>45992.649305555547</v>
      </c>
      <c r="D927" s="7">
        <v>8806</v>
      </c>
      <c r="E927" s="8">
        <v>175.39</v>
      </c>
      <c r="F927" s="5" t="s">
        <v>156</v>
      </c>
      <c r="G927" s="8">
        <v>0.15</v>
      </c>
      <c r="H927" s="9">
        <v>1544484.34</v>
      </c>
      <c r="I927" s="9">
        <v>23.167265100000002</v>
      </c>
    </row>
    <row r="928" spans="1:9" x14ac:dyDescent="0.25">
      <c r="A928" s="5" t="s">
        <v>1082</v>
      </c>
      <c r="B928" s="5" t="s">
        <v>139</v>
      </c>
      <c r="C928" s="6">
        <v>45992.65625</v>
      </c>
      <c r="D928" s="7">
        <v>1817</v>
      </c>
      <c r="E928" s="8">
        <v>175.37</v>
      </c>
      <c r="F928" s="5" t="s">
        <v>156</v>
      </c>
      <c r="G928" s="8">
        <v>0.15</v>
      </c>
      <c r="H928" s="9">
        <v>318647.28999999998</v>
      </c>
      <c r="I928" s="9">
        <v>4.7797093500000001</v>
      </c>
    </row>
    <row r="929" spans="1:9" x14ac:dyDescent="0.25">
      <c r="A929" s="5" t="s">
        <v>1083</v>
      </c>
      <c r="B929" s="5" t="s">
        <v>139</v>
      </c>
      <c r="C929" s="6">
        <v>45992.673611111109</v>
      </c>
      <c r="D929" s="7">
        <v>4093</v>
      </c>
      <c r="E929" s="8">
        <v>175.33</v>
      </c>
      <c r="F929" s="5" t="s">
        <v>156</v>
      </c>
      <c r="G929" s="8">
        <v>0.15</v>
      </c>
      <c r="H929" s="9">
        <v>717625.69000000006</v>
      </c>
      <c r="I929" s="9">
        <v>10.76438535</v>
      </c>
    </row>
    <row r="930" spans="1:9" x14ac:dyDescent="0.25">
      <c r="A930" s="5" t="s">
        <v>1084</v>
      </c>
      <c r="B930" s="5" t="s">
        <v>140</v>
      </c>
      <c r="C930" s="6">
        <v>45992.652777777781</v>
      </c>
      <c r="D930" s="7">
        <v>279</v>
      </c>
      <c r="E930" s="8">
        <v>413.87</v>
      </c>
      <c r="F930" s="5" t="s">
        <v>159</v>
      </c>
      <c r="G930" s="8">
        <v>0.1</v>
      </c>
      <c r="H930" s="9">
        <v>115469.73</v>
      </c>
      <c r="I930" s="9">
        <v>1.1546973</v>
      </c>
    </row>
    <row r="931" spans="1:9" x14ac:dyDescent="0.25">
      <c r="A931" s="5" t="s">
        <v>1085</v>
      </c>
      <c r="B931" s="5" t="s">
        <v>140</v>
      </c>
      <c r="C931" s="6">
        <v>45992.663194444453</v>
      </c>
      <c r="D931" s="7">
        <v>1307</v>
      </c>
      <c r="E931" s="8">
        <v>414.46</v>
      </c>
      <c r="F931" s="5" t="s">
        <v>159</v>
      </c>
      <c r="G931" s="8">
        <v>0.1</v>
      </c>
      <c r="H931" s="9">
        <v>541699.22</v>
      </c>
      <c r="I931" s="9">
        <v>5.4169922000000001</v>
      </c>
    </row>
    <row r="932" spans="1:9" x14ac:dyDescent="0.25">
      <c r="A932" s="5" t="s">
        <v>1086</v>
      </c>
      <c r="B932" s="5" t="s">
        <v>140</v>
      </c>
      <c r="C932" s="6">
        <v>45992.666666666657</v>
      </c>
      <c r="D932" s="7">
        <v>209</v>
      </c>
      <c r="E932" s="8">
        <v>414.73</v>
      </c>
      <c r="F932" s="5" t="s">
        <v>156</v>
      </c>
      <c r="G932" s="8">
        <v>0.15</v>
      </c>
      <c r="H932" s="9">
        <v>86678.57</v>
      </c>
      <c r="I932" s="9">
        <v>1.30017855</v>
      </c>
    </row>
    <row r="933" spans="1:9" x14ac:dyDescent="0.25">
      <c r="A933" s="5" t="s">
        <v>1087</v>
      </c>
      <c r="B933" s="5" t="s">
        <v>140</v>
      </c>
      <c r="C933" s="6">
        <v>45992.673611111109</v>
      </c>
      <c r="D933" s="7">
        <v>542</v>
      </c>
      <c r="E933" s="8">
        <v>415.32</v>
      </c>
      <c r="F933" s="5" t="s">
        <v>156</v>
      </c>
      <c r="G933" s="8">
        <v>0.15</v>
      </c>
      <c r="H933" s="9">
        <v>225103.44</v>
      </c>
      <c r="I933" s="9">
        <v>3.3765516</v>
      </c>
    </row>
    <row r="934" spans="1:9" x14ac:dyDescent="0.25">
      <c r="A934" s="5" t="s">
        <v>1088</v>
      </c>
      <c r="B934" s="5" t="s">
        <v>140</v>
      </c>
      <c r="C934" s="6">
        <v>45992.677083333343</v>
      </c>
      <c r="D934" s="7">
        <v>2978</v>
      </c>
      <c r="E934" s="8">
        <v>414.57</v>
      </c>
      <c r="F934" s="5" t="s">
        <v>159</v>
      </c>
      <c r="G934" s="8">
        <v>0.1</v>
      </c>
      <c r="H934" s="9">
        <v>1234589.46</v>
      </c>
      <c r="I934" s="9">
        <v>12.345894599999999</v>
      </c>
    </row>
    <row r="935" spans="1:9" x14ac:dyDescent="0.25">
      <c r="A935" s="5" t="s">
        <v>1089</v>
      </c>
      <c r="B935" s="5" t="s">
        <v>140</v>
      </c>
      <c r="C935" s="6">
        <v>45992.680555555547</v>
      </c>
      <c r="D935" s="7">
        <v>373</v>
      </c>
      <c r="E935" s="8">
        <v>414.81</v>
      </c>
      <c r="F935" s="5" t="s">
        <v>156</v>
      </c>
      <c r="G935" s="8">
        <v>0.15</v>
      </c>
      <c r="H935" s="9">
        <v>154724.13</v>
      </c>
      <c r="I935" s="9">
        <v>2.3208619499999998</v>
      </c>
    </row>
    <row r="936" spans="1:9" x14ac:dyDescent="0.25">
      <c r="A936" s="5" t="s">
        <v>1090</v>
      </c>
      <c r="B936" s="5" t="s">
        <v>140</v>
      </c>
      <c r="C936" s="6">
        <v>45992.684027777781</v>
      </c>
      <c r="D936" s="7">
        <v>1622</v>
      </c>
      <c r="E936" s="8">
        <v>414.57</v>
      </c>
      <c r="F936" s="5" t="s">
        <v>159</v>
      </c>
      <c r="G936" s="8">
        <v>0.1</v>
      </c>
      <c r="H936" s="9">
        <v>672432.54</v>
      </c>
      <c r="I936" s="9">
        <v>6.7243253999999997</v>
      </c>
    </row>
    <row r="937" spans="1:9" x14ac:dyDescent="0.25">
      <c r="A937" s="5" t="s">
        <v>1091</v>
      </c>
      <c r="B937" s="5" t="s">
        <v>140</v>
      </c>
      <c r="C937" s="6">
        <v>45992.6875</v>
      </c>
      <c r="D937" s="7">
        <v>264</v>
      </c>
      <c r="E937" s="8">
        <v>415.26</v>
      </c>
      <c r="F937" s="5" t="s">
        <v>156</v>
      </c>
      <c r="G937" s="8">
        <v>0.15</v>
      </c>
      <c r="H937" s="9">
        <v>109628.64</v>
      </c>
      <c r="I937" s="9">
        <v>1.6444296</v>
      </c>
    </row>
    <row r="938" spans="1:9" x14ac:dyDescent="0.25">
      <c r="A938" s="5" t="s">
        <v>1092</v>
      </c>
      <c r="B938" s="5" t="s">
        <v>141</v>
      </c>
      <c r="C938" s="6">
        <v>45992.725694444453</v>
      </c>
      <c r="D938" s="7">
        <v>72</v>
      </c>
      <c r="E938" s="8">
        <v>174.75</v>
      </c>
      <c r="F938" s="5" t="s">
        <v>159</v>
      </c>
      <c r="G938" s="8">
        <v>0.1</v>
      </c>
      <c r="H938" s="9">
        <v>12582</v>
      </c>
      <c r="I938" s="9">
        <v>0.12581999999999999</v>
      </c>
    </row>
    <row r="939" spans="1:9" x14ac:dyDescent="0.25">
      <c r="A939" s="5" t="s">
        <v>1093</v>
      </c>
      <c r="B939" s="5" t="s">
        <v>141</v>
      </c>
      <c r="C939" s="6">
        <v>45992.729166666657</v>
      </c>
      <c r="D939" s="7">
        <v>194</v>
      </c>
      <c r="E939" s="8">
        <v>174.75</v>
      </c>
      <c r="F939" s="5" t="s">
        <v>154</v>
      </c>
      <c r="G939" s="8">
        <v>0.05</v>
      </c>
      <c r="H939" s="9">
        <v>33901.5</v>
      </c>
      <c r="I939" s="9">
        <v>0.16950750000000001</v>
      </c>
    </row>
    <row r="940" spans="1:9" x14ac:dyDescent="0.25">
      <c r="A940" s="5" t="s">
        <v>1094</v>
      </c>
      <c r="B940" s="5" t="s">
        <v>141</v>
      </c>
      <c r="C940" s="6">
        <v>45992.732638888891</v>
      </c>
      <c r="D940" s="7">
        <v>62</v>
      </c>
      <c r="E940" s="8">
        <v>174.7</v>
      </c>
      <c r="F940" s="5" t="s">
        <v>159</v>
      </c>
      <c r="G940" s="8">
        <v>0.1</v>
      </c>
      <c r="H940" s="9">
        <v>10831.4</v>
      </c>
      <c r="I940" s="9">
        <v>0.10831399999999999</v>
      </c>
    </row>
    <row r="941" spans="1:9" x14ac:dyDescent="0.25">
      <c r="A941" s="5" t="s">
        <v>1095</v>
      </c>
      <c r="B941" s="5" t="s">
        <v>141</v>
      </c>
      <c r="C941" s="6">
        <v>45992.746527777781</v>
      </c>
      <c r="D941" s="7">
        <v>1340</v>
      </c>
      <c r="E941" s="8">
        <v>175.33</v>
      </c>
      <c r="F941" s="5" t="s">
        <v>156</v>
      </c>
      <c r="G941" s="8">
        <v>0.15</v>
      </c>
      <c r="H941" s="9">
        <v>234942.2</v>
      </c>
      <c r="I941" s="9">
        <v>3.524133</v>
      </c>
    </row>
    <row r="942" spans="1:9" x14ac:dyDescent="0.25">
      <c r="A942" s="5" t="s">
        <v>1096</v>
      </c>
      <c r="B942" s="5" t="s">
        <v>141</v>
      </c>
      <c r="C942" s="6">
        <v>45992.763888888891</v>
      </c>
      <c r="D942" s="7">
        <v>651</v>
      </c>
      <c r="E942" s="8">
        <v>174.62</v>
      </c>
      <c r="F942" s="5" t="s">
        <v>156</v>
      </c>
      <c r="G942" s="8">
        <v>0.15</v>
      </c>
      <c r="H942" s="9">
        <v>113677.62</v>
      </c>
      <c r="I942" s="9">
        <v>1.7051643000000001</v>
      </c>
    </row>
    <row r="943" spans="1:9" x14ac:dyDescent="0.25">
      <c r="A943" s="5" t="s">
        <v>1097</v>
      </c>
      <c r="B943" s="5" t="s">
        <v>141</v>
      </c>
      <c r="C943" s="6">
        <v>45992.767361111109</v>
      </c>
      <c r="D943" s="7">
        <v>782</v>
      </c>
      <c r="E943" s="8">
        <v>174.38</v>
      </c>
      <c r="F943" s="5" t="s">
        <v>156</v>
      </c>
      <c r="G943" s="8">
        <v>0.15</v>
      </c>
      <c r="H943" s="9">
        <v>136365.16</v>
      </c>
      <c r="I943" s="9">
        <v>2.0454773999999998</v>
      </c>
    </row>
    <row r="944" spans="1:9" x14ac:dyDescent="0.25">
      <c r="A944" s="5" t="s">
        <v>1098</v>
      </c>
      <c r="B944" s="5" t="s">
        <v>141</v>
      </c>
      <c r="C944" s="6">
        <v>45992.774305555547</v>
      </c>
      <c r="D944" s="7">
        <v>83</v>
      </c>
      <c r="E944" s="8">
        <v>174.47</v>
      </c>
      <c r="F944" s="5" t="s">
        <v>154</v>
      </c>
      <c r="G944" s="8">
        <v>0.05</v>
      </c>
      <c r="H944" s="9">
        <v>14481.01</v>
      </c>
      <c r="I944" s="9">
        <v>7.2405050000000012E-2</v>
      </c>
    </row>
    <row r="945" spans="1:9" x14ac:dyDescent="0.25">
      <c r="A945" s="5" t="s">
        <v>1099</v>
      </c>
      <c r="B945" s="5" t="s">
        <v>141</v>
      </c>
      <c r="C945" s="6">
        <v>45992.777777777781</v>
      </c>
      <c r="D945" s="7">
        <v>302</v>
      </c>
      <c r="E945" s="8">
        <v>174.55</v>
      </c>
      <c r="F945" s="5" t="s">
        <v>154</v>
      </c>
      <c r="G945" s="8">
        <v>0.05</v>
      </c>
      <c r="H945" s="9">
        <v>52714.100000000013</v>
      </c>
      <c r="I945" s="9">
        <v>0.26357049999999999</v>
      </c>
    </row>
    <row r="946" spans="1:9" x14ac:dyDescent="0.25">
      <c r="A946" s="5" t="s">
        <v>1100</v>
      </c>
      <c r="B946" s="5" t="s">
        <v>141</v>
      </c>
      <c r="C946" s="6">
        <v>45992.795138888891</v>
      </c>
      <c r="D946" s="7">
        <v>40</v>
      </c>
      <c r="E946" s="8">
        <v>174.44</v>
      </c>
      <c r="F946" s="5" t="s">
        <v>156</v>
      </c>
      <c r="G946" s="8">
        <v>0.15</v>
      </c>
      <c r="H946" s="9">
        <v>6977.6</v>
      </c>
      <c r="I946" s="9">
        <v>0.10466399999999999</v>
      </c>
    </row>
    <row r="947" spans="1:9" x14ac:dyDescent="0.25">
      <c r="A947" s="5" t="s">
        <v>1101</v>
      </c>
      <c r="B947" s="5" t="s">
        <v>141</v>
      </c>
      <c r="C947" s="6">
        <v>45992.809027777781</v>
      </c>
      <c r="D947" s="7">
        <v>351</v>
      </c>
      <c r="E947" s="8">
        <v>174.65</v>
      </c>
      <c r="F947" s="5" t="s">
        <v>156</v>
      </c>
      <c r="G947" s="8">
        <v>0.15</v>
      </c>
      <c r="H947" s="9">
        <v>61302.15</v>
      </c>
      <c r="I947" s="9">
        <v>0.91953225000000005</v>
      </c>
    </row>
    <row r="948" spans="1:9" x14ac:dyDescent="0.25">
      <c r="A948" s="5" t="s">
        <v>1102</v>
      </c>
      <c r="B948" s="5" t="s">
        <v>142</v>
      </c>
      <c r="C948" s="6">
        <v>45994.631944444453</v>
      </c>
      <c r="D948" s="7">
        <v>1516</v>
      </c>
      <c r="E948" s="8">
        <v>192.61</v>
      </c>
      <c r="F948" s="5" t="s">
        <v>159</v>
      </c>
      <c r="G948" s="8">
        <v>0.1</v>
      </c>
      <c r="H948" s="9">
        <v>291996.76</v>
      </c>
      <c r="I948" s="9">
        <v>2.9199676000000001</v>
      </c>
    </row>
    <row r="949" spans="1:9" x14ac:dyDescent="0.25">
      <c r="A949" s="5" t="s">
        <v>1103</v>
      </c>
      <c r="B949" s="5" t="s">
        <v>142</v>
      </c>
      <c r="C949" s="6">
        <v>45994.649305555547</v>
      </c>
      <c r="D949" s="7">
        <v>2737</v>
      </c>
      <c r="E949" s="8">
        <v>192.8</v>
      </c>
      <c r="F949" s="5" t="s">
        <v>156</v>
      </c>
      <c r="G949" s="8">
        <v>0.15</v>
      </c>
      <c r="H949" s="9">
        <v>527693.6</v>
      </c>
      <c r="I949" s="9">
        <v>7.9154039999999997</v>
      </c>
    </row>
    <row r="950" spans="1:9" x14ac:dyDescent="0.25">
      <c r="A950" s="5" t="s">
        <v>1104</v>
      </c>
      <c r="B950" s="5" t="s">
        <v>142</v>
      </c>
      <c r="C950" s="6">
        <v>45994.663194444453</v>
      </c>
      <c r="D950" s="7">
        <v>763</v>
      </c>
      <c r="E950" s="8">
        <v>193.36</v>
      </c>
      <c r="F950" s="5" t="s">
        <v>156</v>
      </c>
      <c r="G950" s="8">
        <v>0.15</v>
      </c>
      <c r="H950" s="9">
        <v>147533.68</v>
      </c>
      <c r="I950" s="9">
        <v>2.2130052</v>
      </c>
    </row>
    <row r="951" spans="1:9" x14ac:dyDescent="0.25">
      <c r="A951" s="5" t="s">
        <v>1105</v>
      </c>
      <c r="B951" s="5" t="s">
        <v>142</v>
      </c>
      <c r="C951" s="6">
        <v>45994.673611111109</v>
      </c>
      <c r="D951" s="7">
        <v>841</v>
      </c>
      <c r="E951" s="8">
        <v>193.27</v>
      </c>
      <c r="F951" s="5" t="s">
        <v>156</v>
      </c>
      <c r="G951" s="8">
        <v>0.15</v>
      </c>
      <c r="H951" s="9">
        <v>162540.07</v>
      </c>
      <c r="I951" s="9">
        <v>2.4381010500000002</v>
      </c>
    </row>
    <row r="952" spans="1:9" x14ac:dyDescent="0.25">
      <c r="A952" s="5" t="s">
        <v>1106</v>
      </c>
      <c r="B952" s="5" t="s">
        <v>142</v>
      </c>
      <c r="C952" s="6">
        <v>45994.711805555547</v>
      </c>
      <c r="D952" s="7">
        <v>451</v>
      </c>
      <c r="E952" s="8">
        <v>194.13</v>
      </c>
      <c r="F952" s="5" t="s">
        <v>156</v>
      </c>
      <c r="G952" s="8">
        <v>0.15</v>
      </c>
      <c r="H952" s="9">
        <v>87552.63</v>
      </c>
      <c r="I952" s="9">
        <v>1.3132894500000001</v>
      </c>
    </row>
    <row r="953" spans="1:9" x14ac:dyDescent="0.25">
      <c r="A953" s="5" t="s">
        <v>1107</v>
      </c>
      <c r="B953" s="5" t="s">
        <v>143</v>
      </c>
      <c r="C953" s="6">
        <v>45992.618055555547</v>
      </c>
      <c r="D953" s="7">
        <v>192</v>
      </c>
      <c r="E953" s="8">
        <v>195.3</v>
      </c>
      <c r="F953" s="5" t="s">
        <v>159</v>
      </c>
      <c r="G953" s="8">
        <v>0.1</v>
      </c>
      <c r="H953" s="9">
        <v>37497.600000000013</v>
      </c>
      <c r="I953" s="9">
        <v>0.37497600000000009</v>
      </c>
    </row>
    <row r="954" spans="1:9" x14ac:dyDescent="0.25">
      <c r="A954" s="5" t="s">
        <v>1108</v>
      </c>
      <c r="B954" s="5" t="s">
        <v>143</v>
      </c>
      <c r="C954" s="6">
        <v>45992.621527777781</v>
      </c>
      <c r="D954" s="7">
        <v>450</v>
      </c>
      <c r="E954" s="8">
        <v>195.05</v>
      </c>
      <c r="F954" s="5" t="s">
        <v>156</v>
      </c>
      <c r="G954" s="8">
        <v>0.15</v>
      </c>
      <c r="H954" s="9">
        <v>87772.5</v>
      </c>
      <c r="I954" s="9">
        <v>1.3165875</v>
      </c>
    </row>
    <row r="955" spans="1:9" x14ac:dyDescent="0.25">
      <c r="A955" s="5" t="s">
        <v>1109</v>
      </c>
      <c r="B955" s="5" t="s">
        <v>143</v>
      </c>
      <c r="C955" s="6">
        <v>45992.625</v>
      </c>
      <c r="D955" s="7">
        <v>345</v>
      </c>
      <c r="E955" s="8">
        <v>194.86</v>
      </c>
      <c r="F955" s="5" t="s">
        <v>159</v>
      </c>
      <c r="G955" s="8">
        <v>0.1</v>
      </c>
      <c r="H955" s="9">
        <v>67226.700000000012</v>
      </c>
      <c r="I955" s="9">
        <v>0.67226700000000017</v>
      </c>
    </row>
    <row r="956" spans="1:9" x14ac:dyDescent="0.25">
      <c r="A956" s="5" t="s">
        <v>1110</v>
      </c>
      <c r="B956" s="5" t="s">
        <v>143</v>
      </c>
      <c r="C956" s="6">
        <v>45992.635416666657</v>
      </c>
      <c r="D956" s="7">
        <v>301</v>
      </c>
      <c r="E956" s="8">
        <v>194.57</v>
      </c>
      <c r="F956" s="5" t="s">
        <v>154</v>
      </c>
      <c r="G956" s="8">
        <v>0.05</v>
      </c>
      <c r="H956" s="9">
        <v>58565.57</v>
      </c>
      <c r="I956" s="9">
        <v>0.29282785000000011</v>
      </c>
    </row>
    <row r="957" spans="1:9" x14ac:dyDescent="0.25">
      <c r="A957" s="5" t="s">
        <v>1111</v>
      </c>
      <c r="B957" s="5" t="s">
        <v>143</v>
      </c>
      <c r="C957" s="6">
        <v>45992.638888888891</v>
      </c>
      <c r="D957" s="7">
        <v>289</v>
      </c>
      <c r="E957" s="8">
        <v>195.01</v>
      </c>
      <c r="F957" s="5" t="s">
        <v>156</v>
      </c>
      <c r="G957" s="8">
        <v>0.15</v>
      </c>
      <c r="H957" s="9">
        <v>56357.89</v>
      </c>
      <c r="I957" s="9">
        <v>0.84536834999999988</v>
      </c>
    </row>
    <row r="958" spans="1:9" x14ac:dyDescent="0.25">
      <c r="A958" s="5" t="s">
        <v>1112</v>
      </c>
      <c r="B958" s="5" t="s">
        <v>143</v>
      </c>
      <c r="C958" s="6">
        <v>45992.645833333343</v>
      </c>
      <c r="D958" s="7">
        <v>120</v>
      </c>
      <c r="E958" s="8">
        <v>194.84</v>
      </c>
      <c r="F958" s="5" t="s">
        <v>159</v>
      </c>
      <c r="G958" s="8">
        <v>0.1</v>
      </c>
      <c r="H958" s="9">
        <v>23380.799999999999</v>
      </c>
      <c r="I958" s="9">
        <v>0.23380799999999999</v>
      </c>
    </row>
    <row r="959" spans="1:9" x14ac:dyDescent="0.25">
      <c r="A959" s="5" t="s">
        <v>1113</v>
      </c>
      <c r="B959" s="5" t="s">
        <v>143</v>
      </c>
      <c r="C959" s="6">
        <v>45992.649305555547</v>
      </c>
      <c r="D959" s="7">
        <v>3369</v>
      </c>
      <c r="E959" s="8">
        <v>194.81</v>
      </c>
      <c r="F959" s="5" t="s">
        <v>156</v>
      </c>
      <c r="G959" s="8">
        <v>0.15</v>
      </c>
      <c r="H959" s="9">
        <v>656314.89</v>
      </c>
      <c r="I959" s="9">
        <v>9.8447233500000007</v>
      </c>
    </row>
    <row r="960" spans="1:9" x14ac:dyDescent="0.25">
      <c r="A960" s="5" t="s">
        <v>1114</v>
      </c>
      <c r="B960" s="5" t="s">
        <v>143</v>
      </c>
      <c r="C960" s="6">
        <v>45992.652777777781</v>
      </c>
      <c r="D960" s="7">
        <v>11</v>
      </c>
      <c r="E960" s="8">
        <v>194.95</v>
      </c>
      <c r="F960" s="5" t="s">
        <v>156</v>
      </c>
      <c r="G960" s="8">
        <v>0.15</v>
      </c>
      <c r="H960" s="9">
        <v>2144.4499999999998</v>
      </c>
      <c r="I960" s="9">
        <v>3.2166749999999987E-2</v>
      </c>
    </row>
    <row r="961" spans="1:9" x14ac:dyDescent="0.25">
      <c r="A961" s="5" t="s">
        <v>1115</v>
      </c>
      <c r="B961" s="5" t="s">
        <v>143</v>
      </c>
      <c r="C961" s="6">
        <v>45992.663194444453</v>
      </c>
      <c r="D961" s="7">
        <v>1012</v>
      </c>
      <c r="E961" s="8">
        <v>194.86</v>
      </c>
      <c r="F961" s="5" t="s">
        <v>154</v>
      </c>
      <c r="G961" s="8">
        <v>0.05</v>
      </c>
      <c r="H961" s="9">
        <v>197198.32</v>
      </c>
      <c r="I961" s="9">
        <v>0.98599160000000008</v>
      </c>
    </row>
    <row r="962" spans="1:9" x14ac:dyDescent="0.25">
      <c r="A962" s="5" t="s">
        <v>1116</v>
      </c>
      <c r="B962" s="5" t="s">
        <v>143</v>
      </c>
      <c r="C962" s="6">
        <v>45992.670138888891</v>
      </c>
      <c r="D962" s="7">
        <v>3650</v>
      </c>
      <c r="E962" s="8">
        <v>195.01</v>
      </c>
      <c r="F962" s="5" t="s">
        <v>156</v>
      </c>
      <c r="G962" s="8">
        <v>0.15</v>
      </c>
      <c r="H962" s="9">
        <v>711786.5</v>
      </c>
      <c r="I962" s="9">
        <v>10.676797499999999</v>
      </c>
    </row>
    <row r="963" spans="1:9" x14ac:dyDescent="0.25">
      <c r="A963" s="5" t="s">
        <v>1117</v>
      </c>
      <c r="B963" s="5" t="s">
        <v>144</v>
      </c>
      <c r="C963" s="6">
        <v>45996.604166666657</v>
      </c>
      <c r="D963" s="7">
        <v>2307</v>
      </c>
      <c r="E963" s="8">
        <v>423.99</v>
      </c>
      <c r="F963" s="5" t="s">
        <v>154</v>
      </c>
      <c r="G963" s="8">
        <v>0.05</v>
      </c>
      <c r="H963" s="9">
        <v>978144.93</v>
      </c>
      <c r="I963" s="9">
        <v>4.890724650000001</v>
      </c>
    </row>
    <row r="964" spans="1:9" x14ac:dyDescent="0.25">
      <c r="A964" s="5" t="s">
        <v>1118</v>
      </c>
      <c r="B964" s="5" t="s">
        <v>144</v>
      </c>
      <c r="C964" s="6">
        <v>45996.607638888891</v>
      </c>
      <c r="D964" s="7">
        <v>1622</v>
      </c>
      <c r="E964" s="8">
        <v>423.55</v>
      </c>
      <c r="F964" s="5" t="s">
        <v>156</v>
      </c>
      <c r="G964" s="8">
        <v>0.15</v>
      </c>
      <c r="H964" s="9">
        <v>686998.1</v>
      </c>
      <c r="I964" s="9">
        <v>10.304971500000001</v>
      </c>
    </row>
    <row r="965" spans="1:9" x14ac:dyDescent="0.25">
      <c r="A965" s="5" t="s">
        <v>1119</v>
      </c>
      <c r="B965" s="5" t="s">
        <v>144</v>
      </c>
      <c r="C965" s="6">
        <v>45996.614583333343</v>
      </c>
      <c r="D965" s="7">
        <v>580</v>
      </c>
      <c r="E965" s="8">
        <v>422.65</v>
      </c>
      <c r="F965" s="5" t="s">
        <v>156</v>
      </c>
      <c r="G965" s="8">
        <v>0.15</v>
      </c>
      <c r="H965" s="9">
        <v>245137</v>
      </c>
      <c r="I965" s="9">
        <v>3.6770550000000002</v>
      </c>
    </row>
    <row r="966" spans="1:9" x14ac:dyDescent="0.25">
      <c r="A966" s="5" t="s">
        <v>1120</v>
      </c>
      <c r="B966" s="5" t="s">
        <v>144</v>
      </c>
      <c r="C966" s="6">
        <v>45996.618055555547</v>
      </c>
      <c r="D966" s="7">
        <v>1434</v>
      </c>
      <c r="E966" s="8">
        <v>422.65</v>
      </c>
      <c r="F966" s="5" t="s">
        <v>156</v>
      </c>
      <c r="G966" s="8">
        <v>0.15</v>
      </c>
      <c r="H966" s="9">
        <v>606080.1</v>
      </c>
      <c r="I966" s="9">
        <v>9.0912015000000004</v>
      </c>
    </row>
    <row r="967" spans="1:9" x14ac:dyDescent="0.25">
      <c r="A967" s="5" t="s">
        <v>1121</v>
      </c>
      <c r="B967" s="5" t="s">
        <v>144</v>
      </c>
      <c r="C967" s="6">
        <v>45996.621527777781</v>
      </c>
      <c r="D967" s="7">
        <v>934</v>
      </c>
      <c r="E967" s="8">
        <v>422.81</v>
      </c>
      <c r="F967" s="5" t="s">
        <v>156</v>
      </c>
      <c r="G967" s="8">
        <v>0.15</v>
      </c>
      <c r="H967" s="9">
        <v>394904.54</v>
      </c>
      <c r="I967" s="9">
        <v>5.9235680999999998</v>
      </c>
    </row>
    <row r="968" spans="1:9" x14ac:dyDescent="0.25">
      <c r="A968" s="5" t="s">
        <v>1122</v>
      </c>
      <c r="B968" s="5" t="s">
        <v>144</v>
      </c>
      <c r="C968" s="6">
        <v>45996.625</v>
      </c>
      <c r="D968" s="7">
        <v>1555</v>
      </c>
      <c r="E968" s="8">
        <v>422.93</v>
      </c>
      <c r="F968" s="5" t="s">
        <v>156</v>
      </c>
      <c r="G968" s="8">
        <v>0.15</v>
      </c>
      <c r="H968" s="9">
        <v>657656.15</v>
      </c>
      <c r="I968" s="9">
        <v>9.8648422500000006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6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10" customWidth="1"/>
    <col min="3" max="6" width="20" customWidth="1"/>
    <col min="7" max="7" width="10" customWidth="1"/>
    <col min="8" max="9" width="20" customWidth="1"/>
  </cols>
  <sheetData>
    <row r="1" spans="1:9" x14ac:dyDescent="0.25">
      <c r="A1" s="4" t="s">
        <v>1123</v>
      </c>
      <c r="B1" s="4" t="s">
        <v>2</v>
      </c>
      <c r="C1" s="4" t="s">
        <v>1124</v>
      </c>
      <c r="D1" s="4" t="s">
        <v>1125</v>
      </c>
      <c r="E1" s="4" t="s">
        <v>1126</v>
      </c>
      <c r="F1" s="4" t="s">
        <v>1127</v>
      </c>
      <c r="G1" s="4" t="s">
        <v>1128</v>
      </c>
      <c r="H1" s="4" t="s">
        <v>1129</v>
      </c>
      <c r="I1" s="4" t="s">
        <v>1130</v>
      </c>
    </row>
    <row r="2" spans="1:9" x14ac:dyDescent="0.25">
      <c r="A2" s="6">
        <v>45992.604166666657</v>
      </c>
      <c r="B2" s="5" t="s">
        <v>19</v>
      </c>
      <c r="C2" s="8">
        <v>195.26938845353561</v>
      </c>
      <c r="D2" s="8">
        <v>195.30053306256201</v>
      </c>
      <c r="E2" s="8">
        <v>195.22164318031631</v>
      </c>
      <c r="F2" s="8">
        <v>195.29668726101701</v>
      </c>
      <c r="G2" s="7">
        <v>45427</v>
      </c>
      <c r="H2" s="9">
        <v>8871742.6122062169</v>
      </c>
      <c r="I2" s="5" t="s">
        <v>1131</v>
      </c>
    </row>
    <row r="3" spans="1:9" x14ac:dyDescent="0.25">
      <c r="A3" s="6">
        <v>45992.607638888891</v>
      </c>
      <c r="B3" s="5" t="s">
        <v>19</v>
      </c>
      <c r="C3" s="8">
        <v>195.29699815368869</v>
      </c>
      <c r="D3" s="8">
        <v>195.50266580930131</v>
      </c>
      <c r="E3" s="8">
        <v>195.1777508214968</v>
      </c>
      <c r="F3" s="8">
        <v>195.29705032060821</v>
      </c>
      <c r="G3" s="7">
        <v>73878</v>
      </c>
      <c r="H3" s="9">
        <v>14428155.48358589</v>
      </c>
      <c r="I3" s="5" t="s">
        <v>1132</v>
      </c>
    </row>
    <row r="4" spans="1:9" x14ac:dyDescent="0.25">
      <c r="A4" s="6">
        <v>45992.611111111109</v>
      </c>
      <c r="B4" s="5" t="s">
        <v>19</v>
      </c>
      <c r="C4" s="8">
        <v>195.1770751268574</v>
      </c>
      <c r="D4" s="8">
        <v>195.24629708804</v>
      </c>
      <c r="E4" s="8">
        <v>195.14646865844779</v>
      </c>
      <c r="F4" s="8">
        <v>195.1871203301875</v>
      </c>
      <c r="G4" s="7">
        <v>54997</v>
      </c>
      <c r="H4" s="9">
        <v>10734706.056799321</v>
      </c>
      <c r="I4" s="5" t="s">
        <v>1133</v>
      </c>
    </row>
    <row r="5" spans="1:9" x14ac:dyDescent="0.25">
      <c r="A5" s="6">
        <v>45992.614583333343</v>
      </c>
      <c r="B5" s="5" t="s">
        <v>19</v>
      </c>
      <c r="C5" s="8">
        <v>194.96426333119439</v>
      </c>
      <c r="D5" s="8">
        <v>194.97875474085839</v>
      </c>
      <c r="E5" s="8">
        <v>194.89973113897969</v>
      </c>
      <c r="F5" s="8">
        <v>194.93183172438381</v>
      </c>
      <c r="G5" s="7">
        <v>35091</v>
      </c>
      <c r="H5" s="9">
        <v>6840352.9070403501</v>
      </c>
      <c r="I5" s="5" t="s">
        <v>1134</v>
      </c>
    </row>
    <row r="6" spans="1:9" x14ac:dyDescent="0.25">
      <c r="A6" s="6">
        <v>45992.618055555547</v>
      </c>
      <c r="B6" s="5" t="s">
        <v>19</v>
      </c>
      <c r="C6" s="8">
        <v>195.23046712846889</v>
      </c>
      <c r="D6" s="8">
        <v>195.2758160356521</v>
      </c>
      <c r="E6" s="8">
        <v>194.9837572211982</v>
      </c>
      <c r="F6" s="8">
        <v>195.2214282473706</v>
      </c>
      <c r="G6" s="7">
        <v>58930</v>
      </c>
      <c r="H6" s="9">
        <v>11504398.76661755</v>
      </c>
      <c r="I6" s="5" t="s">
        <v>1135</v>
      </c>
    </row>
    <row r="7" spans="1:9" x14ac:dyDescent="0.25">
      <c r="A7" s="6">
        <v>45992.621527777781</v>
      </c>
      <c r="B7" s="5" t="s">
        <v>19</v>
      </c>
      <c r="C7" s="8">
        <v>194.94284327407519</v>
      </c>
      <c r="D7" s="8">
        <v>195.2342319701846</v>
      </c>
      <c r="E7" s="8">
        <v>194.82009986584461</v>
      </c>
      <c r="F7" s="8">
        <v>194.96654503655279</v>
      </c>
      <c r="G7" s="7">
        <v>51752</v>
      </c>
      <c r="H7" s="9">
        <v>10089908.638731681</v>
      </c>
      <c r="I7" s="5" t="s">
        <v>1136</v>
      </c>
    </row>
    <row r="8" spans="1:9" x14ac:dyDescent="0.25">
      <c r="A8" s="6">
        <v>45992.625</v>
      </c>
      <c r="B8" s="5" t="s">
        <v>19</v>
      </c>
      <c r="C8" s="8">
        <v>194.89893606813121</v>
      </c>
      <c r="D8" s="8">
        <v>195.09201179357709</v>
      </c>
      <c r="E8" s="8">
        <v>194.77365662225509</v>
      </c>
      <c r="F8" s="8">
        <v>194.83624925077029</v>
      </c>
      <c r="G8" s="7">
        <v>29069</v>
      </c>
      <c r="H8" s="9">
        <v>5663694.9294706415</v>
      </c>
      <c r="I8" s="5" t="s">
        <v>1137</v>
      </c>
    </row>
    <row r="9" spans="1:9" x14ac:dyDescent="0.25">
      <c r="A9" s="6">
        <v>45992.628472222219</v>
      </c>
      <c r="B9" s="5" t="s">
        <v>19</v>
      </c>
      <c r="C9" s="8">
        <v>194.6497921165286</v>
      </c>
      <c r="D9" s="8">
        <v>194.89094353025661</v>
      </c>
      <c r="E9" s="8">
        <v>194.44352240788871</v>
      </c>
      <c r="F9" s="8">
        <v>194.72013787283791</v>
      </c>
      <c r="G9" s="7">
        <v>53354</v>
      </c>
      <c r="H9" s="9">
        <v>10389098.236067399</v>
      </c>
      <c r="I9" s="5" t="s">
        <v>1138</v>
      </c>
    </row>
    <row r="10" spans="1:9" x14ac:dyDescent="0.25">
      <c r="A10" s="6">
        <v>45992.631944444453</v>
      </c>
      <c r="B10" s="5" t="s">
        <v>19</v>
      </c>
      <c r="C10" s="8">
        <v>194.85695274772701</v>
      </c>
      <c r="D10" s="8">
        <v>194.93389286768701</v>
      </c>
      <c r="E10" s="8">
        <v>194.76893541052121</v>
      </c>
      <c r="F10" s="8">
        <v>194.86747479638001</v>
      </c>
      <c r="G10" s="7">
        <v>32928</v>
      </c>
      <c r="H10" s="9">
        <v>6416596.2100951988</v>
      </c>
      <c r="I10" s="5" t="s">
        <v>1139</v>
      </c>
    </row>
    <row r="11" spans="1:9" x14ac:dyDescent="0.25">
      <c r="A11" s="6">
        <v>45992.635416666657</v>
      </c>
      <c r="B11" s="5" t="s">
        <v>19</v>
      </c>
      <c r="C11" s="8">
        <v>194.5736070923256</v>
      </c>
      <c r="D11" s="8">
        <v>194.8360006983502</v>
      </c>
      <c r="E11" s="8">
        <v>194.5197974211838</v>
      </c>
      <c r="F11" s="8">
        <v>194.5512460422319</v>
      </c>
      <c r="G11" s="7">
        <v>49830</v>
      </c>
      <c r="H11" s="9">
        <v>9694488.5902844165</v>
      </c>
      <c r="I11" s="5" t="s">
        <v>1140</v>
      </c>
    </row>
    <row r="12" spans="1:9" x14ac:dyDescent="0.25">
      <c r="A12" s="6">
        <v>45992.638888888891</v>
      </c>
      <c r="B12" s="5" t="s">
        <v>19</v>
      </c>
      <c r="C12" s="8">
        <v>194.89990717380621</v>
      </c>
      <c r="D12" s="8">
        <v>194.9117688583874</v>
      </c>
      <c r="E12" s="8">
        <v>194.85649880537909</v>
      </c>
      <c r="F12" s="8">
        <v>194.88603312914259</v>
      </c>
      <c r="G12" s="7">
        <v>57163</v>
      </c>
      <c r="H12" s="9">
        <v>11140270.31176118</v>
      </c>
      <c r="I12" s="5" t="s">
        <v>1141</v>
      </c>
    </row>
    <row r="13" spans="1:9" x14ac:dyDescent="0.25">
      <c r="A13" s="6">
        <v>45992.642361111109</v>
      </c>
      <c r="B13" s="5" t="s">
        <v>19</v>
      </c>
      <c r="C13" s="8">
        <v>194.74787884066831</v>
      </c>
      <c r="D13" s="8">
        <v>194.89039115840529</v>
      </c>
      <c r="E13" s="8">
        <v>194.7368044499047</v>
      </c>
      <c r="F13" s="8">
        <v>194.8317517744143</v>
      </c>
      <c r="G13" s="7">
        <v>90905</v>
      </c>
      <c r="H13" s="9">
        <v>17711180.39505313</v>
      </c>
      <c r="I13" s="5" t="s">
        <v>1142</v>
      </c>
    </row>
    <row r="14" spans="1:9" x14ac:dyDescent="0.25">
      <c r="A14" s="6">
        <v>45992.645833333343</v>
      </c>
      <c r="B14" s="5" t="s">
        <v>19</v>
      </c>
      <c r="C14" s="8">
        <v>194.65569055256779</v>
      </c>
      <c r="D14" s="8">
        <v>194.77872050409479</v>
      </c>
      <c r="E14" s="8">
        <v>194.457195788897</v>
      </c>
      <c r="F14" s="8">
        <v>194.76707998094929</v>
      </c>
      <c r="G14" s="7">
        <v>52354</v>
      </c>
      <c r="H14" s="9">
        <v>10196835.70532262</v>
      </c>
      <c r="I14" s="5" t="s">
        <v>1143</v>
      </c>
    </row>
    <row r="15" spans="1:9" x14ac:dyDescent="0.25">
      <c r="A15" s="6">
        <v>45992.649305555547</v>
      </c>
      <c r="B15" s="5" t="s">
        <v>19</v>
      </c>
      <c r="C15" s="8">
        <v>194.5414107708898</v>
      </c>
      <c r="D15" s="8">
        <v>194.73370359462629</v>
      </c>
      <c r="E15" s="8">
        <v>194.5063707030528</v>
      </c>
      <c r="F15" s="8">
        <v>194.61109664076949</v>
      </c>
      <c r="G15" s="7">
        <v>39616</v>
      </c>
      <c r="H15" s="9">
        <v>7709713.2045207238</v>
      </c>
      <c r="I15" s="5" t="s">
        <v>1144</v>
      </c>
    </row>
    <row r="16" spans="1:9" x14ac:dyDescent="0.25">
      <c r="A16" s="6">
        <v>45992.652777777781</v>
      </c>
      <c r="B16" s="5" t="s">
        <v>19</v>
      </c>
      <c r="C16" s="8">
        <v>194.8568846848502</v>
      </c>
      <c r="D16" s="8">
        <v>194.8861117194256</v>
      </c>
      <c r="E16" s="8">
        <v>194.6887341613857</v>
      </c>
      <c r="F16" s="8">
        <v>194.8734081123622</v>
      </c>
      <c r="G16" s="7">
        <v>101332</v>
      </c>
      <c r="H16" s="9">
        <v>19746912.190841891</v>
      </c>
      <c r="I16" s="5" t="s">
        <v>1145</v>
      </c>
    </row>
    <row r="17" spans="1:9" x14ac:dyDescent="0.25">
      <c r="A17" s="6">
        <v>45992.65625</v>
      </c>
      <c r="B17" s="5" t="s">
        <v>19</v>
      </c>
      <c r="C17" s="8">
        <v>194.85550188209791</v>
      </c>
      <c r="D17" s="8">
        <v>194.94143626649529</v>
      </c>
      <c r="E17" s="8">
        <v>194.81355259070131</v>
      </c>
      <c r="F17" s="8">
        <v>194.83609771389169</v>
      </c>
      <c r="G17" s="7">
        <v>32134</v>
      </c>
      <c r="H17" s="9">
        <v>6260863.1639381954</v>
      </c>
      <c r="I17" s="5" t="s">
        <v>1146</v>
      </c>
    </row>
    <row r="18" spans="1:9" x14ac:dyDescent="0.25">
      <c r="A18" s="6">
        <v>45992.659722222219</v>
      </c>
      <c r="B18" s="5" t="s">
        <v>19</v>
      </c>
      <c r="C18" s="8">
        <v>195.00320842446209</v>
      </c>
      <c r="D18" s="8">
        <v>195.05182303020021</v>
      </c>
      <c r="E18" s="8">
        <v>194.84287446959479</v>
      </c>
      <c r="F18" s="8">
        <v>194.95090198790621</v>
      </c>
      <c r="G18" s="7">
        <v>55903</v>
      </c>
      <c r="H18" s="9">
        <v>10898340.27382992</v>
      </c>
      <c r="I18" s="5" t="s">
        <v>1147</v>
      </c>
    </row>
    <row r="19" spans="1:9" x14ac:dyDescent="0.25">
      <c r="A19" s="6">
        <v>45992.663194444453</v>
      </c>
      <c r="B19" s="5" t="s">
        <v>19</v>
      </c>
      <c r="C19" s="8">
        <v>194.82972861682151</v>
      </c>
      <c r="D19" s="8">
        <v>194.9988646962139</v>
      </c>
      <c r="E19" s="8">
        <v>194.65092406589849</v>
      </c>
      <c r="F19" s="8">
        <v>194.84724798975699</v>
      </c>
      <c r="G19" s="7">
        <v>75682</v>
      </c>
      <c r="H19" s="9">
        <v>14746429.422360791</v>
      </c>
      <c r="I19" s="5" t="s">
        <v>1148</v>
      </c>
    </row>
    <row r="20" spans="1:9" x14ac:dyDescent="0.25">
      <c r="A20" s="6">
        <v>45992.666666666657</v>
      </c>
      <c r="B20" s="5" t="s">
        <v>19</v>
      </c>
      <c r="C20" s="8">
        <v>194.98304864097361</v>
      </c>
      <c r="D20" s="8">
        <v>194.9844808522935</v>
      </c>
      <c r="E20" s="8">
        <v>194.9346272595771</v>
      </c>
      <c r="F20" s="8">
        <v>194.94347731855001</v>
      </c>
      <c r="G20" s="7">
        <v>47298</v>
      </c>
      <c r="H20" s="9">
        <v>9220436.5902127791</v>
      </c>
      <c r="I20" s="5" t="s">
        <v>1149</v>
      </c>
    </row>
    <row r="21" spans="1:9" x14ac:dyDescent="0.25">
      <c r="A21" s="6">
        <v>45992.670138888891</v>
      </c>
      <c r="B21" s="5" t="s">
        <v>19</v>
      </c>
      <c r="C21" s="8">
        <v>195.06583735477579</v>
      </c>
      <c r="D21" s="8">
        <v>195.1675492854489</v>
      </c>
      <c r="E21" s="8">
        <v>194.89366134578569</v>
      </c>
      <c r="F21" s="8">
        <v>194.93367542306649</v>
      </c>
      <c r="G21" s="7">
        <v>50758</v>
      </c>
      <c r="H21" s="9">
        <v>9894443.4971240088</v>
      </c>
      <c r="I21" s="5" t="s">
        <v>1150</v>
      </c>
    </row>
    <row r="22" spans="1:9" x14ac:dyDescent="0.25">
      <c r="A22" s="6">
        <v>45992.673611111109</v>
      </c>
      <c r="B22" s="5" t="s">
        <v>19</v>
      </c>
      <c r="C22" s="8">
        <v>194.80388521543611</v>
      </c>
      <c r="D22" s="8">
        <v>194.84964998883629</v>
      </c>
      <c r="E22" s="8">
        <v>194.6133525514052</v>
      </c>
      <c r="F22" s="8">
        <v>194.78200903278281</v>
      </c>
      <c r="G22" s="7">
        <v>70984</v>
      </c>
      <c r="H22" s="9">
        <v>13826406.12918306</v>
      </c>
      <c r="I22" s="5" t="s">
        <v>1151</v>
      </c>
    </row>
    <row r="23" spans="1:9" x14ac:dyDescent="0.25">
      <c r="A23" s="6">
        <v>45992.677083333343</v>
      </c>
      <c r="B23" s="5" t="s">
        <v>19</v>
      </c>
      <c r="C23" s="8">
        <v>194.76550552994991</v>
      </c>
      <c r="D23" s="8">
        <v>194.78383420861519</v>
      </c>
      <c r="E23" s="8">
        <v>194.4815315183798</v>
      </c>
      <c r="F23" s="8">
        <v>194.6821783751368</v>
      </c>
      <c r="G23" s="7">
        <v>51003</v>
      </c>
      <c r="H23" s="9">
        <v>9929375.1436671019</v>
      </c>
      <c r="I23" s="5" t="s">
        <v>1152</v>
      </c>
    </row>
    <row r="24" spans="1:9" x14ac:dyDescent="0.25">
      <c r="A24" s="6">
        <v>45992.680555555547</v>
      </c>
      <c r="B24" s="5" t="s">
        <v>19</v>
      </c>
      <c r="C24" s="8">
        <v>194.64922524585691</v>
      </c>
      <c r="D24" s="8">
        <v>194.77254895685621</v>
      </c>
      <c r="E24" s="8">
        <v>194.56563637220731</v>
      </c>
      <c r="F24" s="8">
        <v>194.63171958131281</v>
      </c>
      <c r="G24" s="7">
        <v>38881</v>
      </c>
      <c r="H24" s="9">
        <v>7567475.8890410205</v>
      </c>
      <c r="I24" s="5" t="s">
        <v>1153</v>
      </c>
    </row>
    <row r="25" spans="1:9" x14ac:dyDescent="0.25">
      <c r="A25" s="6">
        <v>45992.684027777781</v>
      </c>
      <c r="B25" s="5" t="s">
        <v>19</v>
      </c>
      <c r="C25" s="8">
        <v>194.66505710489409</v>
      </c>
      <c r="D25" s="8">
        <v>194.71517190225401</v>
      </c>
      <c r="E25" s="8">
        <v>194.5880604644251</v>
      </c>
      <c r="F25" s="8">
        <v>194.66375803157379</v>
      </c>
      <c r="G25" s="7">
        <v>110376</v>
      </c>
      <c r="H25" s="9">
        <v>21486206.95649299</v>
      </c>
      <c r="I25" s="5" t="s">
        <v>1154</v>
      </c>
    </row>
    <row r="26" spans="1:9" x14ac:dyDescent="0.25">
      <c r="A26" s="6">
        <v>45992.6875</v>
      </c>
      <c r="B26" s="5" t="s">
        <v>19</v>
      </c>
      <c r="C26" s="8">
        <v>194.5459795551026</v>
      </c>
      <c r="D26" s="8">
        <v>194.6697508638965</v>
      </c>
      <c r="E26" s="8">
        <v>194.53073225006429</v>
      </c>
      <c r="F26" s="8">
        <v>194.59536334198191</v>
      </c>
      <c r="G26" s="7">
        <v>58306</v>
      </c>
      <c r="H26" s="9">
        <v>11346077.255017599</v>
      </c>
      <c r="I26" s="5" t="s">
        <v>1155</v>
      </c>
    </row>
    <row r="27" spans="1:9" x14ac:dyDescent="0.25">
      <c r="A27" s="6">
        <v>45992.690972222219</v>
      </c>
      <c r="B27" s="5" t="s">
        <v>19</v>
      </c>
      <c r="C27" s="8">
        <v>194.76074261106811</v>
      </c>
      <c r="D27" s="8">
        <v>194.80306684719901</v>
      </c>
      <c r="E27" s="8">
        <v>194.6195407534361</v>
      </c>
      <c r="F27" s="8">
        <v>194.73219728080289</v>
      </c>
      <c r="G27" s="7">
        <v>66123</v>
      </c>
      <c r="H27" s="9">
        <v>12876277.080798529</v>
      </c>
      <c r="I27" s="5" t="s">
        <v>1156</v>
      </c>
    </row>
    <row r="28" spans="1:9" x14ac:dyDescent="0.25">
      <c r="A28" s="6">
        <v>45992.694444444453</v>
      </c>
      <c r="B28" s="5" t="s">
        <v>19</v>
      </c>
      <c r="C28" s="8">
        <v>194.60292351756971</v>
      </c>
      <c r="D28" s="8">
        <v>194.684912426457</v>
      </c>
      <c r="E28" s="8">
        <v>194.5784360023215</v>
      </c>
      <c r="F28" s="8">
        <v>194.62407617077551</v>
      </c>
      <c r="G28" s="7">
        <v>41056</v>
      </c>
      <c r="H28" s="9">
        <v>7990486.071267359</v>
      </c>
      <c r="I28" s="5" t="s">
        <v>1157</v>
      </c>
    </row>
    <row r="29" spans="1:9" x14ac:dyDescent="0.25">
      <c r="A29" s="6">
        <v>45992.697916666657</v>
      </c>
      <c r="B29" s="5" t="s">
        <v>19</v>
      </c>
      <c r="C29" s="8">
        <v>194.30824401362349</v>
      </c>
      <c r="D29" s="8">
        <v>194.46406219031351</v>
      </c>
      <c r="E29" s="8">
        <v>194.07554013723251</v>
      </c>
      <c r="F29" s="8">
        <v>194.30310538094221</v>
      </c>
      <c r="G29" s="7">
        <v>68231</v>
      </c>
      <c r="H29" s="9">
        <v>13257495.183247071</v>
      </c>
      <c r="I29" s="5" t="s">
        <v>1158</v>
      </c>
    </row>
    <row r="30" spans="1:9" x14ac:dyDescent="0.25">
      <c r="A30" s="6">
        <v>45992.701388888891</v>
      </c>
      <c r="B30" s="5" t="s">
        <v>19</v>
      </c>
      <c r="C30" s="8">
        <v>194.207662627269</v>
      </c>
      <c r="D30" s="8">
        <v>194.26952014708391</v>
      </c>
      <c r="E30" s="8">
        <v>194.04804476104499</v>
      </c>
      <c r="F30" s="8">
        <v>194.1787615212541</v>
      </c>
      <c r="G30" s="7">
        <v>38745</v>
      </c>
      <c r="H30" s="9">
        <v>7523456.1151409913</v>
      </c>
      <c r="I30" s="5" t="s">
        <v>1159</v>
      </c>
    </row>
    <row r="31" spans="1:9" x14ac:dyDescent="0.25">
      <c r="A31" s="6">
        <v>45992.704861111109</v>
      </c>
      <c r="B31" s="5" t="s">
        <v>19</v>
      </c>
      <c r="C31" s="8">
        <v>194.07285422393721</v>
      </c>
      <c r="D31" s="8">
        <v>194.18466699800209</v>
      </c>
      <c r="E31" s="8">
        <v>194.04012097494649</v>
      </c>
      <c r="F31" s="8">
        <v>194.08877238391381</v>
      </c>
      <c r="G31" s="7">
        <v>34974</v>
      </c>
      <c r="H31" s="9">
        <v>6788060.7253550002</v>
      </c>
      <c r="I31" s="5" t="s">
        <v>1160</v>
      </c>
    </row>
    <row r="32" spans="1:9" x14ac:dyDescent="0.25">
      <c r="A32" s="6">
        <v>45992.708333333343</v>
      </c>
      <c r="B32" s="5" t="s">
        <v>19</v>
      </c>
      <c r="C32" s="8">
        <v>193.98686382470939</v>
      </c>
      <c r="D32" s="8">
        <v>194.11387880643071</v>
      </c>
      <c r="E32" s="8">
        <v>193.9057042861977</v>
      </c>
      <c r="F32" s="8">
        <v>194.09130331130299</v>
      </c>
      <c r="G32" s="7">
        <v>87743</v>
      </c>
      <c r="H32" s="9">
        <v>17030153.22644366</v>
      </c>
      <c r="I32" s="5" t="s">
        <v>1161</v>
      </c>
    </row>
    <row r="33" spans="1:9" x14ac:dyDescent="0.25">
      <c r="A33" s="6">
        <v>45992.711805555547</v>
      </c>
      <c r="B33" s="5" t="s">
        <v>19</v>
      </c>
      <c r="C33" s="8">
        <v>194.30001658961251</v>
      </c>
      <c r="D33" s="8">
        <v>194.47926848597911</v>
      </c>
      <c r="E33" s="8">
        <v>194.15938819941539</v>
      </c>
      <c r="F33" s="8">
        <v>194.3907749781404</v>
      </c>
      <c r="G33" s="7">
        <v>84389</v>
      </c>
      <c r="H33" s="9">
        <v>16404443.10963029</v>
      </c>
      <c r="I33" s="5" t="s">
        <v>1162</v>
      </c>
    </row>
    <row r="34" spans="1:9" x14ac:dyDescent="0.25">
      <c r="A34" s="6">
        <v>45992.715277777781</v>
      </c>
      <c r="B34" s="5" t="s">
        <v>19</v>
      </c>
      <c r="C34" s="8">
        <v>194.2521829649028</v>
      </c>
      <c r="D34" s="8">
        <v>194.46897488976259</v>
      </c>
      <c r="E34" s="8">
        <v>194.05370055110271</v>
      </c>
      <c r="F34" s="8">
        <v>194.2281881991787</v>
      </c>
      <c r="G34" s="7">
        <v>70736</v>
      </c>
      <c r="H34" s="9">
        <v>13738925.1204571</v>
      </c>
      <c r="I34" s="5" t="s">
        <v>1163</v>
      </c>
    </row>
    <row r="35" spans="1:9" x14ac:dyDescent="0.25">
      <c r="A35" s="6">
        <v>45992.71875</v>
      </c>
      <c r="B35" s="5" t="s">
        <v>19</v>
      </c>
      <c r="C35" s="8">
        <v>194.38199263274899</v>
      </c>
      <c r="D35" s="8">
        <v>194.490628117521</v>
      </c>
      <c r="E35" s="8">
        <v>194.25709530098919</v>
      </c>
      <c r="F35" s="8">
        <v>194.42262254838141</v>
      </c>
      <c r="G35" s="7">
        <v>45058</v>
      </c>
      <c r="H35" s="9">
        <v>8760294.5267849676</v>
      </c>
      <c r="I35" s="5" t="s">
        <v>1164</v>
      </c>
    </row>
    <row r="36" spans="1:9" x14ac:dyDescent="0.25">
      <c r="A36" s="6">
        <v>45992.722222222219</v>
      </c>
      <c r="B36" s="5" t="s">
        <v>19</v>
      </c>
      <c r="C36" s="8">
        <v>194.29085799410231</v>
      </c>
      <c r="D36" s="8">
        <v>194.30146409104569</v>
      </c>
      <c r="E36" s="8">
        <v>194.1684304514892</v>
      </c>
      <c r="F36" s="8">
        <v>194.2796495524025</v>
      </c>
      <c r="G36" s="7">
        <v>43083</v>
      </c>
      <c r="H36" s="9">
        <v>8370150.1416661572</v>
      </c>
      <c r="I36" s="5" t="s">
        <v>1165</v>
      </c>
    </row>
    <row r="37" spans="1:9" x14ac:dyDescent="0.25">
      <c r="A37" s="6">
        <v>45992.725694444453</v>
      </c>
      <c r="B37" s="5" t="s">
        <v>19</v>
      </c>
      <c r="C37" s="8">
        <v>194.31270444530239</v>
      </c>
      <c r="D37" s="8">
        <v>194.37808412265929</v>
      </c>
      <c r="E37" s="8">
        <v>194.10230351446799</v>
      </c>
      <c r="F37" s="8">
        <v>194.25669578383719</v>
      </c>
      <c r="G37" s="7">
        <v>75570</v>
      </c>
      <c r="H37" s="9">
        <v>14679978.50038458</v>
      </c>
      <c r="I37" s="5" t="s">
        <v>1166</v>
      </c>
    </row>
    <row r="38" spans="1:9" x14ac:dyDescent="0.25">
      <c r="A38" s="6">
        <v>45992.729166666657</v>
      </c>
      <c r="B38" s="5" t="s">
        <v>19</v>
      </c>
      <c r="C38" s="8">
        <v>194.1955029992076</v>
      </c>
      <c r="D38" s="8">
        <v>194.23053746987009</v>
      </c>
      <c r="E38" s="8">
        <v>194.0309981724254</v>
      </c>
      <c r="F38" s="8">
        <v>194.17305349495601</v>
      </c>
      <c r="G38" s="7">
        <v>62367</v>
      </c>
      <c r="H38" s="9">
        <v>12109990.82731992</v>
      </c>
      <c r="I38" s="5" t="s">
        <v>1167</v>
      </c>
    </row>
    <row r="39" spans="1:9" x14ac:dyDescent="0.25">
      <c r="A39" s="6">
        <v>45992.732638888891</v>
      </c>
      <c r="B39" s="5" t="s">
        <v>19</v>
      </c>
      <c r="C39" s="8">
        <v>193.76942644487059</v>
      </c>
      <c r="D39" s="8">
        <v>193.93413043043839</v>
      </c>
      <c r="E39" s="8">
        <v>193.73939416023089</v>
      </c>
      <c r="F39" s="8">
        <v>193.84909026296421</v>
      </c>
      <c r="G39" s="7">
        <v>89169</v>
      </c>
      <c r="H39" s="9">
        <v>17285329.529658251</v>
      </c>
      <c r="I39" s="5" t="s">
        <v>1168</v>
      </c>
    </row>
    <row r="40" spans="1:9" x14ac:dyDescent="0.25">
      <c r="A40" s="6">
        <v>45992.736111111109</v>
      </c>
      <c r="B40" s="5" t="s">
        <v>19</v>
      </c>
      <c r="C40" s="8">
        <v>193.8532231086977</v>
      </c>
      <c r="D40" s="8">
        <v>194.02272066376321</v>
      </c>
      <c r="E40" s="8">
        <v>193.7593131229608</v>
      </c>
      <c r="F40" s="8">
        <v>193.89679554245291</v>
      </c>
      <c r="G40" s="7">
        <v>29189</v>
      </c>
      <c r="H40" s="9">
        <v>5659653.5650886567</v>
      </c>
      <c r="I40" s="5" t="s">
        <v>1169</v>
      </c>
    </row>
    <row r="41" spans="1:9" x14ac:dyDescent="0.25">
      <c r="A41" s="6">
        <v>45992.739583333343</v>
      </c>
      <c r="B41" s="5" t="s">
        <v>19</v>
      </c>
      <c r="C41" s="8">
        <v>194.1455896815726</v>
      </c>
      <c r="D41" s="8">
        <v>194.3311191217698</v>
      </c>
      <c r="E41" s="8">
        <v>194.03622532338781</v>
      </c>
      <c r="F41" s="8">
        <v>194.25694255205809</v>
      </c>
      <c r="G41" s="7">
        <v>63036</v>
      </c>
      <c r="H41" s="9">
        <v>12245180.630711541</v>
      </c>
      <c r="I41" s="5" t="s">
        <v>1170</v>
      </c>
    </row>
    <row r="42" spans="1:9" x14ac:dyDescent="0.25">
      <c r="A42" s="6">
        <v>45992.743055555547</v>
      </c>
      <c r="B42" s="5" t="s">
        <v>19</v>
      </c>
      <c r="C42" s="8">
        <v>194.02169467108129</v>
      </c>
      <c r="D42" s="8">
        <v>194.1895091239881</v>
      </c>
      <c r="E42" s="8">
        <v>193.80626394063449</v>
      </c>
      <c r="F42" s="8">
        <v>193.96263218050589</v>
      </c>
      <c r="G42" s="7">
        <v>52755</v>
      </c>
      <c r="H42" s="9">
        <v>10232498.660682591</v>
      </c>
      <c r="I42" s="5" t="s">
        <v>1171</v>
      </c>
    </row>
    <row r="43" spans="1:9" x14ac:dyDescent="0.25">
      <c r="A43" s="6">
        <v>45992.746527777781</v>
      </c>
      <c r="B43" s="5" t="s">
        <v>19</v>
      </c>
      <c r="C43" s="8">
        <v>194.11775421873051</v>
      </c>
      <c r="D43" s="8">
        <v>194.2121849300278</v>
      </c>
      <c r="E43" s="8">
        <v>194.04861172626519</v>
      </c>
      <c r="F43" s="8">
        <v>194.1002785609198</v>
      </c>
      <c r="G43" s="7">
        <v>56372</v>
      </c>
      <c r="H43" s="9">
        <v>10941820.90303617</v>
      </c>
      <c r="I43" s="5" t="s">
        <v>1172</v>
      </c>
    </row>
    <row r="44" spans="1:9" x14ac:dyDescent="0.25">
      <c r="A44" s="6">
        <v>45992.75</v>
      </c>
      <c r="B44" s="5" t="s">
        <v>19</v>
      </c>
      <c r="C44" s="8">
        <v>193.8831996317725</v>
      </c>
      <c r="D44" s="8">
        <v>193.97063696022889</v>
      </c>
      <c r="E44" s="8">
        <v>193.84832065830611</v>
      </c>
      <c r="F44" s="8">
        <v>193.90163185030951</v>
      </c>
      <c r="G44" s="7">
        <v>70714</v>
      </c>
      <c r="H44" s="9">
        <v>13711559.99466279</v>
      </c>
      <c r="I44" s="5" t="s">
        <v>1173</v>
      </c>
    </row>
    <row r="45" spans="1:9" x14ac:dyDescent="0.25">
      <c r="A45" s="6">
        <v>45992.753472222219</v>
      </c>
      <c r="B45" s="5" t="s">
        <v>19</v>
      </c>
      <c r="C45" s="8">
        <v>193.7671469891402</v>
      </c>
      <c r="D45" s="8">
        <v>193.80614348665549</v>
      </c>
      <c r="E45" s="8">
        <v>193.74449000946021</v>
      </c>
      <c r="F45" s="8">
        <v>193.80158891872361</v>
      </c>
      <c r="G45" s="7">
        <v>73668</v>
      </c>
      <c r="H45" s="9">
        <v>14276975.45246453</v>
      </c>
      <c r="I45" s="5" t="s">
        <v>1174</v>
      </c>
    </row>
    <row r="46" spans="1:9" x14ac:dyDescent="0.25">
      <c r="A46" s="6">
        <v>45992.756944444453</v>
      </c>
      <c r="B46" s="5" t="s">
        <v>19</v>
      </c>
      <c r="C46" s="8">
        <v>193.93388735701731</v>
      </c>
      <c r="D46" s="8">
        <v>193.95942781052531</v>
      </c>
      <c r="E46" s="8">
        <v>193.8062571626466</v>
      </c>
      <c r="F46" s="8">
        <v>193.83268655762441</v>
      </c>
      <c r="G46" s="7">
        <v>41604</v>
      </c>
      <c r="H46" s="9">
        <v>8064215.0915434035</v>
      </c>
      <c r="I46" s="5" t="s">
        <v>1175</v>
      </c>
    </row>
    <row r="47" spans="1:9" x14ac:dyDescent="0.25">
      <c r="A47" s="6">
        <v>45992.760416666657</v>
      </c>
      <c r="B47" s="5" t="s">
        <v>19</v>
      </c>
      <c r="C47" s="8">
        <v>193.8763673450616</v>
      </c>
      <c r="D47" s="8">
        <v>193.962482842892</v>
      </c>
      <c r="E47" s="8">
        <v>193.830883177472</v>
      </c>
      <c r="F47" s="8">
        <v>193.83666016078161</v>
      </c>
      <c r="G47" s="7">
        <v>76994</v>
      </c>
      <c r="H47" s="9">
        <v>14924259.812419221</v>
      </c>
      <c r="I47" s="5" t="s">
        <v>1176</v>
      </c>
    </row>
    <row r="48" spans="1:9" x14ac:dyDescent="0.25">
      <c r="A48" s="6">
        <v>45992.763888888891</v>
      </c>
      <c r="B48" s="5" t="s">
        <v>19</v>
      </c>
      <c r="C48" s="8">
        <v>193.78433557562681</v>
      </c>
      <c r="D48" s="8">
        <v>193.9276802291927</v>
      </c>
      <c r="E48" s="8">
        <v>193.7730550523973</v>
      </c>
      <c r="F48" s="8">
        <v>193.8145204797523</v>
      </c>
      <c r="G48" s="7">
        <v>68788</v>
      </c>
      <c r="H48" s="9">
        <v>13332113.234761201</v>
      </c>
      <c r="I48" s="5" t="s">
        <v>1177</v>
      </c>
    </row>
    <row r="49" spans="1:9" x14ac:dyDescent="0.25">
      <c r="A49" s="6">
        <v>45992.767361111109</v>
      </c>
      <c r="B49" s="5" t="s">
        <v>19</v>
      </c>
      <c r="C49" s="8">
        <v>194.08551409691009</v>
      </c>
      <c r="D49" s="8">
        <v>194.1259464782614</v>
      </c>
      <c r="E49" s="8">
        <v>193.95768427158299</v>
      </c>
      <c r="F49" s="8">
        <v>194.01885023361339</v>
      </c>
      <c r="G49" s="7">
        <v>66138</v>
      </c>
      <c r="H49" s="9">
        <v>12832018.716750721</v>
      </c>
      <c r="I49" s="5" t="s">
        <v>1178</v>
      </c>
    </row>
    <row r="50" spans="1:9" x14ac:dyDescent="0.25">
      <c r="A50" s="6">
        <v>45992.770833333343</v>
      </c>
      <c r="B50" s="5" t="s">
        <v>19</v>
      </c>
      <c r="C50" s="8">
        <v>193.88509382016159</v>
      </c>
      <c r="D50" s="8">
        <v>194.14411206457319</v>
      </c>
      <c r="E50" s="8">
        <v>193.8828414964824</v>
      </c>
      <c r="F50" s="8">
        <v>193.99566327719231</v>
      </c>
      <c r="G50" s="7">
        <v>77476</v>
      </c>
      <c r="H50" s="9">
        <v>15030008.00806375</v>
      </c>
      <c r="I50" s="5" t="s">
        <v>1179</v>
      </c>
    </row>
    <row r="51" spans="1:9" x14ac:dyDescent="0.25">
      <c r="A51" s="6">
        <v>45992.774305555547</v>
      </c>
      <c r="B51" s="5" t="s">
        <v>19</v>
      </c>
      <c r="C51" s="8">
        <v>193.86576925209769</v>
      </c>
      <c r="D51" s="8">
        <v>193.9341956649495</v>
      </c>
      <c r="E51" s="8">
        <v>193.7783576850905</v>
      </c>
      <c r="F51" s="8">
        <v>193.79087662302149</v>
      </c>
      <c r="G51" s="7">
        <v>36662</v>
      </c>
      <c r="H51" s="9">
        <v>7104761.1187532162</v>
      </c>
      <c r="I51" s="5" t="s">
        <v>1180</v>
      </c>
    </row>
    <row r="52" spans="1:9" x14ac:dyDescent="0.25">
      <c r="A52" s="6">
        <v>45992.777777777781</v>
      </c>
      <c r="B52" s="5" t="s">
        <v>19</v>
      </c>
      <c r="C52" s="8">
        <v>193.74840045653079</v>
      </c>
      <c r="D52" s="8">
        <v>193.78330809119859</v>
      </c>
      <c r="E52" s="8">
        <v>193.69742470102989</v>
      </c>
      <c r="F52" s="8">
        <v>193.7617586207717</v>
      </c>
      <c r="G52" s="7">
        <v>61152</v>
      </c>
      <c r="H52" s="9">
        <v>11848919.063177429</v>
      </c>
      <c r="I52" s="5" t="s">
        <v>1181</v>
      </c>
    </row>
    <row r="53" spans="1:9" x14ac:dyDescent="0.25">
      <c r="A53" s="6">
        <v>45992.78125</v>
      </c>
      <c r="B53" s="5" t="s">
        <v>19</v>
      </c>
      <c r="C53" s="8">
        <v>193.9046837976062</v>
      </c>
      <c r="D53" s="8">
        <v>194.04781660963431</v>
      </c>
      <c r="E53" s="8">
        <v>193.90246090631081</v>
      </c>
      <c r="F53" s="8">
        <v>193.93192104249471</v>
      </c>
      <c r="G53" s="7">
        <v>74602</v>
      </c>
      <c r="H53" s="9">
        <v>14467709.17361219</v>
      </c>
      <c r="I53" s="5" t="s">
        <v>1182</v>
      </c>
    </row>
    <row r="54" spans="1:9" x14ac:dyDescent="0.25">
      <c r="A54" s="6">
        <v>45992.784722222219</v>
      </c>
      <c r="B54" s="5" t="s">
        <v>19</v>
      </c>
      <c r="C54" s="8">
        <v>194.1965658842515</v>
      </c>
      <c r="D54" s="8">
        <v>194.4022713932105</v>
      </c>
      <c r="E54" s="8">
        <v>194.10523589761189</v>
      </c>
      <c r="F54" s="8">
        <v>194.14915923553201</v>
      </c>
      <c r="G54" s="7">
        <v>99820</v>
      </c>
      <c r="H54" s="9">
        <v>19379969.0748908</v>
      </c>
      <c r="I54" s="5" t="s">
        <v>1183</v>
      </c>
    </row>
    <row r="55" spans="1:9" x14ac:dyDescent="0.25">
      <c r="A55" s="6">
        <v>45992.788194444453</v>
      </c>
      <c r="B55" s="5" t="s">
        <v>19</v>
      </c>
      <c r="C55" s="8">
        <v>194.13003501153619</v>
      </c>
      <c r="D55" s="8">
        <v>194.19610948958831</v>
      </c>
      <c r="E55" s="8">
        <v>194.07141838112659</v>
      </c>
      <c r="F55" s="8">
        <v>194.16009346955479</v>
      </c>
      <c r="G55" s="7">
        <v>74883</v>
      </c>
      <c r="H55" s="9">
        <v>14539290.27928067</v>
      </c>
      <c r="I55" s="5" t="s">
        <v>1184</v>
      </c>
    </row>
    <row r="56" spans="1:9" x14ac:dyDescent="0.25">
      <c r="A56" s="6">
        <v>45992.791666666657</v>
      </c>
      <c r="B56" s="5" t="s">
        <v>19</v>
      </c>
      <c r="C56" s="8">
        <v>194.23896132424571</v>
      </c>
      <c r="D56" s="8">
        <v>194.29717506127301</v>
      </c>
      <c r="E56" s="8">
        <v>194.0734940377329</v>
      </c>
      <c r="F56" s="8">
        <v>194.15782276254129</v>
      </c>
      <c r="G56" s="7">
        <v>73985</v>
      </c>
      <c r="H56" s="9">
        <v>14364766.51708662</v>
      </c>
      <c r="I56" s="5" t="s">
        <v>1185</v>
      </c>
    </row>
    <row r="57" spans="1:9" x14ac:dyDescent="0.25">
      <c r="A57" s="6">
        <v>45992.795138888891</v>
      </c>
      <c r="B57" s="5" t="s">
        <v>19</v>
      </c>
      <c r="C57" s="8">
        <v>194.28824441853439</v>
      </c>
      <c r="D57" s="8">
        <v>194.3710279313498</v>
      </c>
      <c r="E57" s="8">
        <v>194.01952241175979</v>
      </c>
      <c r="F57" s="8">
        <v>194.32138335695871</v>
      </c>
      <c r="G57" s="7">
        <v>82140</v>
      </c>
      <c r="H57" s="9">
        <v>15961558.42894059</v>
      </c>
      <c r="I57" s="5" t="s">
        <v>1186</v>
      </c>
    </row>
    <row r="58" spans="1:9" x14ac:dyDescent="0.25">
      <c r="A58" s="6">
        <v>45992.798611111109</v>
      </c>
      <c r="B58" s="5" t="s">
        <v>19</v>
      </c>
      <c r="C58" s="8">
        <v>194.09493151899349</v>
      </c>
      <c r="D58" s="8">
        <v>194.42470844538909</v>
      </c>
      <c r="E58" s="8">
        <v>194.06896742178509</v>
      </c>
      <c r="F58" s="8">
        <v>194.21859143649181</v>
      </c>
      <c r="G58" s="7">
        <v>78137</v>
      </c>
      <c r="H58" s="9">
        <v>15175658.079073161</v>
      </c>
      <c r="I58" s="5" t="s">
        <v>1187</v>
      </c>
    </row>
    <row r="59" spans="1:9" x14ac:dyDescent="0.25">
      <c r="A59" s="6">
        <v>45992.802083333343</v>
      </c>
      <c r="B59" s="5" t="s">
        <v>19</v>
      </c>
      <c r="C59" s="8">
        <v>194.23050943229569</v>
      </c>
      <c r="D59" s="8">
        <v>194.3588763324787</v>
      </c>
      <c r="E59" s="8">
        <v>194.0467248761386</v>
      </c>
      <c r="F59" s="8">
        <v>194.20302323216089</v>
      </c>
      <c r="G59" s="7">
        <v>81634</v>
      </c>
      <c r="H59" s="9">
        <v>15853569.598534221</v>
      </c>
      <c r="I59" s="5" t="s">
        <v>1188</v>
      </c>
    </row>
    <row r="60" spans="1:9" x14ac:dyDescent="0.25">
      <c r="A60" s="6">
        <v>45992.805555555547</v>
      </c>
      <c r="B60" s="5" t="s">
        <v>19</v>
      </c>
      <c r="C60" s="8">
        <v>194.28726331925131</v>
      </c>
      <c r="D60" s="8">
        <v>194.43849950821451</v>
      </c>
      <c r="E60" s="8">
        <v>194.17638080465289</v>
      </c>
      <c r="F60" s="8">
        <v>194.28904157981569</v>
      </c>
      <c r="G60" s="7">
        <v>51684</v>
      </c>
      <c r="H60" s="9">
        <v>10041634.825011199</v>
      </c>
      <c r="I60" s="5" t="s">
        <v>1189</v>
      </c>
    </row>
    <row r="61" spans="1:9" x14ac:dyDescent="0.25">
      <c r="A61" s="6">
        <v>45992.809027777781</v>
      </c>
      <c r="B61" s="5" t="s">
        <v>19</v>
      </c>
      <c r="C61" s="8">
        <v>194.57573095456911</v>
      </c>
      <c r="D61" s="8">
        <v>194.57671460493239</v>
      </c>
      <c r="E61" s="8">
        <v>194.27254482670509</v>
      </c>
      <c r="F61" s="8">
        <v>194.4685130117675</v>
      </c>
      <c r="G61" s="7">
        <v>48490</v>
      </c>
      <c r="H61" s="9">
        <v>9429778.1959406044</v>
      </c>
      <c r="I61" s="5" t="s">
        <v>1190</v>
      </c>
    </row>
    <row r="62" spans="1:9" x14ac:dyDescent="0.25">
      <c r="A62" s="6">
        <v>45992.8125</v>
      </c>
      <c r="B62" s="5" t="s">
        <v>19</v>
      </c>
      <c r="C62" s="8">
        <v>194.51608240443761</v>
      </c>
      <c r="D62" s="8">
        <v>194.7115999653991</v>
      </c>
      <c r="E62" s="8">
        <v>194.48597448529409</v>
      </c>
      <c r="F62" s="8">
        <v>194.52622637813559</v>
      </c>
      <c r="G62" s="7">
        <v>82988</v>
      </c>
      <c r="H62" s="9">
        <v>16143342.474668721</v>
      </c>
      <c r="I62" s="5" t="s">
        <v>1191</v>
      </c>
    </row>
    <row r="63" spans="1:9" x14ac:dyDescent="0.25">
      <c r="A63" s="6">
        <v>45992.815972222219</v>
      </c>
      <c r="B63" s="5" t="s">
        <v>19</v>
      </c>
      <c r="C63" s="8">
        <v>194.49615767369951</v>
      </c>
      <c r="D63" s="8">
        <v>194.66282357842181</v>
      </c>
      <c r="E63" s="8">
        <v>194.3503189811415</v>
      </c>
      <c r="F63" s="8">
        <v>194.50026873593839</v>
      </c>
      <c r="G63" s="7">
        <v>35448</v>
      </c>
      <c r="H63" s="9">
        <v>6894645.5261515426</v>
      </c>
      <c r="I63" s="5" t="s">
        <v>1192</v>
      </c>
    </row>
    <row r="64" spans="1:9" x14ac:dyDescent="0.25">
      <c r="A64" s="6">
        <v>45992.819444444453</v>
      </c>
      <c r="B64" s="5" t="s">
        <v>19</v>
      </c>
      <c r="C64" s="8">
        <v>194.31599708975119</v>
      </c>
      <c r="D64" s="8">
        <v>194.54279871937109</v>
      </c>
      <c r="E64" s="8">
        <v>194.2798905599542</v>
      </c>
      <c r="F64" s="8">
        <v>194.38577902549221</v>
      </c>
      <c r="G64" s="7">
        <v>44248</v>
      </c>
      <c r="H64" s="9">
        <v>8601181.9503199775</v>
      </c>
      <c r="I64" s="5" t="s">
        <v>1193</v>
      </c>
    </row>
    <row r="65" spans="1:9" x14ac:dyDescent="0.25">
      <c r="A65" s="6">
        <v>45992.822916666657</v>
      </c>
      <c r="B65" s="5" t="s">
        <v>19</v>
      </c>
      <c r="C65" s="8">
        <v>194.44503057747991</v>
      </c>
      <c r="D65" s="8">
        <v>194.51620796408039</v>
      </c>
      <c r="E65" s="8">
        <v>194.18945071174551</v>
      </c>
      <c r="F65" s="8">
        <v>194.27827761569301</v>
      </c>
      <c r="G65" s="7">
        <v>66603</v>
      </c>
      <c r="H65" s="9">
        <v>12939516.124038</v>
      </c>
      <c r="I65" s="5" t="s">
        <v>1194</v>
      </c>
    </row>
    <row r="66" spans="1:9" x14ac:dyDescent="0.25">
      <c r="A66" s="6">
        <v>45992.826388888891</v>
      </c>
      <c r="B66" s="5" t="s">
        <v>19</v>
      </c>
      <c r="C66" s="8">
        <v>194.40280415694409</v>
      </c>
      <c r="D66" s="8">
        <v>194.50878780676729</v>
      </c>
      <c r="E66" s="8">
        <v>194.254675806661</v>
      </c>
      <c r="F66" s="8">
        <v>194.38987634538759</v>
      </c>
      <c r="G66" s="7">
        <v>73765</v>
      </c>
      <c r="H66" s="9">
        <v>14339169.22861751</v>
      </c>
      <c r="I66" s="5" t="s">
        <v>1195</v>
      </c>
    </row>
    <row r="67" spans="1:9" x14ac:dyDescent="0.25">
      <c r="A67" s="6">
        <v>45992.829861111109</v>
      </c>
      <c r="B67" s="5" t="s">
        <v>19</v>
      </c>
      <c r="C67" s="8">
        <v>194.28467700709061</v>
      </c>
      <c r="D67" s="8">
        <v>194.5169675060701</v>
      </c>
      <c r="E67" s="8">
        <v>194.19429627926181</v>
      </c>
      <c r="F67" s="8">
        <v>194.3803957241835</v>
      </c>
      <c r="G67" s="7">
        <v>55031</v>
      </c>
      <c r="H67" s="9">
        <v>10696947.557097539</v>
      </c>
      <c r="I67" s="5" t="s">
        <v>1196</v>
      </c>
    </row>
    <row r="68" spans="1:9" x14ac:dyDescent="0.25">
      <c r="A68" s="6">
        <v>45992.833333333343</v>
      </c>
      <c r="B68" s="5" t="s">
        <v>19</v>
      </c>
      <c r="C68" s="8">
        <v>194.34835875231619</v>
      </c>
      <c r="D68" s="8">
        <v>194.4284702236566</v>
      </c>
      <c r="E68" s="8">
        <v>194.1776500687472</v>
      </c>
      <c r="F68" s="8">
        <v>194.33486454032911</v>
      </c>
      <c r="G68" s="7">
        <v>67029</v>
      </c>
      <c r="H68" s="9">
        <v>13026071.635273719</v>
      </c>
      <c r="I68" s="5" t="s">
        <v>1197</v>
      </c>
    </row>
    <row r="69" spans="1:9" x14ac:dyDescent="0.25">
      <c r="A69" s="6">
        <v>45992.836805555547</v>
      </c>
      <c r="B69" s="5" t="s">
        <v>19</v>
      </c>
      <c r="C69" s="8">
        <v>194.10591636438249</v>
      </c>
      <c r="D69" s="8">
        <v>194.27376450222991</v>
      </c>
      <c r="E69" s="8">
        <v>194.07161341091259</v>
      </c>
      <c r="F69" s="8">
        <v>194.08316631583841</v>
      </c>
      <c r="G69" s="7">
        <v>57098</v>
      </c>
      <c r="H69" s="9">
        <v>11081760.63030174</v>
      </c>
      <c r="I69" s="5" t="s">
        <v>1198</v>
      </c>
    </row>
    <row r="70" spans="1:9" x14ac:dyDescent="0.25">
      <c r="A70" s="6">
        <v>45992.840277777781</v>
      </c>
      <c r="B70" s="5" t="s">
        <v>19</v>
      </c>
      <c r="C70" s="8">
        <v>194.33247372047811</v>
      </c>
      <c r="D70" s="8">
        <v>194.55958146453099</v>
      </c>
      <c r="E70" s="8">
        <v>194.25712977990241</v>
      </c>
      <c r="F70" s="8">
        <v>194.39454681380889</v>
      </c>
      <c r="G70" s="7">
        <v>40404</v>
      </c>
      <c r="H70" s="9">
        <v>7854317.2694651363</v>
      </c>
      <c r="I70" s="5" t="s">
        <v>1199</v>
      </c>
    </row>
    <row r="71" spans="1:9" x14ac:dyDescent="0.25">
      <c r="A71" s="6">
        <v>45992.84375</v>
      </c>
      <c r="B71" s="5" t="s">
        <v>19</v>
      </c>
      <c r="C71" s="8">
        <v>194.31589226617041</v>
      </c>
      <c r="D71" s="8">
        <v>194.40589675592591</v>
      </c>
      <c r="E71" s="8">
        <v>194.09790181198619</v>
      </c>
      <c r="F71" s="8">
        <v>194.2913648672193</v>
      </c>
      <c r="G71" s="7">
        <v>46266</v>
      </c>
      <c r="H71" s="9">
        <v>8989084.2869467661</v>
      </c>
      <c r="I71" s="5" t="s">
        <v>1200</v>
      </c>
    </row>
    <row r="72" spans="1:9" x14ac:dyDescent="0.25">
      <c r="A72" s="6">
        <v>45992.847222222219</v>
      </c>
      <c r="B72" s="5" t="s">
        <v>19</v>
      </c>
      <c r="C72" s="8">
        <v>194.86855645245029</v>
      </c>
      <c r="D72" s="8">
        <v>194.89235303668539</v>
      </c>
      <c r="E72" s="8">
        <v>194.48498944239719</v>
      </c>
      <c r="F72" s="8">
        <v>194.75274564180549</v>
      </c>
      <c r="G72" s="7">
        <v>58157</v>
      </c>
      <c r="H72" s="9">
        <v>11326235.428290481</v>
      </c>
      <c r="I72" s="5" t="s">
        <v>1201</v>
      </c>
    </row>
    <row r="73" spans="1:9" x14ac:dyDescent="0.25">
      <c r="A73" s="6">
        <v>45992.850694444453</v>
      </c>
      <c r="B73" s="5" t="s">
        <v>19</v>
      </c>
      <c r="C73" s="8">
        <v>194.6311103293398</v>
      </c>
      <c r="D73" s="8">
        <v>194.7740825424097</v>
      </c>
      <c r="E73" s="8">
        <v>194.6077365814931</v>
      </c>
      <c r="F73" s="8">
        <v>194.76545460522669</v>
      </c>
      <c r="G73" s="7">
        <v>45478</v>
      </c>
      <c r="H73" s="9">
        <v>8857543.3445365001</v>
      </c>
      <c r="I73" s="5" t="s">
        <v>1202</v>
      </c>
    </row>
    <row r="74" spans="1:9" x14ac:dyDescent="0.25">
      <c r="A74" s="6">
        <v>45992.854166666657</v>
      </c>
      <c r="B74" s="5" t="s">
        <v>19</v>
      </c>
      <c r="C74" s="8">
        <v>194.93407102262651</v>
      </c>
      <c r="D74" s="8">
        <v>194.99093452605891</v>
      </c>
      <c r="E74" s="8">
        <v>194.84846379202909</v>
      </c>
      <c r="F74" s="8">
        <v>194.87529575375271</v>
      </c>
      <c r="G74" s="7">
        <v>47611</v>
      </c>
      <c r="H74" s="9">
        <v>9278207.7061319184</v>
      </c>
      <c r="I74" s="5" t="s">
        <v>1203</v>
      </c>
    </row>
    <row r="75" spans="1:9" x14ac:dyDescent="0.25">
      <c r="A75" s="6">
        <v>45992.857638888891</v>
      </c>
      <c r="B75" s="5" t="s">
        <v>19</v>
      </c>
      <c r="C75" s="8">
        <v>194.74197906202301</v>
      </c>
      <c r="D75" s="8">
        <v>194.80313835220119</v>
      </c>
      <c r="E75" s="8">
        <v>194.67151827817619</v>
      </c>
      <c r="F75" s="8">
        <v>194.73733476817699</v>
      </c>
      <c r="G75" s="7">
        <v>27590</v>
      </c>
      <c r="H75" s="9">
        <v>5372803.0662540039</v>
      </c>
      <c r="I75" s="5" t="s">
        <v>1204</v>
      </c>
    </row>
    <row r="76" spans="1:9" x14ac:dyDescent="0.25">
      <c r="A76" s="6">
        <v>45992.861111111109</v>
      </c>
      <c r="B76" s="5" t="s">
        <v>19</v>
      </c>
      <c r="C76" s="8">
        <v>194.7466795312541</v>
      </c>
      <c r="D76" s="8">
        <v>194.8542636564502</v>
      </c>
      <c r="E76" s="8">
        <v>194.53880386045611</v>
      </c>
      <c r="F76" s="8">
        <v>194.84000152928769</v>
      </c>
      <c r="G76" s="7">
        <v>59522</v>
      </c>
      <c r="H76" s="9">
        <v>11597266.571026269</v>
      </c>
      <c r="I76" s="5" t="s">
        <v>1205</v>
      </c>
    </row>
    <row r="77" spans="1:9" x14ac:dyDescent="0.25">
      <c r="A77" s="6">
        <v>45992.864583333343</v>
      </c>
      <c r="B77" s="5" t="s">
        <v>19</v>
      </c>
      <c r="C77" s="8">
        <v>194.5460543411792</v>
      </c>
      <c r="D77" s="8">
        <v>194.76805684517129</v>
      </c>
      <c r="E77" s="8">
        <v>194.54407598342181</v>
      </c>
      <c r="F77" s="8">
        <v>194.6313717258333</v>
      </c>
      <c r="G77" s="7">
        <v>72323</v>
      </c>
      <c r="H77" s="9">
        <v>14076324.697327441</v>
      </c>
      <c r="I77" s="5" t="s">
        <v>1206</v>
      </c>
    </row>
    <row r="78" spans="1:9" x14ac:dyDescent="0.25">
      <c r="A78" s="6">
        <v>45992.868055555547</v>
      </c>
      <c r="B78" s="5" t="s">
        <v>19</v>
      </c>
      <c r="C78" s="8">
        <v>194.79076677602839</v>
      </c>
      <c r="D78" s="8">
        <v>194.8296988604387</v>
      </c>
      <c r="E78" s="8">
        <v>194.6800460254257</v>
      </c>
      <c r="F78" s="8">
        <v>194.79363037644251</v>
      </c>
      <c r="G78" s="7">
        <v>20355</v>
      </c>
      <c r="H78" s="9">
        <v>3965024.346312487</v>
      </c>
      <c r="I78" s="5" t="s">
        <v>1207</v>
      </c>
    </row>
    <row r="79" spans="1:9" x14ac:dyDescent="0.25">
      <c r="A79" s="6">
        <v>45992.871527777781</v>
      </c>
      <c r="B79" s="5" t="s">
        <v>19</v>
      </c>
      <c r="C79" s="8">
        <v>194.5234418766905</v>
      </c>
      <c r="D79" s="8">
        <v>194.54795920148871</v>
      </c>
      <c r="E79" s="8">
        <v>194.47634076338451</v>
      </c>
      <c r="F79" s="8">
        <v>194.52750323202369</v>
      </c>
      <c r="G79" s="7">
        <v>57277</v>
      </c>
      <c r="H79" s="9">
        <v>11141951.80262062</v>
      </c>
      <c r="I79" s="5" t="s">
        <v>1208</v>
      </c>
    </row>
    <row r="80" spans="1:9" x14ac:dyDescent="0.25">
      <c r="A80" s="6">
        <v>45992.875</v>
      </c>
      <c r="B80" s="5" t="s">
        <v>19</v>
      </c>
      <c r="C80" s="8">
        <v>194.60138386249349</v>
      </c>
      <c r="D80" s="8">
        <v>194.70472244439031</v>
      </c>
      <c r="E80" s="8">
        <v>194.52188183671839</v>
      </c>
      <c r="F80" s="8">
        <v>194.55540270914511</v>
      </c>
      <c r="G80" s="7">
        <v>34114</v>
      </c>
      <c r="H80" s="9">
        <v>6637063.0080197742</v>
      </c>
      <c r="I80" s="5" t="s">
        <v>1209</v>
      </c>
    </row>
    <row r="81" spans="1:9" x14ac:dyDescent="0.25">
      <c r="A81" s="6">
        <v>45993.604166666657</v>
      </c>
      <c r="B81" s="5" t="s">
        <v>19</v>
      </c>
      <c r="C81" s="8">
        <v>194.72800039010039</v>
      </c>
      <c r="D81" s="8">
        <v>194.78522964128669</v>
      </c>
      <c r="E81" s="8">
        <v>194.54553938386289</v>
      </c>
      <c r="F81" s="8">
        <v>194.72575610248981</v>
      </c>
      <c r="G81" s="7">
        <v>87364</v>
      </c>
      <c r="H81" s="9">
        <v>17012020.956137922</v>
      </c>
      <c r="I81" s="5" t="s">
        <v>1210</v>
      </c>
    </row>
    <row r="82" spans="1:9" x14ac:dyDescent="0.25">
      <c r="A82" s="6">
        <v>45993.607638888891</v>
      </c>
      <c r="B82" s="5" t="s">
        <v>19</v>
      </c>
      <c r="C82" s="8">
        <v>194.7612529610233</v>
      </c>
      <c r="D82" s="8">
        <v>194.92855725336301</v>
      </c>
      <c r="E82" s="8">
        <v>194.66454738940581</v>
      </c>
      <c r="F82" s="8">
        <v>194.7152406587667</v>
      </c>
      <c r="G82" s="7">
        <v>62857</v>
      </c>
      <c r="H82" s="9">
        <v>12239215.882088101</v>
      </c>
      <c r="I82" s="5" t="s">
        <v>1211</v>
      </c>
    </row>
    <row r="83" spans="1:9" x14ac:dyDescent="0.25">
      <c r="A83" s="6">
        <v>45993.611111111109</v>
      </c>
      <c r="B83" s="5" t="s">
        <v>19</v>
      </c>
      <c r="C83" s="8">
        <v>194.5096543847034</v>
      </c>
      <c r="D83" s="8">
        <v>194.5918242696317</v>
      </c>
      <c r="E83" s="8">
        <v>194.35194441110119</v>
      </c>
      <c r="F83" s="8">
        <v>194.43164918314821</v>
      </c>
      <c r="G83" s="7">
        <v>51690</v>
      </c>
      <c r="H83" s="9">
        <v>10050171.946276929</v>
      </c>
      <c r="I83" s="5" t="s">
        <v>1212</v>
      </c>
    </row>
    <row r="84" spans="1:9" x14ac:dyDescent="0.25">
      <c r="A84" s="6">
        <v>45993.614583333343</v>
      </c>
      <c r="B84" s="5" t="s">
        <v>19</v>
      </c>
      <c r="C84" s="8">
        <v>194.68211975754701</v>
      </c>
      <c r="D84" s="8">
        <v>194.7790772326837</v>
      </c>
      <c r="E84" s="8">
        <v>194.42681333858491</v>
      </c>
      <c r="F84" s="8">
        <v>194.60550774751201</v>
      </c>
      <c r="G84" s="7">
        <v>57182</v>
      </c>
      <c r="H84" s="9">
        <v>11127932.144018229</v>
      </c>
      <c r="I84" s="5" t="s">
        <v>1213</v>
      </c>
    </row>
    <row r="85" spans="1:9" x14ac:dyDescent="0.25">
      <c r="A85" s="6">
        <v>45993.618055555547</v>
      </c>
      <c r="B85" s="5" t="s">
        <v>19</v>
      </c>
      <c r="C85" s="8">
        <v>194.73249683540229</v>
      </c>
      <c r="D85" s="8">
        <v>194.82588298900859</v>
      </c>
      <c r="E85" s="8">
        <v>194.67544618166599</v>
      </c>
      <c r="F85" s="8">
        <v>194.75419121537749</v>
      </c>
      <c r="G85" s="7">
        <v>22776</v>
      </c>
      <c r="H85" s="9">
        <v>4435721.4591214387</v>
      </c>
      <c r="I85" s="5" t="s">
        <v>1214</v>
      </c>
    </row>
    <row r="86" spans="1:9" x14ac:dyDescent="0.25">
      <c r="A86" s="6">
        <v>45993.621527777781</v>
      </c>
      <c r="B86" s="5" t="s">
        <v>19</v>
      </c>
      <c r="C86" s="8">
        <v>194.5568790150657</v>
      </c>
      <c r="D86" s="8">
        <v>194.67210979919619</v>
      </c>
      <c r="E86" s="8">
        <v>194.47093359654821</v>
      </c>
      <c r="F86" s="8">
        <v>194.63768068586569</v>
      </c>
      <c r="G86" s="7">
        <v>40525</v>
      </c>
      <c r="H86" s="9">
        <v>7887692.0097947055</v>
      </c>
      <c r="I86" s="5" t="s">
        <v>1215</v>
      </c>
    </row>
    <row r="87" spans="1:9" x14ac:dyDescent="0.25">
      <c r="A87" s="6">
        <v>45993.625</v>
      </c>
      <c r="B87" s="5" t="s">
        <v>19</v>
      </c>
      <c r="C87" s="8">
        <v>194.48998371631609</v>
      </c>
      <c r="D87" s="8">
        <v>194.5772308316499</v>
      </c>
      <c r="E87" s="8">
        <v>194.41035496389861</v>
      </c>
      <c r="F87" s="8">
        <v>194.57569869472559</v>
      </c>
      <c r="G87" s="7">
        <v>52465</v>
      </c>
      <c r="H87" s="9">
        <v>10208414.032018781</v>
      </c>
      <c r="I87" s="5" t="s">
        <v>1216</v>
      </c>
    </row>
    <row r="88" spans="1:9" x14ac:dyDescent="0.25">
      <c r="A88" s="6">
        <v>45993.628472222219</v>
      </c>
      <c r="B88" s="5" t="s">
        <v>19</v>
      </c>
      <c r="C88" s="8">
        <v>194.50333170092301</v>
      </c>
      <c r="D88" s="8">
        <v>194.51603514319521</v>
      </c>
      <c r="E88" s="8">
        <v>194.38891998153099</v>
      </c>
      <c r="F88" s="8">
        <v>194.45011481317991</v>
      </c>
      <c r="G88" s="7">
        <v>70821</v>
      </c>
      <c r="H88" s="9">
        <v>13771151.58118421</v>
      </c>
      <c r="I88" s="5" t="s">
        <v>1217</v>
      </c>
    </row>
    <row r="89" spans="1:9" x14ac:dyDescent="0.25">
      <c r="A89" s="6">
        <v>45993.631944444453</v>
      </c>
      <c r="B89" s="5" t="s">
        <v>19</v>
      </c>
      <c r="C89" s="8">
        <v>194.3422595735266</v>
      </c>
      <c r="D89" s="8">
        <v>194.38296749135881</v>
      </c>
      <c r="E89" s="8">
        <v>194.27246743202321</v>
      </c>
      <c r="F89" s="8">
        <v>194.30903428225511</v>
      </c>
      <c r="G89" s="7">
        <v>52075</v>
      </c>
      <c r="H89" s="9">
        <v>10118642.960248441</v>
      </c>
      <c r="I89" s="5" t="s">
        <v>1218</v>
      </c>
    </row>
    <row r="90" spans="1:9" x14ac:dyDescent="0.25">
      <c r="A90" s="6">
        <v>45993.635416666657</v>
      </c>
      <c r="B90" s="5" t="s">
        <v>19</v>
      </c>
      <c r="C90" s="8">
        <v>194.280162948156</v>
      </c>
      <c r="D90" s="8">
        <v>194.53450982431301</v>
      </c>
      <c r="E90" s="8">
        <v>194.1376450410381</v>
      </c>
      <c r="F90" s="8">
        <v>194.23438858550509</v>
      </c>
      <c r="G90" s="7">
        <v>72190</v>
      </c>
      <c r="H90" s="9">
        <v>14021780.511987619</v>
      </c>
      <c r="I90" s="5" t="s">
        <v>1219</v>
      </c>
    </row>
    <row r="91" spans="1:9" x14ac:dyDescent="0.25">
      <c r="A91" s="6">
        <v>45993.638888888891</v>
      </c>
      <c r="B91" s="5" t="s">
        <v>19</v>
      </c>
      <c r="C91" s="8">
        <v>194.21608240058899</v>
      </c>
      <c r="D91" s="8">
        <v>194.2671588966393</v>
      </c>
      <c r="E91" s="8">
        <v>194.04685665514651</v>
      </c>
      <c r="F91" s="8">
        <v>194.1703636332031</v>
      </c>
      <c r="G91" s="7">
        <v>22512</v>
      </c>
      <c r="H91" s="9">
        <v>4371163.226110667</v>
      </c>
      <c r="I91" s="5" t="s">
        <v>1220</v>
      </c>
    </row>
    <row r="92" spans="1:9" x14ac:dyDescent="0.25">
      <c r="A92" s="6">
        <v>45993.642361111109</v>
      </c>
      <c r="B92" s="5" t="s">
        <v>19</v>
      </c>
      <c r="C92" s="8">
        <v>194.00779069030051</v>
      </c>
      <c r="D92" s="8">
        <v>194.07789643255629</v>
      </c>
      <c r="E92" s="8">
        <v>193.92352932973759</v>
      </c>
      <c r="F92" s="8">
        <v>194.065322435203</v>
      </c>
      <c r="G92" s="7">
        <v>47841</v>
      </c>
      <c r="H92" s="9">
        <v>9284279.0906225462</v>
      </c>
      <c r="I92" s="5" t="s">
        <v>1221</v>
      </c>
    </row>
    <row r="93" spans="1:9" x14ac:dyDescent="0.25">
      <c r="A93" s="6">
        <v>45993.645833333343</v>
      </c>
      <c r="B93" s="5" t="s">
        <v>19</v>
      </c>
      <c r="C93" s="8">
        <v>194.29521268782881</v>
      </c>
      <c r="D93" s="8">
        <v>194.62440674412019</v>
      </c>
      <c r="E93" s="8">
        <v>194.14824451466279</v>
      </c>
      <c r="F93" s="8">
        <v>194.1844152464605</v>
      </c>
      <c r="G93" s="7">
        <v>66784</v>
      </c>
      <c r="H93" s="9">
        <v>12968411.987819619</v>
      </c>
      <c r="I93" s="5" t="s">
        <v>1222</v>
      </c>
    </row>
    <row r="94" spans="1:9" x14ac:dyDescent="0.25">
      <c r="A94" s="6">
        <v>45993.649305555547</v>
      </c>
      <c r="B94" s="5" t="s">
        <v>19</v>
      </c>
      <c r="C94" s="8">
        <v>194.16513638915251</v>
      </c>
      <c r="D94" s="8">
        <v>194.3429364862597</v>
      </c>
      <c r="E94" s="8">
        <v>194.05531592513381</v>
      </c>
      <c r="F94" s="8">
        <v>194.18524243121271</v>
      </c>
      <c r="G94" s="7">
        <v>77168</v>
      </c>
      <c r="H94" s="9">
        <v>14984886.78793182</v>
      </c>
      <c r="I94" s="5" t="s">
        <v>1223</v>
      </c>
    </row>
    <row r="95" spans="1:9" x14ac:dyDescent="0.25">
      <c r="A95" s="6">
        <v>45993.652777777781</v>
      </c>
      <c r="B95" s="5" t="s">
        <v>19</v>
      </c>
      <c r="C95" s="8">
        <v>194.3788871918243</v>
      </c>
      <c r="D95" s="8">
        <v>194.47640774469861</v>
      </c>
      <c r="E95" s="8">
        <v>194.36208771462671</v>
      </c>
      <c r="F95" s="8">
        <v>194.37324990595039</v>
      </c>
      <c r="G95" s="7">
        <v>55049</v>
      </c>
      <c r="H95" s="9">
        <v>10700053.034072669</v>
      </c>
      <c r="I95" s="5" t="s">
        <v>1224</v>
      </c>
    </row>
    <row r="96" spans="1:9" x14ac:dyDescent="0.25">
      <c r="A96" s="6">
        <v>45993.65625</v>
      </c>
      <c r="B96" s="5" t="s">
        <v>19</v>
      </c>
      <c r="C96" s="8">
        <v>194.47559739733751</v>
      </c>
      <c r="D96" s="8">
        <v>194.54815112986159</v>
      </c>
      <c r="E96" s="8">
        <v>194.4464477894077</v>
      </c>
      <c r="F96" s="8">
        <v>194.46869575479991</v>
      </c>
      <c r="G96" s="7">
        <v>39624</v>
      </c>
      <c r="H96" s="9">
        <v>7705627.6005881913</v>
      </c>
      <c r="I96" s="5" t="s">
        <v>1225</v>
      </c>
    </row>
    <row r="97" spans="1:9" x14ac:dyDescent="0.25">
      <c r="A97" s="6">
        <v>45993.659722222219</v>
      </c>
      <c r="B97" s="5" t="s">
        <v>19</v>
      </c>
      <c r="C97" s="8">
        <v>194.68124480179881</v>
      </c>
      <c r="D97" s="8">
        <v>194.81890438527219</v>
      </c>
      <c r="E97" s="8">
        <v>194.5630512086596</v>
      </c>
      <c r="F97" s="8">
        <v>194.61221573832719</v>
      </c>
      <c r="G97" s="7">
        <v>42321</v>
      </c>
      <c r="H97" s="9">
        <v>8236183.5822617449</v>
      </c>
      <c r="I97" s="5" t="s">
        <v>1226</v>
      </c>
    </row>
    <row r="98" spans="1:9" x14ac:dyDescent="0.25">
      <c r="A98" s="6">
        <v>45993.663194444453</v>
      </c>
      <c r="B98" s="5" t="s">
        <v>19</v>
      </c>
      <c r="C98" s="8">
        <v>194.85275899051641</v>
      </c>
      <c r="D98" s="8">
        <v>194.87966949847751</v>
      </c>
      <c r="E98" s="8">
        <v>194.68363451396061</v>
      </c>
      <c r="F98" s="8">
        <v>194.79992231954819</v>
      </c>
      <c r="G98" s="7">
        <v>51488</v>
      </c>
      <c r="H98" s="9">
        <v>10029858.4003889</v>
      </c>
      <c r="I98" s="5" t="s">
        <v>1227</v>
      </c>
    </row>
    <row r="99" spans="1:9" x14ac:dyDescent="0.25">
      <c r="A99" s="6">
        <v>45993.666666666657</v>
      </c>
      <c r="B99" s="5" t="s">
        <v>19</v>
      </c>
      <c r="C99" s="8">
        <v>194.65397313741161</v>
      </c>
      <c r="D99" s="8">
        <v>194.70364298904721</v>
      </c>
      <c r="E99" s="8">
        <v>194.61620112291089</v>
      </c>
      <c r="F99" s="8">
        <v>194.68718988084359</v>
      </c>
      <c r="G99" s="7">
        <v>63197</v>
      </c>
      <c r="H99" s="9">
        <v>12303646.33889967</v>
      </c>
      <c r="I99" s="5" t="s">
        <v>1228</v>
      </c>
    </row>
    <row r="100" spans="1:9" x14ac:dyDescent="0.25">
      <c r="A100" s="6">
        <v>45993.670138888891</v>
      </c>
      <c r="B100" s="5" t="s">
        <v>19</v>
      </c>
      <c r="C100" s="8">
        <v>194.62405850065809</v>
      </c>
      <c r="D100" s="8">
        <v>194.74328160817561</v>
      </c>
      <c r="E100" s="8">
        <v>194.52152954725881</v>
      </c>
      <c r="F100" s="8">
        <v>194.57942026321899</v>
      </c>
      <c r="G100" s="7">
        <v>36333</v>
      </c>
      <c r="H100" s="9">
        <v>7069654.0764235361</v>
      </c>
      <c r="I100" s="5" t="s">
        <v>1229</v>
      </c>
    </row>
    <row r="101" spans="1:9" x14ac:dyDescent="0.25">
      <c r="A101" s="6">
        <v>45993.673611111109</v>
      </c>
      <c r="B101" s="5" t="s">
        <v>19</v>
      </c>
      <c r="C101" s="8">
        <v>194.7726912190046</v>
      </c>
      <c r="D101" s="8">
        <v>194.7917690164482</v>
      </c>
      <c r="E101" s="8">
        <v>194.55589031652519</v>
      </c>
      <c r="F101" s="8">
        <v>194.70618601422319</v>
      </c>
      <c r="G101" s="7">
        <v>65733</v>
      </c>
      <c r="H101" s="9">
        <v>12798621.72527294</v>
      </c>
      <c r="I101" s="5" t="s">
        <v>1230</v>
      </c>
    </row>
    <row r="102" spans="1:9" x14ac:dyDescent="0.25">
      <c r="A102" s="6">
        <v>45993.677083333343</v>
      </c>
      <c r="B102" s="5" t="s">
        <v>19</v>
      </c>
      <c r="C102" s="8">
        <v>194.863611987479</v>
      </c>
      <c r="D102" s="8">
        <v>195.02927176675581</v>
      </c>
      <c r="E102" s="8">
        <v>194.8269424120536</v>
      </c>
      <c r="F102" s="8">
        <v>194.97336209892609</v>
      </c>
      <c r="G102" s="7">
        <v>44378</v>
      </c>
      <c r="H102" s="9">
        <v>8652527.8632261436</v>
      </c>
      <c r="I102" s="5" t="s">
        <v>1231</v>
      </c>
    </row>
    <row r="103" spans="1:9" x14ac:dyDescent="0.25">
      <c r="A103" s="6">
        <v>45993.680555555547</v>
      </c>
      <c r="B103" s="5" t="s">
        <v>19</v>
      </c>
      <c r="C103" s="8">
        <v>194.9847789423645</v>
      </c>
      <c r="D103" s="8">
        <v>195.0955375357872</v>
      </c>
      <c r="E103" s="8">
        <v>194.83113963884449</v>
      </c>
      <c r="F103" s="8">
        <v>195.060784175067</v>
      </c>
      <c r="G103" s="7">
        <v>63693</v>
      </c>
      <c r="H103" s="9">
        <v>12424006.52646254</v>
      </c>
      <c r="I103" s="5" t="s">
        <v>1232</v>
      </c>
    </row>
    <row r="104" spans="1:9" x14ac:dyDescent="0.25">
      <c r="A104" s="6">
        <v>45993.684027777781</v>
      </c>
      <c r="B104" s="5" t="s">
        <v>19</v>
      </c>
      <c r="C104" s="8">
        <v>194.8029017630611</v>
      </c>
      <c r="D104" s="8">
        <v>195.05685917816189</v>
      </c>
      <c r="E104" s="8">
        <v>194.58769651484471</v>
      </c>
      <c r="F104" s="8">
        <v>194.90694164898071</v>
      </c>
      <c r="G104" s="7">
        <v>104806</v>
      </c>
      <c r="H104" s="9">
        <v>20427416.926463071</v>
      </c>
      <c r="I104" s="5" t="s">
        <v>1233</v>
      </c>
    </row>
    <row r="105" spans="1:9" x14ac:dyDescent="0.25">
      <c r="A105" s="6">
        <v>45993.6875</v>
      </c>
      <c r="B105" s="5" t="s">
        <v>19</v>
      </c>
      <c r="C105" s="8">
        <v>194.80207881872781</v>
      </c>
      <c r="D105" s="8">
        <v>195.0149618590749</v>
      </c>
      <c r="E105" s="8">
        <v>194.67733785519599</v>
      </c>
      <c r="F105" s="8">
        <v>194.86317801402191</v>
      </c>
      <c r="G105" s="7">
        <v>53234</v>
      </c>
      <c r="H105" s="9">
        <v>10373346.41839844</v>
      </c>
      <c r="I105" s="5" t="s">
        <v>1234</v>
      </c>
    </row>
    <row r="106" spans="1:9" x14ac:dyDescent="0.25">
      <c r="A106" s="6">
        <v>45993.690972222219</v>
      </c>
      <c r="B106" s="5" t="s">
        <v>19</v>
      </c>
      <c r="C106" s="8">
        <v>194.73611985843931</v>
      </c>
      <c r="D106" s="8">
        <v>194.8234460844543</v>
      </c>
      <c r="E106" s="8">
        <v>194.546845458381</v>
      </c>
      <c r="F106" s="8">
        <v>194.63823779159449</v>
      </c>
      <c r="G106" s="7">
        <v>66683</v>
      </c>
      <c r="H106" s="9">
        <v>12979061.6106569</v>
      </c>
      <c r="I106" s="5" t="s">
        <v>1235</v>
      </c>
    </row>
    <row r="107" spans="1:9" x14ac:dyDescent="0.25">
      <c r="A107" s="6">
        <v>45993.694444444453</v>
      </c>
      <c r="B107" s="5" t="s">
        <v>19</v>
      </c>
      <c r="C107" s="8">
        <v>194.96975289443341</v>
      </c>
      <c r="D107" s="8">
        <v>195.026818902619</v>
      </c>
      <c r="E107" s="8">
        <v>194.8624744767007</v>
      </c>
      <c r="F107" s="8">
        <v>194.89234305616699</v>
      </c>
      <c r="G107" s="7">
        <v>63085</v>
      </c>
      <c r="H107" s="9">
        <v>12294783.461698299</v>
      </c>
      <c r="I107" s="5" t="s">
        <v>1236</v>
      </c>
    </row>
    <row r="108" spans="1:9" x14ac:dyDescent="0.25">
      <c r="A108" s="6">
        <v>45993.697916666657</v>
      </c>
      <c r="B108" s="5" t="s">
        <v>19</v>
      </c>
      <c r="C108" s="8">
        <v>195.00024578981461</v>
      </c>
      <c r="D108" s="8">
        <v>195.1106738497881</v>
      </c>
      <c r="E108" s="8">
        <v>194.8378570769253</v>
      </c>
      <c r="F108" s="8">
        <v>194.98528819728719</v>
      </c>
      <c r="G108" s="7">
        <v>63670</v>
      </c>
      <c r="H108" s="9">
        <v>12414713.299521269</v>
      </c>
      <c r="I108" s="5" t="s">
        <v>1237</v>
      </c>
    </row>
    <row r="109" spans="1:9" x14ac:dyDescent="0.25">
      <c r="A109" s="6">
        <v>45993.701388888891</v>
      </c>
      <c r="B109" s="5" t="s">
        <v>19</v>
      </c>
      <c r="C109" s="8">
        <v>194.85725053962551</v>
      </c>
      <c r="D109" s="8">
        <v>194.86191890761549</v>
      </c>
      <c r="E109" s="8">
        <v>194.657678777857</v>
      </c>
      <c r="F109" s="8">
        <v>194.7775929285508</v>
      </c>
      <c r="G109" s="7">
        <v>53499</v>
      </c>
      <c r="H109" s="9">
        <v>10420406.44408454</v>
      </c>
      <c r="I109" s="5" t="s">
        <v>1238</v>
      </c>
    </row>
    <row r="110" spans="1:9" x14ac:dyDescent="0.25">
      <c r="A110" s="6">
        <v>45993.704861111109</v>
      </c>
      <c r="B110" s="5" t="s">
        <v>19</v>
      </c>
      <c r="C110" s="8">
        <v>194.6809967735569</v>
      </c>
      <c r="D110" s="8">
        <v>194.79914967330561</v>
      </c>
      <c r="E110" s="8">
        <v>194.51227517176591</v>
      </c>
      <c r="F110" s="8">
        <v>194.6886620450845</v>
      </c>
      <c r="G110" s="7">
        <v>31143</v>
      </c>
      <c r="H110" s="9">
        <v>6063189.0020700675</v>
      </c>
      <c r="I110" s="5" t="s">
        <v>1239</v>
      </c>
    </row>
    <row r="111" spans="1:9" x14ac:dyDescent="0.25">
      <c r="A111" s="6">
        <v>45993.708333333343</v>
      </c>
      <c r="B111" s="5" t="s">
        <v>19</v>
      </c>
      <c r="C111" s="8">
        <v>194.73753762447279</v>
      </c>
      <c r="D111" s="8">
        <v>194.76696790362939</v>
      </c>
      <c r="E111" s="8">
        <v>194.68559568575171</v>
      </c>
      <c r="F111" s="8">
        <v>194.74789526405621</v>
      </c>
      <c r="G111" s="7">
        <v>56197</v>
      </c>
      <c r="H111" s="9">
        <v>10944247.470154161</v>
      </c>
      <c r="I111" s="5" t="s">
        <v>1240</v>
      </c>
    </row>
    <row r="112" spans="1:9" x14ac:dyDescent="0.25">
      <c r="A112" s="6">
        <v>45993.711805555547</v>
      </c>
      <c r="B112" s="5" t="s">
        <v>19</v>
      </c>
      <c r="C112" s="8">
        <v>194.83584876791451</v>
      </c>
      <c r="D112" s="8">
        <v>194.89558722253301</v>
      </c>
      <c r="E112" s="8">
        <v>194.7387314351792</v>
      </c>
      <c r="F112" s="8">
        <v>194.8880593678854</v>
      </c>
      <c r="G112" s="7">
        <v>40317</v>
      </c>
      <c r="H112" s="9">
        <v>7857301.8895350369</v>
      </c>
      <c r="I112" s="5" t="s">
        <v>1241</v>
      </c>
    </row>
    <row r="113" spans="1:9" x14ac:dyDescent="0.25">
      <c r="A113" s="6">
        <v>45993.715277777781</v>
      </c>
      <c r="B113" s="5" t="s">
        <v>19</v>
      </c>
      <c r="C113" s="8">
        <v>195.02929757451849</v>
      </c>
      <c r="D113" s="8">
        <v>195.25654338115521</v>
      </c>
      <c r="E113" s="8">
        <v>194.86473742281279</v>
      </c>
      <c r="F113" s="8">
        <v>194.99600864710169</v>
      </c>
      <c r="G113" s="7">
        <v>66316</v>
      </c>
      <c r="H113" s="9">
        <v>12931355.3094412</v>
      </c>
      <c r="I113" s="5" t="s">
        <v>1242</v>
      </c>
    </row>
    <row r="114" spans="1:9" x14ac:dyDescent="0.25">
      <c r="A114" s="6">
        <v>45993.71875</v>
      </c>
      <c r="B114" s="5" t="s">
        <v>19</v>
      </c>
      <c r="C114" s="8">
        <v>195.1448351204497</v>
      </c>
      <c r="D114" s="8">
        <v>195.20535658445249</v>
      </c>
      <c r="E114" s="8">
        <v>194.97935074432439</v>
      </c>
      <c r="F114" s="8">
        <v>195.18383052642139</v>
      </c>
      <c r="G114" s="7">
        <v>144175</v>
      </c>
      <c r="H114" s="9">
        <v>28140628.766146809</v>
      </c>
      <c r="I114" s="5" t="s">
        <v>1243</v>
      </c>
    </row>
    <row r="115" spans="1:9" x14ac:dyDescent="0.25">
      <c r="A115" s="6">
        <v>45993.722222222219</v>
      </c>
      <c r="B115" s="5" t="s">
        <v>19</v>
      </c>
      <c r="C115" s="8">
        <v>195.31969950504049</v>
      </c>
      <c r="D115" s="8">
        <v>195.39681416831979</v>
      </c>
      <c r="E115" s="8">
        <v>195.1579537235809</v>
      </c>
      <c r="F115" s="8">
        <v>195.2672929011346</v>
      </c>
      <c r="G115" s="7">
        <v>74074</v>
      </c>
      <c r="H115" s="9">
        <v>14464229.454358639</v>
      </c>
      <c r="I115" s="5" t="s">
        <v>1244</v>
      </c>
    </row>
    <row r="116" spans="1:9" x14ac:dyDescent="0.25">
      <c r="A116" s="6">
        <v>45993.725694444453</v>
      </c>
      <c r="B116" s="5" t="s">
        <v>19</v>
      </c>
      <c r="C116" s="8">
        <v>195.25195814065791</v>
      </c>
      <c r="D116" s="8">
        <v>195.26122947705531</v>
      </c>
      <c r="E116" s="8">
        <v>195.0565253407801</v>
      </c>
      <c r="F116" s="8">
        <v>195.20838685360641</v>
      </c>
      <c r="G116" s="7">
        <v>46284</v>
      </c>
      <c r="H116" s="9">
        <v>9035024.9771323185</v>
      </c>
      <c r="I116" s="5" t="s">
        <v>1245</v>
      </c>
    </row>
    <row r="117" spans="1:9" x14ac:dyDescent="0.25">
      <c r="A117" s="6">
        <v>45993.729166666657</v>
      </c>
      <c r="B117" s="5" t="s">
        <v>19</v>
      </c>
      <c r="C117" s="8">
        <v>195.1519941037372</v>
      </c>
      <c r="D117" s="8">
        <v>195.30182931869189</v>
      </c>
      <c r="E117" s="8">
        <v>195.0963003674172</v>
      </c>
      <c r="F117" s="8">
        <v>195.11329411073109</v>
      </c>
      <c r="G117" s="7">
        <v>46658</v>
      </c>
      <c r="H117" s="9">
        <v>9103596.0766184907</v>
      </c>
      <c r="I117" s="5" t="s">
        <v>1246</v>
      </c>
    </row>
    <row r="118" spans="1:9" x14ac:dyDescent="0.25">
      <c r="A118" s="6">
        <v>45993.732638888891</v>
      </c>
      <c r="B118" s="5" t="s">
        <v>19</v>
      </c>
      <c r="C118" s="8">
        <v>195.06324530569799</v>
      </c>
      <c r="D118" s="8">
        <v>195.31444038936681</v>
      </c>
      <c r="E118" s="8">
        <v>194.95806223170871</v>
      </c>
      <c r="F118" s="8">
        <v>195.09240522587581</v>
      </c>
      <c r="G118" s="7">
        <v>93204</v>
      </c>
      <c r="H118" s="9">
        <v>18183392.536672529</v>
      </c>
      <c r="I118" s="5" t="s">
        <v>1247</v>
      </c>
    </row>
    <row r="119" spans="1:9" x14ac:dyDescent="0.25">
      <c r="A119" s="6">
        <v>45993.736111111109</v>
      </c>
      <c r="B119" s="5" t="s">
        <v>19</v>
      </c>
      <c r="C119" s="8">
        <v>195.11285250257791</v>
      </c>
      <c r="D119" s="8">
        <v>195.28272557388689</v>
      </c>
      <c r="E119" s="8">
        <v>194.91922841574029</v>
      </c>
      <c r="F119" s="8">
        <v>195.1453514061632</v>
      </c>
      <c r="G119" s="7">
        <v>73400</v>
      </c>
      <c r="H119" s="9">
        <v>14323668.79321238</v>
      </c>
      <c r="I119" s="5" t="s">
        <v>1248</v>
      </c>
    </row>
    <row r="120" spans="1:9" x14ac:dyDescent="0.25">
      <c r="A120" s="6">
        <v>45993.739583333343</v>
      </c>
      <c r="B120" s="5" t="s">
        <v>19</v>
      </c>
      <c r="C120" s="8">
        <v>195.2043746727596</v>
      </c>
      <c r="D120" s="8">
        <v>195.2478406182361</v>
      </c>
      <c r="E120" s="8">
        <v>195.05157598059051</v>
      </c>
      <c r="F120" s="8">
        <v>195.1410919516081</v>
      </c>
      <c r="G120" s="7">
        <v>46674</v>
      </c>
      <c r="H120" s="9">
        <v>9108015.3257493582</v>
      </c>
      <c r="I120" s="5" t="s">
        <v>1249</v>
      </c>
    </row>
    <row r="121" spans="1:9" x14ac:dyDescent="0.25">
      <c r="A121" s="6">
        <v>45993.743055555547</v>
      </c>
      <c r="B121" s="5" t="s">
        <v>19</v>
      </c>
      <c r="C121" s="8">
        <v>195.00380155960369</v>
      </c>
      <c r="D121" s="8">
        <v>195.04334016478629</v>
      </c>
      <c r="E121" s="8">
        <v>194.74789918509529</v>
      </c>
      <c r="F121" s="8">
        <v>194.97066951835939</v>
      </c>
      <c r="G121" s="7">
        <v>54282</v>
      </c>
      <c r="H121" s="9">
        <v>10583397.88279558</v>
      </c>
      <c r="I121" s="5" t="s">
        <v>1250</v>
      </c>
    </row>
    <row r="122" spans="1:9" x14ac:dyDescent="0.25">
      <c r="A122" s="6">
        <v>45993.746527777781</v>
      </c>
      <c r="B122" s="5" t="s">
        <v>19</v>
      </c>
      <c r="C122" s="8">
        <v>194.90810611875801</v>
      </c>
      <c r="D122" s="8">
        <v>195.19346145171161</v>
      </c>
      <c r="E122" s="8">
        <v>194.69984894537939</v>
      </c>
      <c r="F122" s="8">
        <v>194.97478394527201</v>
      </c>
      <c r="G122" s="7">
        <v>70409</v>
      </c>
      <c r="H122" s="9">
        <v>13727979.56280265</v>
      </c>
      <c r="I122" s="5" t="s">
        <v>1251</v>
      </c>
    </row>
    <row r="123" spans="1:9" x14ac:dyDescent="0.25">
      <c r="A123" s="6">
        <v>45993.75</v>
      </c>
      <c r="B123" s="5" t="s">
        <v>19</v>
      </c>
      <c r="C123" s="8">
        <v>194.83414920608871</v>
      </c>
      <c r="D123" s="8">
        <v>195.0004128903557</v>
      </c>
      <c r="E123" s="8">
        <v>194.73495795323859</v>
      </c>
      <c r="F123" s="8">
        <v>194.768310488173</v>
      </c>
      <c r="G123" s="7">
        <v>106985</v>
      </c>
      <c r="H123" s="9">
        <v>20837287.69757719</v>
      </c>
      <c r="I123" s="5" t="s">
        <v>1252</v>
      </c>
    </row>
    <row r="124" spans="1:9" x14ac:dyDescent="0.25">
      <c r="A124" s="6">
        <v>45993.753472222219</v>
      </c>
      <c r="B124" s="5" t="s">
        <v>19</v>
      </c>
      <c r="C124" s="8">
        <v>194.87388174741139</v>
      </c>
      <c r="D124" s="8">
        <v>194.90027230990509</v>
      </c>
      <c r="E124" s="8">
        <v>194.69602408755571</v>
      </c>
      <c r="F124" s="8">
        <v>194.808136655613</v>
      </c>
      <c r="G124" s="7">
        <v>43038</v>
      </c>
      <c r="H124" s="9">
        <v>8384152.5853842711</v>
      </c>
      <c r="I124" s="5" t="s">
        <v>1253</v>
      </c>
    </row>
    <row r="125" spans="1:9" x14ac:dyDescent="0.25">
      <c r="A125" s="6">
        <v>45993.756944444453</v>
      </c>
      <c r="B125" s="5" t="s">
        <v>19</v>
      </c>
      <c r="C125" s="8">
        <v>194.89045710428661</v>
      </c>
      <c r="D125" s="8">
        <v>194.93257892835439</v>
      </c>
      <c r="E125" s="8">
        <v>194.81658755207761</v>
      </c>
      <c r="F125" s="8">
        <v>194.91730990970419</v>
      </c>
      <c r="G125" s="7">
        <v>63605</v>
      </c>
      <c r="H125" s="9">
        <v>12397715.496806741</v>
      </c>
      <c r="I125" s="5" t="s">
        <v>1254</v>
      </c>
    </row>
    <row r="126" spans="1:9" x14ac:dyDescent="0.25">
      <c r="A126" s="6">
        <v>45993.760416666657</v>
      </c>
      <c r="B126" s="5" t="s">
        <v>19</v>
      </c>
      <c r="C126" s="8">
        <v>194.94681681604811</v>
      </c>
      <c r="D126" s="8">
        <v>195.0407663164203</v>
      </c>
      <c r="E126" s="8">
        <v>194.74229637096499</v>
      </c>
      <c r="F126" s="8">
        <v>194.90426263802831</v>
      </c>
      <c r="G126" s="7">
        <v>72811</v>
      </c>
      <c r="H126" s="9">
        <v>14191174.266937479</v>
      </c>
      <c r="I126" s="5" t="s">
        <v>1255</v>
      </c>
    </row>
    <row r="127" spans="1:9" x14ac:dyDescent="0.25">
      <c r="A127" s="6">
        <v>45993.763888888891</v>
      </c>
      <c r="B127" s="5" t="s">
        <v>19</v>
      </c>
      <c r="C127" s="8">
        <v>194.97798496629059</v>
      </c>
      <c r="D127" s="8">
        <v>195.06710928704351</v>
      </c>
      <c r="E127" s="8">
        <v>194.8230671525871</v>
      </c>
      <c r="F127" s="8">
        <v>195.02196550737091</v>
      </c>
      <c r="G127" s="7">
        <v>99087</v>
      </c>
      <c r="H127" s="9">
        <v>19324141.496228859</v>
      </c>
      <c r="I127" s="5" t="s">
        <v>1256</v>
      </c>
    </row>
    <row r="128" spans="1:9" x14ac:dyDescent="0.25">
      <c r="A128" s="6">
        <v>45993.767361111109</v>
      </c>
      <c r="B128" s="5" t="s">
        <v>19</v>
      </c>
      <c r="C128" s="8">
        <v>194.97565717322149</v>
      </c>
      <c r="D128" s="8">
        <v>195.12033315634781</v>
      </c>
      <c r="E128" s="8">
        <v>194.95895855315689</v>
      </c>
      <c r="F128" s="8">
        <v>194.98025248419211</v>
      </c>
      <c r="G128" s="7">
        <v>73836</v>
      </c>
      <c r="H128" s="9">
        <v>14396561.92242281</v>
      </c>
      <c r="I128" s="5" t="s">
        <v>1257</v>
      </c>
    </row>
    <row r="129" spans="1:9" x14ac:dyDescent="0.25">
      <c r="A129" s="6">
        <v>45993.770833333343</v>
      </c>
      <c r="B129" s="5" t="s">
        <v>19</v>
      </c>
      <c r="C129" s="8">
        <v>194.76315647952441</v>
      </c>
      <c r="D129" s="8">
        <v>194.95919980003251</v>
      </c>
      <c r="E129" s="8">
        <v>194.73882846118391</v>
      </c>
      <c r="F129" s="8">
        <v>194.79645234506759</v>
      </c>
      <c r="G129" s="7">
        <v>85893</v>
      </c>
      <c r="H129" s="9">
        <v>16731651.681274891</v>
      </c>
      <c r="I129" s="5" t="s">
        <v>1258</v>
      </c>
    </row>
    <row r="130" spans="1:9" x14ac:dyDescent="0.25">
      <c r="A130" s="6">
        <v>45993.774305555547</v>
      </c>
      <c r="B130" s="5" t="s">
        <v>19</v>
      </c>
      <c r="C130" s="8">
        <v>194.8873412613365</v>
      </c>
      <c r="D130" s="8">
        <v>195.0073381915158</v>
      </c>
      <c r="E130" s="8">
        <v>194.7324041066918</v>
      </c>
      <c r="F130" s="8">
        <v>194.83565461800131</v>
      </c>
      <c r="G130" s="7">
        <v>50871</v>
      </c>
      <c r="H130" s="9">
        <v>9911484.5860723425</v>
      </c>
      <c r="I130" s="5" t="s">
        <v>1259</v>
      </c>
    </row>
    <row r="131" spans="1:9" x14ac:dyDescent="0.25">
      <c r="A131" s="6">
        <v>45993.777777777781</v>
      </c>
      <c r="B131" s="5" t="s">
        <v>19</v>
      </c>
      <c r="C131" s="8">
        <v>194.95690071442979</v>
      </c>
      <c r="D131" s="8">
        <v>194.95868914887029</v>
      </c>
      <c r="E131" s="8">
        <v>194.8632327315735</v>
      </c>
      <c r="F131" s="8">
        <v>194.9360564769969</v>
      </c>
      <c r="G131" s="7">
        <v>56784</v>
      </c>
      <c r="H131" s="9">
        <v>11069249.03098979</v>
      </c>
      <c r="I131" s="5" t="s">
        <v>1260</v>
      </c>
    </row>
    <row r="132" spans="1:9" x14ac:dyDescent="0.25">
      <c r="A132" s="6">
        <v>45993.78125</v>
      </c>
      <c r="B132" s="5" t="s">
        <v>19</v>
      </c>
      <c r="C132" s="8">
        <v>195.0085864998855</v>
      </c>
      <c r="D132" s="8">
        <v>195.07718295795939</v>
      </c>
      <c r="E132" s="8">
        <v>194.91091390103071</v>
      </c>
      <c r="F132" s="8">
        <v>194.93228017132941</v>
      </c>
      <c r="G132" s="7">
        <v>105259</v>
      </c>
      <c r="H132" s="9">
        <v>20518376.87855396</v>
      </c>
      <c r="I132" s="5" t="s">
        <v>1261</v>
      </c>
    </row>
    <row r="133" spans="1:9" x14ac:dyDescent="0.25">
      <c r="A133" s="6">
        <v>45993.784722222219</v>
      </c>
      <c r="B133" s="5" t="s">
        <v>19</v>
      </c>
      <c r="C133" s="8">
        <v>194.9914810493616</v>
      </c>
      <c r="D133" s="8">
        <v>195.0624597166719</v>
      </c>
      <c r="E133" s="8">
        <v>194.72130386057239</v>
      </c>
      <c r="F133" s="8">
        <v>194.95015823568801</v>
      </c>
      <c r="G133" s="7">
        <v>27245</v>
      </c>
      <c r="H133" s="9">
        <v>5311417.06113132</v>
      </c>
      <c r="I133" s="5" t="s">
        <v>1262</v>
      </c>
    </row>
    <row r="134" spans="1:9" x14ac:dyDescent="0.25">
      <c r="A134" s="6">
        <v>45993.788194444453</v>
      </c>
      <c r="B134" s="5" t="s">
        <v>19</v>
      </c>
      <c r="C134" s="8">
        <v>194.68956439778481</v>
      </c>
      <c r="D134" s="8">
        <v>194.94041074750859</v>
      </c>
      <c r="E134" s="8">
        <v>194.64838975904459</v>
      </c>
      <c r="F134" s="8">
        <v>194.751135600987</v>
      </c>
      <c r="G134" s="7">
        <v>54621</v>
      </c>
      <c r="H134" s="9">
        <v>10637501.77766151</v>
      </c>
      <c r="I134" s="5" t="s">
        <v>1263</v>
      </c>
    </row>
    <row r="135" spans="1:9" x14ac:dyDescent="0.25">
      <c r="A135" s="6">
        <v>45993.791666666657</v>
      </c>
      <c r="B135" s="5" t="s">
        <v>19</v>
      </c>
      <c r="C135" s="8">
        <v>194.5477239932199</v>
      </c>
      <c r="D135" s="8">
        <v>194.56103500055261</v>
      </c>
      <c r="E135" s="8">
        <v>194.44559363474681</v>
      </c>
      <c r="F135" s="8">
        <v>194.5264741715622</v>
      </c>
      <c r="G135" s="7">
        <v>35524</v>
      </c>
      <c r="H135" s="9">
        <v>6910358.4684705744</v>
      </c>
      <c r="I135" s="5" t="s">
        <v>1264</v>
      </c>
    </row>
    <row r="136" spans="1:9" x14ac:dyDescent="0.25">
      <c r="A136" s="6">
        <v>45993.795138888891</v>
      </c>
      <c r="B136" s="5" t="s">
        <v>19</v>
      </c>
      <c r="C136" s="8">
        <v>194.34585212718019</v>
      </c>
      <c r="D136" s="8">
        <v>194.38211832133939</v>
      </c>
      <c r="E136" s="8">
        <v>194.32488161012441</v>
      </c>
      <c r="F136" s="8">
        <v>194.33341015653451</v>
      </c>
      <c r="G136" s="7">
        <v>56780</v>
      </c>
      <c r="H136" s="9">
        <v>11034251.02868803</v>
      </c>
      <c r="I136" s="5" t="s">
        <v>1265</v>
      </c>
    </row>
    <row r="137" spans="1:9" x14ac:dyDescent="0.25">
      <c r="A137" s="6">
        <v>45993.798611111109</v>
      </c>
      <c r="B137" s="5" t="s">
        <v>19</v>
      </c>
      <c r="C137" s="8">
        <v>194.02689671468681</v>
      </c>
      <c r="D137" s="8">
        <v>194.14710044458829</v>
      </c>
      <c r="E137" s="8">
        <v>194.01919300387479</v>
      </c>
      <c r="F137" s="8">
        <v>194.0240579397244</v>
      </c>
      <c r="G137" s="7">
        <v>70457</v>
      </c>
      <c r="H137" s="9">
        <v>13670353.05025916</v>
      </c>
      <c r="I137" s="5" t="s">
        <v>1266</v>
      </c>
    </row>
    <row r="138" spans="1:9" x14ac:dyDescent="0.25">
      <c r="A138" s="6">
        <v>45993.802083333343</v>
      </c>
      <c r="B138" s="5" t="s">
        <v>19</v>
      </c>
      <c r="C138" s="8">
        <v>193.84653903208539</v>
      </c>
      <c r="D138" s="8">
        <v>194.02165323483251</v>
      </c>
      <c r="E138" s="8">
        <v>193.8056222317513</v>
      </c>
      <c r="F138" s="8">
        <v>193.90605290529109</v>
      </c>
      <c r="G138" s="7">
        <v>47914</v>
      </c>
      <c r="H138" s="9">
        <v>9290814.6189041156</v>
      </c>
      <c r="I138" s="5" t="s">
        <v>1267</v>
      </c>
    </row>
    <row r="139" spans="1:9" x14ac:dyDescent="0.25">
      <c r="A139" s="6">
        <v>45993.805555555547</v>
      </c>
      <c r="B139" s="5" t="s">
        <v>19</v>
      </c>
      <c r="C139" s="8">
        <v>193.37960139042281</v>
      </c>
      <c r="D139" s="8">
        <v>193.45544996141001</v>
      </c>
      <c r="E139" s="8">
        <v>193.2494696549779</v>
      </c>
      <c r="F139" s="8">
        <v>193.3824513906311</v>
      </c>
      <c r="G139" s="7">
        <v>47228</v>
      </c>
      <c r="H139" s="9">
        <v>9133066.4142767265</v>
      </c>
      <c r="I139" s="5" t="s">
        <v>1268</v>
      </c>
    </row>
    <row r="140" spans="1:9" x14ac:dyDescent="0.25">
      <c r="A140" s="6">
        <v>45993.809027777781</v>
      </c>
      <c r="B140" s="5" t="s">
        <v>19</v>
      </c>
      <c r="C140" s="8">
        <v>193.24485536504221</v>
      </c>
      <c r="D140" s="8">
        <v>193.36770297202591</v>
      </c>
      <c r="E140" s="8">
        <v>193.10865043598139</v>
      </c>
      <c r="F140" s="8">
        <v>193.27053561112871</v>
      </c>
      <c r="G140" s="7">
        <v>57554</v>
      </c>
      <c r="H140" s="9">
        <v>11123492.4065629</v>
      </c>
      <c r="I140" s="5" t="s">
        <v>1269</v>
      </c>
    </row>
    <row r="141" spans="1:9" x14ac:dyDescent="0.25">
      <c r="A141" s="6">
        <v>45993.8125</v>
      </c>
      <c r="B141" s="5" t="s">
        <v>19</v>
      </c>
      <c r="C141" s="8">
        <v>193.12506616220281</v>
      </c>
      <c r="D141" s="8">
        <v>193.3052153122668</v>
      </c>
      <c r="E141" s="8">
        <v>193.06592431554</v>
      </c>
      <c r="F141" s="8">
        <v>193.10950838213191</v>
      </c>
      <c r="G141" s="7">
        <v>50320</v>
      </c>
      <c r="H141" s="9">
        <v>9717270.461788876</v>
      </c>
      <c r="I141" s="5" t="s">
        <v>1270</v>
      </c>
    </row>
    <row r="142" spans="1:9" x14ac:dyDescent="0.25">
      <c r="A142" s="6">
        <v>45993.815972222219</v>
      </c>
      <c r="B142" s="5" t="s">
        <v>19</v>
      </c>
      <c r="C142" s="8">
        <v>193.1010231477959</v>
      </c>
      <c r="D142" s="8">
        <v>193.23354607947849</v>
      </c>
      <c r="E142" s="8">
        <v>192.87398789834339</v>
      </c>
      <c r="F142" s="8">
        <v>193.07057084774871</v>
      </c>
      <c r="G142" s="7">
        <v>85071</v>
      </c>
      <c r="H142" s="9">
        <v>16424706.53258883</v>
      </c>
      <c r="I142" s="5" t="s">
        <v>1271</v>
      </c>
    </row>
    <row r="143" spans="1:9" x14ac:dyDescent="0.25">
      <c r="A143" s="6">
        <v>45993.819444444453</v>
      </c>
      <c r="B143" s="5" t="s">
        <v>19</v>
      </c>
      <c r="C143" s="8">
        <v>193.1504805218602</v>
      </c>
      <c r="D143" s="8">
        <v>193.33028229044811</v>
      </c>
      <c r="E143" s="8">
        <v>193.12861779278151</v>
      </c>
      <c r="F143" s="8">
        <v>193.16755799605019</v>
      </c>
      <c r="G143" s="7">
        <v>94155</v>
      </c>
      <c r="H143" s="9">
        <v>18187691.423118111</v>
      </c>
      <c r="I143" s="5" t="s">
        <v>1272</v>
      </c>
    </row>
    <row r="144" spans="1:9" x14ac:dyDescent="0.25">
      <c r="A144" s="6">
        <v>45993.822916666657</v>
      </c>
      <c r="B144" s="5" t="s">
        <v>19</v>
      </c>
      <c r="C144" s="8">
        <v>193.01430119892069</v>
      </c>
      <c r="D144" s="8">
        <v>193.20636373328821</v>
      </c>
      <c r="E144" s="8">
        <v>192.76365992297431</v>
      </c>
      <c r="F144" s="8">
        <v>193.06450104459341</v>
      </c>
      <c r="G144" s="7">
        <v>74744</v>
      </c>
      <c r="H144" s="9">
        <v>14430413.066077091</v>
      </c>
      <c r="I144" s="5" t="s">
        <v>1273</v>
      </c>
    </row>
    <row r="145" spans="1:9" x14ac:dyDescent="0.25">
      <c r="A145" s="6">
        <v>45993.826388888891</v>
      </c>
      <c r="B145" s="5" t="s">
        <v>19</v>
      </c>
      <c r="C145" s="8">
        <v>193.19188167441919</v>
      </c>
      <c r="D145" s="8">
        <v>193.37298038731171</v>
      </c>
      <c r="E145" s="8">
        <v>193.1656884420654</v>
      </c>
      <c r="F145" s="8">
        <v>193.2193515717758</v>
      </c>
      <c r="G145" s="7">
        <v>101226</v>
      </c>
      <c r="H145" s="9">
        <v>19558822.08220458</v>
      </c>
      <c r="I145" s="5" t="s">
        <v>1274</v>
      </c>
    </row>
    <row r="146" spans="1:9" x14ac:dyDescent="0.25">
      <c r="A146" s="6">
        <v>45993.829861111109</v>
      </c>
      <c r="B146" s="5" t="s">
        <v>19</v>
      </c>
      <c r="C146" s="8">
        <v>192.8671586171663</v>
      </c>
      <c r="D146" s="8">
        <v>193.11740667238681</v>
      </c>
      <c r="E146" s="8">
        <v>192.85462967212939</v>
      </c>
      <c r="F146" s="8">
        <v>192.89582258324711</v>
      </c>
      <c r="G146" s="7">
        <v>81306</v>
      </c>
      <c r="H146" s="9">
        <v>15683587.75095349</v>
      </c>
      <c r="I146" s="5" t="s">
        <v>1275</v>
      </c>
    </row>
    <row r="147" spans="1:9" x14ac:dyDescent="0.25">
      <c r="A147" s="6">
        <v>45993.833333333343</v>
      </c>
      <c r="B147" s="5" t="s">
        <v>19</v>
      </c>
      <c r="C147" s="8">
        <v>192.65641206270229</v>
      </c>
      <c r="D147" s="8">
        <v>192.8333435566372</v>
      </c>
      <c r="E147" s="8">
        <v>192.64618586018301</v>
      </c>
      <c r="F147" s="8">
        <v>192.68007654569439</v>
      </c>
      <c r="G147" s="7">
        <v>38803</v>
      </c>
      <c r="H147" s="9">
        <v>7476565.0102025792</v>
      </c>
      <c r="I147" s="5" t="s">
        <v>1276</v>
      </c>
    </row>
    <row r="148" spans="1:9" x14ac:dyDescent="0.25">
      <c r="A148" s="6">
        <v>45993.836805555547</v>
      </c>
      <c r="B148" s="5" t="s">
        <v>19</v>
      </c>
      <c r="C148" s="8">
        <v>192.3355042901733</v>
      </c>
      <c r="D148" s="8">
        <v>192.5411142452719</v>
      </c>
      <c r="E148" s="8">
        <v>192.24940084852699</v>
      </c>
      <c r="F148" s="8">
        <v>192.4518210642037</v>
      </c>
      <c r="G148" s="7">
        <v>86486</v>
      </c>
      <c r="H148" s="9">
        <v>16644388.19655872</v>
      </c>
      <c r="I148" s="5" t="s">
        <v>1277</v>
      </c>
    </row>
    <row r="149" spans="1:9" x14ac:dyDescent="0.25">
      <c r="A149" s="6">
        <v>45993.840277777781</v>
      </c>
      <c r="B149" s="5" t="s">
        <v>19</v>
      </c>
      <c r="C149" s="8">
        <v>192.56385931767139</v>
      </c>
      <c r="D149" s="8">
        <v>192.66300720974789</v>
      </c>
      <c r="E149" s="8">
        <v>192.47389723263549</v>
      </c>
      <c r="F149" s="8">
        <v>192.6019962320112</v>
      </c>
      <c r="G149" s="7">
        <v>63088</v>
      </c>
      <c r="H149" s="9">
        <v>12150874.738285121</v>
      </c>
      <c r="I149" s="5" t="s">
        <v>1278</v>
      </c>
    </row>
    <row r="150" spans="1:9" x14ac:dyDescent="0.25">
      <c r="A150" s="6">
        <v>45993.84375</v>
      </c>
      <c r="B150" s="5" t="s">
        <v>19</v>
      </c>
      <c r="C150" s="8">
        <v>192.55322946819541</v>
      </c>
      <c r="D150" s="8">
        <v>192.752187966344</v>
      </c>
      <c r="E150" s="8">
        <v>192.4521013897712</v>
      </c>
      <c r="F150" s="8">
        <v>192.6484222750592</v>
      </c>
      <c r="G150" s="7">
        <v>27056</v>
      </c>
      <c r="H150" s="9">
        <v>5212295.7130740006</v>
      </c>
      <c r="I150" s="5" t="s">
        <v>1279</v>
      </c>
    </row>
    <row r="151" spans="1:9" x14ac:dyDescent="0.25">
      <c r="A151" s="6">
        <v>45993.847222222219</v>
      </c>
      <c r="B151" s="5" t="s">
        <v>19</v>
      </c>
      <c r="C151" s="8">
        <v>192.56583309742561</v>
      </c>
      <c r="D151" s="8">
        <v>192.80813398760819</v>
      </c>
      <c r="E151" s="8">
        <v>192.4983868401483</v>
      </c>
      <c r="F151" s="8">
        <v>192.5414575660362</v>
      </c>
      <c r="G151" s="7">
        <v>37593</v>
      </c>
      <c r="H151" s="9">
        <v>7238211.0142799998</v>
      </c>
      <c r="I151" s="5" t="s">
        <v>1280</v>
      </c>
    </row>
    <row r="152" spans="1:9" x14ac:dyDescent="0.25">
      <c r="A152" s="6">
        <v>45993.850694444453</v>
      </c>
      <c r="B152" s="5" t="s">
        <v>19</v>
      </c>
      <c r="C152" s="8">
        <v>192.9187020227007</v>
      </c>
      <c r="D152" s="8">
        <v>192.94893307397331</v>
      </c>
      <c r="E152" s="8">
        <v>192.78488778400819</v>
      </c>
      <c r="F152" s="8">
        <v>192.90942859940071</v>
      </c>
      <c r="G152" s="7">
        <v>42133</v>
      </c>
      <c r="H152" s="9">
        <v>8127852.9551785504</v>
      </c>
      <c r="I152" s="5" t="s">
        <v>1281</v>
      </c>
    </row>
    <row r="153" spans="1:9" x14ac:dyDescent="0.25">
      <c r="A153" s="6">
        <v>45993.854166666657</v>
      </c>
      <c r="B153" s="5" t="s">
        <v>19</v>
      </c>
      <c r="C153" s="8">
        <v>193.15046702007419</v>
      </c>
      <c r="D153" s="8">
        <v>193.22848538481051</v>
      </c>
      <c r="E153" s="8">
        <v>193.09137308483869</v>
      </c>
      <c r="F153" s="8">
        <v>193.1661535102744</v>
      </c>
      <c r="G153" s="7">
        <v>103647</v>
      </c>
      <c r="H153" s="9">
        <v>20021092.31287941</v>
      </c>
      <c r="I153" s="5" t="s">
        <v>1282</v>
      </c>
    </row>
    <row r="154" spans="1:9" x14ac:dyDescent="0.25">
      <c r="A154" s="6">
        <v>45993.857638888891</v>
      </c>
      <c r="B154" s="5" t="s">
        <v>19</v>
      </c>
      <c r="C154" s="8">
        <v>193.10006665639921</v>
      </c>
      <c r="D154" s="8">
        <v>193.13090186755011</v>
      </c>
      <c r="E154" s="8">
        <v>193.03596808466469</v>
      </c>
      <c r="F154" s="8">
        <v>193.0636842145062</v>
      </c>
      <c r="G154" s="7">
        <v>44044</v>
      </c>
      <c r="H154" s="9">
        <v>8503296.9075437114</v>
      </c>
      <c r="I154" s="5" t="s">
        <v>1283</v>
      </c>
    </row>
    <row r="155" spans="1:9" x14ac:dyDescent="0.25">
      <c r="A155" s="6">
        <v>45993.861111111109</v>
      </c>
      <c r="B155" s="5" t="s">
        <v>19</v>
      </c>
      <c r="C155" s="8">
        <v>193.27133858029379</v>
      </c>
      <c r="D155" s="8">
        <v>193.27738993976641</v>
      </c>
      <c r="E155" s="8">
        <v>193.07150798056881</v>
      </c>
      <c r="F155" s="8">
        <v>193.17811283120071</v>
      </c>
      <c r="G155" s="7">
        <v>38101</v>
      </c>
      <c r="H155" s="9">
        <v>7360279.2769815782</v>
      </c>
      <c r="I155" s="5" t="s">
        <v>1284</v>
      </c>
    </row>
    <row r="156" spans="1:9" x14ac:dyDescent="0.25">
      <c r="A156" s="6">
        <v>45993.864583333343</v>
      </c>
      <c r="B156" s="5" t="s">
        <v>19</v>
      </c>
      <c r="C156" s="8">
        <v>193.19550591979021</v>
      </c>
      <c r="D156" s="8">
        <v>193.22337078049</v>
      </c>
      <c r="E156" s="8">
        <v>193.1941347896952</v>
      </c>
      <c r="F156" s="8">
        <v>193.2112710350107</v>
      </c>
      <c r="G156" s="7">
        <v>35722</v>
      </c>
      <c r="H156" s="9">
        <v>6901893.0239126524</v>
      </c>
      <c r="I156" s="5" t="s">
        <v>1285</v>
      </c>
    </row>
    <row r="157" spans="1:9" x14ac:dyDescent="0.25">
      <c r="A157" s="6">
        <v>45993.868055555547</v>
      </c>
      <c r="B157" s="5" t="s">
        <v>19</v>
      </c>
      <c r="C157" s="8">
        <v>193.36075503245459</v>
      </c>
      <c r="D157" s="8">
        <v>193.36941173049161</v>
      </c>
      <c r="E157" s="8">
        <v>193.3202662541843</v>
      </c>
      <c r="F157" s="8">
        <v>193.34716361304601</v>
      </c>
      <c r="G157" s="7">
        <v>82797</v>
      </c>
      <c r="H157" s="9">
        <v>16008565.10566937</v>
      </c>
      <c r="I157" s="5" t="s">
        <v>1286</v>
      </c>
    </row>
    <row r="158" spans="1:9" x14ac:dyDescent="0.25">
      <c r="A158" s="6">
        <v>45993.871527777781</v>
      </c>
      <c r="B158" s="5" t="s">
        <v>19</v>
      </c>
      <c r="C158" s="8">
        <v>193.3071406978182</v>
      </c>
      <c r="D158" s="8">
        <v>193.49175939342791</v>
      </c>
      <c r="E158" s="8">
        <v>193.25688194161339</v>
      </c>
      <c r="F158" s="8">
        <v>193.35646016572639</v>
      </c>
      <c r="G158" s="7">
        <v>46447</v>
      </c>
      <c r="H158" s="9">
        <v>8980827.5053174943</v>
      </c>
      <c r="I158" s="5" t="s">
        <v>1287</v>
      </c>
    </row>
    <row r="159" spans="1:9" x14ac:dyDescent="0.25">
      <c r="A159" s="6">
        <v>45993.875</v>
      </c>
      <c r="B159" s="5" t="s">
        <v>19</v>
      </c>
      <c r="C159" s="8">
        <v>193.0850988567627</v>
      </c>
      <c r="D159" s="8">
        <v>193.2064694884414</v>
      </c>
      <c r="E159" s="8">
        <v>193.0244984116197</v>
      </c>
      <c r="F159" s="8">
        <v>193.08464037703229</v>
      </c>
      <c r="G159" s="7">
        <v>70070</v>
      </c>
      <c r="H159" s="9">
        <v>13529440.75121865</v>
      </c>
      <c r="I159" s="5" t="s">
        <v>1288</v>
      </c>
    </row>
    <row r="160" spans="1:9" x14ac:dyDescent="0.25">
      <c r="A160" s="6">
        <v>45994.604166666657</v>
      </c>
      <c r="B160" s="5" t="s">
        <v>19</v>
      </c>
      <c r="C160" s="8">
        <v>193.1492924885691</v>
      </c>
      <c r="D160" s="8">
        <v>193.18465472024289</v>
      </c>
      <c r="E160" s="8">
        <v>193.0436288841679</v>
      </c>
      <c r="F160" s="8">
        <v>193.09042188970261</v>
      </c>
      <c r="G160" s="7">
        <v>53348</v>
      </c>
      <c r="H160" s="9">
        <v>10300987.826971861</v>
      </c>
      <c r="I160" s="5" t="s">
        <v>1289</v>
      </c>
    </row>
    <row r="161" spans="1:9" x14ac:dyDescent="0.25">
      <c r="A161" s="6">
        <v>45994.607638888891</v>
      </c>
      <c r="B161" s="5" t="s">
        <v>19</v>
      </c>
      <c r="C161" s="8">
        <v>193.03967507494821</v>
      </c>
      <c r="D161" s="8">
        <v>193.04216139400381</v>
      </c>
      <c r="E161" s="8">
        <v>192.95466460179341</v>
      </c>
      <c r="F161" s="8">
        <v>193.00224974137359</v>
      </c>
      <c r="G161" s="7">
        <v>80476</v>
      </c>
      <c r="H161" s="9">
        <v>15532049.050186779</v>
      </c>
      <c r="I161" s="5" t="s">
        <v>1290</v>
      </c>
    </row>
    <row r="162" spans="1:9" x14ac:dyDescent="0.25">
      <c r="A162" s="6">
        <v>45994.611111111109</v>
      </c>
      <c r="B162" s="5" t="s">
        <v>19</v>
      </c>
      <c r="C162" s="8">
        <v>192.99201767104501</v>
      </c>
      <c r="D162" s="8">
        <v>193.1941276462635</v>
      </c>
      <c r="E162" s="8">
        <v>192.94136052658601</v>
      </c>
      <c r="F162" s="8">
        <v>193.01897481680371</v>
      </c>
      <c r="G162" s="7">
        <v>65091</v>
      </c>
      <c r="H162" s="9">
        <v>12563798.08980057</v>
      </c>
      <c r="I162" s="5" t="s">
        <v>1291</v>
      </c>
    </row>
    <row r="163" spans="1:9" x14ac:dyDescent="0.25">
      <c r="A163" s="6">
        <v>45994.614583333343</v>
      </c>
      <c r="B163" s="5" t="s">
        <v>19</v>
      </c>
      <c r="C163" s="8">
        <v>193.0027558690708</v>
      </c>
      <c r="D163" s="8">
        <v>193.1244235085866</v>
      </c>
      <c r="E163" s="8">
        <v>192.97650387285361</v>
      </c>
      <c r="F163" s="8">
        <v>193.0278919263651</v>
      </c>
      <c r="G163" s="7">
        <v>64925</v>
      </c>
      <c r="H163" s="9">
        <v>12532335.883319249</v>
      </c>
      <c r="I163" s="5" t="s">
        <v>1292</v>
      </c>
    </row>
    <row r="164" spans="1:9" x14ac:dyDescent="0.25">
      <c r="A164" s="6">
        <v>45994.618055555547</v>
      </c>
      <c r="B164" s="5" t="s">
        <v>19</v>
      </c>
      <c r="C164" s="8">
        <v>192.9973019733161</v>
      </c>
      <c r="D164" s="8">
        <v>193.0598973475764</v>
      </c>
      <c r="E164" s="8">
        <v>192.95805732899311</v>
      </c>
      <c r="F164" s="8">
        <v>193.00568102018929</v>
      </c>
      <c r="G164" s="7">
        <v>64975</v>
      </c>
      <c r="H164" s="9">
        <v>12540544.124286801</v>
      </c>
      <c r="I164" s="5" t="s">
        <v>1293</v>
      </c>
    </row>
    <row r="165" spans="1:9" x14ac:dyDescent="0.25">
      <c r="A165" s="6">
        <v>45994.621527777781</v>
      </c>
      <c r="B165" s="5" t="s">
        <v>19</v>
      </c>
      <c r="C165" s="8">
        <v>192.91897412930331</v>
      </c>
      <c r="D165" s="8">
        <v>193.0105747682878</v>
      </c>
      <c r="E165" s="8">
        <v>192.78082999843551</v>
      </c>
      <c r="F165" s="8">
        <v>192.8749833351846</v>
      </c>
      <c r="G165" s="7">
        <v>57197</v>
      </c>
      <c r="H165" s="9">
        <v>11031870.421822559</v>
      </c>
      <c r="I165" s="5" t="s">
        <v>1294</v>
      </c>
    </row>
    <row r="166" spans="1:9" x14ac:dyDescent="0.25">
      <c r="A166" s="6">
        <v>45994.625</v>
      </c>
      <c r="B166" s="5" t="s">
        <v>19</v>
      </c>
      <c r="C166" s="8">
        <v>192.7742185626189</v>
      </c>
      <c r="D166" s="8">
        <v>192.92859714777859</v>
      </c>
      <c r="E166" s="8">
        <v>192.52718307685419</v>
      </c>
      <c r="F166" s="8">
        <v>192.8412793609121</v>
      </c>
      <c r="G166" s="7">
        <v>52217</v>
      </c>
      <c r="H166" s="9">
        <v>10069593.08438875</v>
      </c>
      <c r="I166" s="5" t="s">
        <v>1295</v>
      </c>
    </row>
    <row r="167" spans="1:9" x14ac:dyDescent="0.25">
      <c r="A167" s="6">
        <v>45994.628472222219</v>
      </c>
      <c r="B167" s="5" t="s">
        <v>19</v>
      </c>
      <c r="C167" s="8">
        <v>192.8318167693696</v>
      </c>
      <c r="D167" s="8">
        <v>192.83188771357601</v>
      </c>
      <c r="E167" s="8">
        <v>192.67073807806199</v>
      </c>
      <c r="F167" s="8">
        <v>192.78229762642439</v>
      </c>
      <c r="G167" s="7">
        <v>36338</v>
      </c>
      <c r="H167" s="9">
        <v>7005323.1311490107</v>
      </c>
      <c r="I167" s="5" t="s">
        <v>1296</v>
      </c>
    </row>
    <row r="168" spans="1:9" x14ac:dyDescent="0.25">
      <c r="A168" s="6">
        <v>45994.631944444453</v>
      </c>
      <c r="B168" s="5" t="s">
        <v>19</v>
      </c>
      <c r="C168" s="8">
        <v>192.66195163006051</v>
      </c>
      <c r="D168" s="8">
        <v>192.66831487678499</v>
      </c>
      <c r="E168" s="8">
        <v>192.63294570341239</v>
      </c>
      <c r="F168" s="8">
        <v>192.65578996543809</v>
      </c>
      <c r="G168" s="7">
        <v>47121</v>
      </c>
      <c r="H168" s="9">
        <v>9078133.47896141</v>
      </c>
      <c r="I168" s="5" t="s">
        <v>1297</v>
      </c>
    </row>
    <row r="169" spans="1:9" x14ac:dyDescent="0.25">
      <c r="A169" s="6">
        <v>45994.635416666657</v>
      </c>
      <c r="B169" s="5" t="s">
        <v>19</v>
      </c>
      <c r="C169" s="8">
        <v>192.67701190097171</v>
      </c>
      <c r="D169" s="8">
        <v>192.80422826132761</v>
      </c>
      <c r="E169" s="8">
        <v>192.61546715245461</v>
      </c>
      <c r="F169" s="8">
        <v>192.61935536456539</v>
      </c>
      <c r="G169" s="7">
        <v>105503</v>
      </c>
      <c r="H169" s="9">
        <v>20321919.849027742</v>
      </c>
      <c r="I169" s="5" t="s">
        <v>1298</v>
      </c>
    </row>
    <row r="170" spans="1:9" x14ac:dyDescent="0.25">
      <c r="A170" s="6">
        <v>45994.638888888891</v>
      </c>
      <c r="B170" s="5" t="s">
        <v>19</v>
      </c>
      <c r="C170" s="8">
        <v>192.68909254004569</v>
      </c>
      <c r="D170" s="8">
        <v>192.7918799959854</v>
      </c>
      <c r="E170" s="8">
        <v>192.60214842184459</v>
      </c>
      <c r="F170" s="8">
        <v>192.71545229187649</v>
      </c>
      <c r="G170" s="7">
        <v>60022</v>
      </c>
      <c r="H170" s="9">
        <v>11567166.877463009</v>
      </c>
      <c r="I170" s="5" t="s">
        <v>1299</v>
      </c>
    </row>
    <row r="171" spans="1:9" x14ac:dyDescent="0.25">
      <c r="A171" s="6">
        <v>45994.642361111109</v>
      </c>
      <c r="B171" s="5" t="s">
        <v>19</v>
      </c>
      <c r="C171" s="8">
        <v>193.09465217928431</v>
      </c>
      <c r="D171" s="8">
        <v>193.2926085264628</v>
      </c>
      <c r="E171" s="8">
        <v>192.9039287320546</v>
      </c>
      <c r="F171" s="8">
        <v>192.98499022805581</v>
      </c>
      <c r="G171" s="7">
        <v>118422</v>
      </c>
      <c r="H171" s="9">
        <v>22853668.512786821</v>
      </c>
      <c r="I171" s="5" t="s">
        <v>1300</v>
      </c>
    </row>
    <row r="172" spans="1:9" x14ac:dyDescent="0.25">
      <c r="A172" s="6">
        <v>45994.645833333343</v>
      </c>
      <c r="B172" s="5" t="s">
        <v>19</v>
      </c>
      <c r="C172" s="8">
        <v>192.90525924063019</v>
      </c>
      <c r="D172" s="8">
        <v>193.07971201683179</v>
      </c>
      <c r="E172" s="8">
        <v>192.83327072060689</v>
      </c>
      <c r="F172" s="8">
        <v>192.89027220874729</v>
      </c>
      <c r="G172" s="7">
        <v>70137</v>
      </c>
      <c r="H172" s="9">
        <v>13528745.02190491</v>
      </c>
      <c r="I172" s="5" t="s">
        <v>1301</v>
      </c>
    </row>
    <row r="173" spans="1:9" x14ac:dyDescent="0.25">
      <c r="A173" s="6">
        <v>45994.649305555547</v>
      </c>
      <c r="B173" s="5" t="s">
        <v>19</v>
      </c>
      <c r="C173" s="8">
        <v>192.76858447119801</v>
      </c>
      <c r="D173" s="8">
        <v>192.92004981763949</v>
      </c>
      <c r="E173" s="8">
        <v>192.747288960335</v>
      </c>
      <c r="F173" s="8">
        <v>192.87999388554519</v>
      </c>
      <c r="G173" s="7">
        <v>82854</v>
      </c>
      <c r="H173" s="9">
        <v>15980879.013392961</v>
      </c>
      <c r="I173" s="5" t="s">
        <v>1302</v>
      </c>
    </row>
    <row r="174" spans="1:9" x14ac:dyDescent="0.25">
      <c r="A174" s="6">
        <v>45994.652777777781</v>
      </c>
      <c r="B174" s="5" t="s">
        <v>19</v>
      </c>
      <c r="C174" s="8">
        <v>193.28303639724069</v>
      </c>
      <c r="D174" s="8">
        <v>193.32564340381481</v>
      </c>
      <c r="E174" s="8">
        <v>193.19119592380611</v>
      </c>
      <c r="F174" s="8">
        <v>193.24338914424939</v>
      </c>
      <c r="G174" s="7">
        <v>64255</v>
      </c>
      <c r="H174" s="9">
        <v>12416853.969463751</v>
      </c>
      <c r="I174" s="5" t="s">
        <v>1303</v>
      </c>
    </row>
    <row r="175" spans="1:9" x14ac:dyDescent="0.25">
      <c r="A175" s="6">
        <v>45994.65625</v>
      </c>
      <c r="B175" s="5" t="s">
        <v>19</v>
      </c>
      <c r="C175" s="8">
        <v>193.33781724358349</v>
      </c>
      <c r="D175" s="8">
        <v>193.5566604580614</v>
      </c>
      <c r="E175" s="8">
        <v>193.1005705678904</v>
      </c>
      <c r="F175" s="8">
        <v>193.4213049073542</v>
      </c>
      <c r="G175" s="7">
        <v>74048</v>
      </c>
      <c r="H175" s="9">
        <v>14322460.785779759</v>
      </c>
      <c r="I175" s="5" t="s">
        <v>1304</v>
      </c>
    </row>
    <row r="176" spans="1:9" x14ac:dyDescent="0.25">
      <c r="A176" s="6">
        <v>45994.659722222219</v>
      </c>
      <c r="B176" s="5" t="s">
        <v>19</v>
      </c>
      <c r="C176" s="8">
        <v>193.38085198655861</v>
      </c>
      <c r="D176" s="8">
        <v>193.50216172933659</v>
      </c>
      <c r="E176" s="8">
        <v>193.31446148971449</v>
      </c>
      <c r="F176" s="8">
        <v>193.4179962421421</v>
      </c>
      <c r="G176" s="7">
        <v>43272</v>
      </c>
      <c r="H176" s="9">
        <v>8369583.5333899744</v>
      </c>
      <c r="I176" s="5" t="s">
        <v>1305</v>
      </c>
    </row>
    <row r="177" spans="1:9" x14ac:dyDescent="0.25">
      <c r="A177" s="6">
        <v>45994.663194444453</v>
      </c>
      <c r="B177" s="5" t="s">
        <v>19</v>
      </c>
      <c r="C177" s="8">
        <v>193.33337909880251</v>
      </c>
      <c r="D177" s="8">
        <v>193.5233088335184</v>
      </c>
      <c r="E177" s="8">
        <v>193.29587543751111</v>
      </c>
      <c r="F177" s="8">
        <v>193.36204787308299</v>
      </c>
      <c r="G177" s="7">
        <v>44959</v>
      </c>
      <c r="H177" s="9">
        <v>8693364.3103259373</v>
      </c>
      <c r="I177" s="5" t="s">
        <v>1306</v>
      </c>
    </row>
    <row r="178" spans="1:9" x14ac:dyDescent="0.25">
      <c r="A178" s="6">
        <v>45994.666666666657</v>
      </c>
      <c r="B178" s="5" t="s">
        <v>19</v>
      </c>
      <c r="C178" s="8">
        <v>193.32994891400239</v>
      </c>
      <c r="D178" s="8">
        <v>193.38242956764461</v>
      </c>
      <c r="E178" s="8">
        <v>193.2262083283768</v>
      </c>
      <c r="F178" s="8">
        <v>193.2604365985712</v>
      </c>
      <c r="G178" s="7">
        <v>77051</v>
      </c>
      <c r="H178" s="9">
        <v>14890909.900356511</v>
      </c>
      <c r="I178" s="5" t="s">
        <v>1307</v>
      </c>
    </row>
    <row r="179" spans="1:9" x14ac:dyDescent="0.25">
      <c r="A179" s="6">
        <v>45994.670138888891</v>
      </c>
      <c r="B179" s="5" t="s">
        <v>19</v>
      </c>
      <c r="C179" s="8">
        <v>193.46563759813401</v>
      </c>
      <c r="D179" s="8">
        <v>193.6229053031002</v>
      </c>
      <c r="E179" s="8">
        <v>193.26358754258879</v>
      </c>
      <c r="F179" s="8">
        <v>193.5363162432871</v>
      </c>
      <c r="G179" s="7">
        <v>71197</v>
      </c>
      <c r="H179" s="9">
        <v>13779205.10757331</v>
      </c>
      <c r="I179" s="5" t="s">
        <v>1308</v>
      </c>
    </row>
    <row r="180" spans="1:9" x14ac:dyDescent="0.25">
      <c r="A180" s="6">
        <v>45994.673611111109</v>
      </c>
      <c r="B180" s="5" t="s">
        <v>19</v>
      </c>
      <c r="C180" s="8">
        <v>193.43133766444319</v>
      </c>
      <c r="D180" s="8">
        <v>193.5588138319556</v>
      </c>
      <c r="E180" s="8">
        <v>193.3510996568516</v>
      </c>
      <c r="F180" s="8">
        <v>193.4703326389284</v>
      </c>
      <c r="G180" s="7">
        <v>56969</v>
      </c>
      <c r="H180" s="9">
        <v>11021811.38010711</v>
      </c>
      <c r="I180" s="5" t="s">
        <v>1309</v>
      </c>
    </row>
    <row r="181" spans="1:9" x14ac:dyDescent="0.25">
      <c r="A181" s="6">
        <v>45994.677083333343</v>
      </c>
      <c r="B181" s="5" t="s">
        <v>19</v>
      </c>
      <c r="C181" s="8">
        <v>193.45078406476779</v>
      </c>
      <c r="D181" s="8">
        <v>193.57220224218489</v>
      </c>
      <c r="E181" s="8">
        <v>193.2312545144072</v>
      </c>
      <c r="F181" s="8">
        <v>193.3779563468994</v>
      </c>
      <c r="G181" s="7">
        <v>148468</v>
      </c>
      <c r="H181" s="9">
        <v>28710438.42291145</v>
      </c>
      <c r="I181" s="5" t="s">
        <v>1310</v>
      </c>
    </row>
    <row r="182" spans="1:9" x14ac:dyDescent="0.25">
      <c r="A182" s="6">
        <v>45994.680555555547</v>
      </c>
      <c r="B182" s="5" t="s">
        <v>19</v>
      </c>
      <c r="C182" s="8">
        <v>193.28243808498399</v>
      </c>
      <c r="D182" s="8">
        <v>193.39832856339589</v>
      </c>
      <c r="E182" s="8">
        <v>193.26656244782529</v>
      </c>
      <c r="F182" s="8">
        <v>193.3139562595602</v>
      </c>
      <c r="G182" s="7">
        <v>78744</v>
      </c>
      <c r="H182" s="9">
        <v>15222314.17170281</v>
      </c>
      <c r="I182" s="5" t="s">
        <v>1311</v>
      </c>
    </row>
    <row r="183" spans="1:9" x14ac:dyDescent="0.25">
      <c r="A183" s="6">
        <v>45994.684027777781</v>
      </c>
      <c r="B183" s="5" t="s">
        <v>19</v>
      </c>
      <c r="C183" s="8">
        <v>193.47661927335361</v>
      </c>
      <c r="D183" s="8">
        <v>193.50896109678419</v>
      </c>
      <c r="E183" s="8">
        <v>193.27209725430589</v>
      </c>
      <c r="F183" s="8">
        <v>193.44504568948381</v>
      </c>
      <c r="G183" s="7">
        <v>66107</v>
      </c>
      <c r="H183" s="9">
        <v>12788071.635394709</v>
      </c>
      <c r="I183" s="5" t="s">
        <v>1312</v>
      </c>
    </row>
    <row r="184" spans="1:9" x14ac:dyDescent="0.25">
      <c r="A184" s="6">
        <v>45994.6875</v>
      </c>
      <c r="B184" s="5" t="s">
        <v>19</v>
      </c>
      <c r="C184" s="8">
        <v>193.77160792075799</v>
      </c>
      <c r="D184" s="8">
        <v>193.79117012536861</v>
      </c>
      <c r="E184" s="8">
        <v>193.61619362351431</v>
      </c>
      <c r="F184" s="8">
        <v>193.70946910233931</v>
      </c>
      <c r="G184" s="7">
        <v>52317</v>
      </c>
      <c r="H184" s="9">
        <v>10134298.29502709</v>
      </c>
      <c r="I184" s="5" t="s">
        <v>1313</v>
      </c>
    </row>
    <row r="185" spans="1:9" x14ac:dyDescent="0.25">
      <c r="A185" s="6">
        <v>45994.690972222219</v>
      </c>
      <c r="B185" s="5" t="s">
        <v>19</v>
      </c>
      <c r="C185" s="8">
        <v>193.62812577807929</v>
      </c>
      <c r="D185" s="8">
        <v>193.73651368110069</v>
      </c>
      <c r="E185" s="8">
        <v>193.61179532246189</v>
      </c>
      <c r="F185" s="8">
        <v>193.69985466978221</v>
      </c>
      <c r="G185" s="7">
        <v>56434</v>
      </c>
      <c r="H185" s="9">
        <v>10931257.598434489</v>
      </c>
      <c r="I185" s="5" t="s">
        <v>1314</v>
      </c>
    </row>
    <row r="186" spans="1:9" x14ac:dyDescent="0.25">
      <c r="A186" s="6">
        <v>45994.694444444453</v>
      </c>
      <c r="B186" s="5" t="s">
        <v>19</v>
      </c>
      <c r="C186" s="8">
        <v>193.94361831256811</v>
      </c>
      <c r="D186" s="8">
        <v>194.09741222513409</v>
      </c>
      <c r="E186" s="8">
        <v>193.79861609912089</v>
      </c>
      <c r="F186" s="8">
        <v>193.83408224035639</v>
      </c>
      <c r="G186" s="7">
        <v>46355</v>
      </c>
      <c r="H186" s="9">
        <v>8985178.882251719</v>
      </c>
      <c r="I186" s="5" t="s">
        <v>1315</v>
      </c>
    </row>
    <row r="187" spans="1:9" x14ac:dyDescent="0.25">
      <c r="A187" s="6">
        <v>45994.697916666657</v>
      </c>
      <c r="B187" s="5" t="s">
        <v>19</v>
      </c>
      <c r="C187" s="8">
        <v>193.66339949185709</v>
      </c>
      <c r="D187" s="8">
        <v>193.7241787699611</v>
      </c>
      <c r="E187" s="8">
        <v>193.61446632813119</v>
      </c>
      <c r="F187" s="8">
        <v>193.72022532342891</v>
      </c>
      <c r="G187" s="7">
        <v>63835</v>
      </c>
      <c r="H187" s="9">
        <v>12366130.58352109</v>
      </c>
      <c r="I187" s="5" t="s">
        <v>1316</v>
      </c>
    </row>
    <row r="188" spans="1:9" x14ac:dyDescent="0.25">
      <c r="A188" s="6">
        <v>45994.701388888891</v>
      </c>
      <c r="B188" s="5" t="s">
        <v>19</v>
      </c>
      <c r="C188" s="8">
        <v>193.7631834291744</v>
      </c>
      <c r="D188" s="8">
        <v>193.77853576294049</v>
      </c>
      <c r="E188" s="8">
        <v>193.66768716496799</v>
      </c>
      <c r="F188" s="8">
        <v>193.75398785370589</v>
      </c>
      <c r="G188" s="7">
        <v>109494</v>
      </c>
      <c r="H188" s="9">
        <v>21214899.146053672</v>
      </c>
      <c r="I188" s="5" t="s">
        <v>1317</v>
      </c>
    </row>
    <row r="189" spans="1:9" x14ac:dyDescent="0.25">
      <c r="A189" s="6">
        <v>45994.704861111109</v>
      </c>
      <c r="B189" s="5" t="s">
        <v>19</v>
      </c>
      <c r="C189" s="8">
        <v>193.8838117155201</v>
      </c>
      <c r="D189" s="8">
        <v>194.0419906590613</v>
      </c>
      <c r="E189" s="8">
        <v>193.8156107202459</v>
      </c>
      <c r="F189" s="8">
        <v>193.93665494608101</v>
      </c>
      <c r="G189" s="7">
        <v>60570</v>
      </c>
      <c r="H189" s="9">
        <v>11746743.19008413</v>
      </c>
      <c r="I189" s="5" t="s">
        <v>1318</v>
      </c>
    </row>
    <row r="190" spans="1:9" x14ac:dyDescent="0.25">
      <c r="A190" s="6">
        <v>45994.708333333343</v>
      </c>
      <c r="B190" s="5" t="s">
        <v>19</v>
      </c>
      <c r="C190" s="8">
        <v>194.21552431086849</v>
      </c>
      <c r="D190" s="8">
        <v>194.3399485280074</v>
      </c>
      <c r="E190" s="8">
        <v>194.02968661417219</v>
      </c>
      <c r="F190" s="8">
        <v>194.1564126107935</v>
      </c>
      <c r="G190" s="7">
        <v>88189</v>
      </c>
      <c r="H190" s="9">
        <v>17122459.871733271</v>
      </c>
      <c r="I190" s="5" t="s">
        <v>1319</v>
      </c>
    </row>
    <row r="191" spans="1:9" x14ac:dyDescent="0.25">
      <c r="A191" s="6">
        <v>45994.711805555547</v>
      </c>
      <c r="B191" s="5" t="s">
        <v>19</v>
      </c>
      <c r="C191" s="8">
        <v>194.3116333085035</v>
      </c>
      <c r="D191" s="8">
        <v>194.3255134809813</v>
      </c>
      <c r="E191" s="8">
        <v>194.08186936471751</v>
      </c>
      <c r="F191" s="8">
        <v>194.28514231761611</v>
      </c>
      <c r="G191" s="7">
        <v>57226</v>
      </c>
      <c r="H191" s="9">
        <v>11118161.5542679</v>
      </c>
      <c r="I191" s="5" t="s">
        <v>1320</v>
      </c>
    </row>
    <row r="192" spans="1:9" x14ac:dyDescent="0.25">
      <c r="A192" s="6">
        <v>45994.715277777781</v>
      </c>
      <c r="B192" s="5" t="s">
        <v>19</v>
      </c>
      <c r="C192" s="8">
        <v>194.56870679515791</v>
      </c>
      <c r="D192" s="8">
        <v>194.67328610905511</v>
      </c>
      <c r="E192" s="8">
        <v>194.44993246139009</v>
      </c>
      <c r="F192" s="8">
        <v>194.60023006716341</v>
      </c>
      <c r="G192" s="7">
        <v>61587</v>
      </c>
      <c r="H192" s="9">
        <v>11984844.36914639</v>
      </c>
      <c r="I192" s="5" t="s">
        <v>1321</v>
      </c>
    </row>
    <row r="193" spans="1:9" x14ac:dyDescent="0.25">
      <c r="A193" s="6">
        <v>45994.71875</v>
      </c>
      <c r="B193" s="5" t="s">
        <v>19</v>
      </c>
      <c r="C193" s="8">
        <v>194.60705067719519</v>
      </c>
      <c r="D193" s="8">
        <v>194.6799297544263</v>
      </c>
      <c r="E193" s="8">
        <v>194.4277367969882</v>
      </c>
      <c r="F193" s="8">
        <v>194.5161534844749</v>
      </c>
      <c r="G193" s="7">
        <v>49138</v>
      </c>
      <c r="H193" s="9">
        <v>9558134.7499201279</v>
      </c>
      <c r="I193" s="5" t="s">
        <v>1322</v>
      </c>
    </row>
    <row r="194" spans="1:9" x14ac:dyDescent="0.25">
      <c r="A194" s="6">
        <v>45994.722222222219</v>
      </c>
      <c r="B194" s="5" t="s">
        <v>19</v>
      </c>
      <c r="C194" s="8">
        <v>194.62514962774779</v>
      </c>
      <c r="D194" s="8">
        <v>194.7158929820888</v>
      </c>
      <c r="E194" s="8">
        <v>194.46899037916631</v>
      </c>
      <c r="F194" s="8">
        <v>194.60316961238871</v>
      </c>
      <c r="G194" s="7">
        <v>88798</v>
      </c>
      <c r="H194" s="9">
        <v>17280372.255240891</v>
      </c>
      <c r="I194" s="5" t="s">
        <v>1323</v>
      </c>
    </row>
    <row r="195" spans="1:9" x14ac:dyDescent="0.25">
      <c r="A195" s="6">
        <v>45994.725694444453</v>
      </c>
      <c r="B195" s="5" t="s">
        <v>19</v>
      </c>
      <c r="C195" s="8">
        <v>194.67328966302239</v>
      </c>
      <c r="D195" s="8">
        <v>194.80703932918769</v>
      </c>
      <c r="E195" s="8">
        <v>194.55786895448671</v>
      </c>
      <c r="F195" s="8">
        <v>194.63302986005249</v>
      </c>
      <c r="G195" s="7">
        <v>76077</v>
      </c>
      <c r="H195" s="9">
        <v>14807097.01266321</v>
      </c>
      <c r="I195" s="5" t="s">
        <v>1324</v>
      </c>
    </row>
    <row r="196" spans="1:9" x14ac:dyDescent="0.25">
      <c r="A196" s="6">
        <v>45994.729166666657</v>
      </c>
      <c r="B196" s="5" t="s">
        <v>19</v>
      </c>
      <c r="C196" s="8">
        <v>194.51975111542041</v>
      </c>
      <c r="D196" s="8">
        <v>194.5717736379674</v>
      </c>
      <c r="E196" s="8">
        <v>194.3781267566703</v>
      </c>
      <c r="F196" s="8">
        <v>194.5649143704874</v>
      </c>
      <c r="G196" s="7">
        <v>67461</v>
      </c>
      <c r="H196" s="9">
        <v>13125543.68834745</v>
      </c>
      <c r="I196" s="5" t="s">
        <v>1325</v>
      </c>
    </row>
    <row r="197" spans="1:9" x14ac:dyDescent="0.25">
      <c r="A197" s="6">
        <v>45994.732638888891</v>
      </c>
      <c r="B197" s="5" t="s">
        <v>19</v>
      </c>
      <c r="C197" s="8">
        <v>194.56113694732051</v>
      </c>
      <c r="D197" s="8">
        <v>194.62207349035481</v>
      </c>
      <c r="E197" s="8">
        <v>194.43649571181061</v>
      </c>
      <c r="F197" s="8">
        <v>194.61651902557711</v>
      </c>
      <c r="G197" s="7">
        <v>86847</v>
      </c>
      <c r="H197" s="9">
        <v>16901860.827814288</v>
      </c>
      <c r="I197" s="5" t="s">
        <v>1326</v>
      </c>
    </row>
    <row r="198" spans="1:9" x14ac:dyDescent="0.25">
      <c r="A198" s="6">
        <v>45994.736111111109</v>
      </c>
      <c r="B198" s="5" t="s">
        <v>19</v>
      </c>
      <c r="C198" s="8">
        <v>194.78473345584001</v>
      </c>
      <c r="D198" s="8">
        <v>194.83303991251319</v>
      </c>
      <c r="E198" s="8">
        <v>194.73905298202121</v>
      </c>
      <c r="F198" s="8">
        <v>194.7935202001224</v>
      </c>
      <c r="G198" s="7">
        <v>73676</v>
      </c>
      <c r="H198" s="9">
        <v>14351607.394264219</v>
      </c>
      <c r="I198" s="5" t="s">
        <v>1327</v>
      </c>
    </row>
    <row r="199" spans="1:9" x14ac:dyDescent="0.25">
      <c r="A199" s="6">
        <v>45994.739583333343</v>
      </c>
      <c r="B199" s="5" t="s">
        <v>19</v>
      </c>
      <c r="C199" s="8">
        <v>195.2881153657747</v>
      </c>
      <c r="D199" s="8">
        <v>195.47392492495399</v>
      </c>
      <c r="E199" s="8">
        <v>195.04773031983001</v>
      </c>
      <c r="F199" s="8">
        <v>195.2058358595813</v>
      </c>
      <c r="G199" s="7">
        <v>34048</v>
      </c>
      <c r="H199" s="9">
        <v>6646368.2993470244</v>
      </c>
      <c r="I199" s="5" t="s">
        <v>1328</v>
      </c>
    </row>
    <row r="200" spans="1:9" x14ac:dyDescent="0.25">
      <c r="A200" s="6">
        <v>45994.743055555547</v>
      </c>
      <c r="B200" s="5" t="s">
        <v>19</v>
      </c>
      <c r="C200" s="8">
        <v>195.1452406135744</v>
      </c>
      <c r="D200" s="8">
        <v>195.31690092569801</v>
      </c>
      <c r="E200" s="8">
        <v>194.9475523420644</v>
      </c>
      <c r="F200" s="8">
        <v>195.17057244710921</v>
      </c>
      <c r="G200" s="7">
        <v>47459</v>
      </c>
      <c r="H200" s="9">
        <v>9262600.1977673527</v>
      </c>
      <c r="I200" s="5" t="s">
        <v>1329</v>
      </c>
    </row>
    <row r="201" spans="1:9" x14ac:dyDescent="0.25">
      <c r="A201" s="6">
        <v>45994.746527777781</v>
      </c>
      <c r="B201" s="5" t="s">
        <v>19</v>
      </c>
      <c r="C201" s="8">
        <v>195.2099877477755</v>
      </c>
      <c r="D201" s="8">
        <v>195.26719870846389</v>
      </c>
      <c r="E201" s="8">
        <v>195.10375934872471</v>
      </c>
      <c r="F201" s="8">
        <v>195.17736327387061</v>
      </c>
      <c r="G201" s="7">
        <v>47235</v>
      </c>
      <c r="H201" s="9">
        <v>9219202.7542412784</v>
      </c>
      <c r="I201" s="5" t="s">
        <v>1330</v>
      </c>
    </row>
    <row r="202" spans="1:9" x14ac:dyDescent="0.25">
      <c r="A202" s="6">
        <v>45994.75</v>
      </c>
      <c r="B202" s="5" t="s">
        <v>19</v>
      </c>
      <c r="C202" s="8">
        <v>195.2795281772238</v>
      </c>
      <c r="D202" s="8">
        <v>195.4658612018475</v>
      </c>
      <c r="E202" s="8">
        <v>195.2693520124046</v>
      </c>
      <c r="F202" s="8">
        <v>195.3328023616732</v>
      </c>
      <c r="G202" s="7">
        <v>77892</v>
      </c>
      <c r="H202" s="9">
        <v>15214862.641555451</v>
      </c>
      <c r="I202" s="5" t="s">
        <v>1331</v>
      </c>
    </row>
    <row r="203" spans="1:9" x14ac:dyDescent="0.25">
      <c r="A203" s="6">
        <v>45994.753472222219</v>
      </c>
      <c r="B203" s="5" t="s">
        <v>19</v>
      </c>
      <c r="C203" s="8">
        <v>195.5651657869256</v>
      </c>
      <c r="D203" s="8">
        <v>195.7002668064072</v>
      </c>
      <c r="E203" s="8">
        <v>195.5150931602121</v>
      </c>
      <c r="F203" s="8">
        <v>195.60441928819569</v>
      </c>
      <c r="G203" s="7">
        <v>41727</v>
      </c>
      <c r="H203" s="9">
        <v>8161985.603638541</v>
      </c>
      <c r="I203" s="5" t="s">
        <v>1332</v>
      </c>
    </row>
    <row r="204" spans="1:9" x14ac:dyDescent="0.25">
      <c r="A204" s="6">
        <v>45994.756944444453</v>
      </c>
      <c r="B204" s="5" t="s">
        <v>19</v>
      </c>
      <c r="C204" s="8">
        <v>195.46924815409051</v>
      </c>
      <c r="D204" s="8">
        <v>195.4942997803708</v>
      </c>
      <c r="E204" s="8">
        <v>195.3234234854333</v>
      </c>
      <c r="F204" s="8">
        <v>195.47590263359831</v>
      </c>
      <c r="G204" s="7">
        <v>52378</v>
      </c>
      <c r="H204" s="9">
        <v>10238636.828142609</v>
      </c>
      <c r="I204" s="5" t="s">
        <v>1333</v>
      </c>
    </row>
    <row r="205" spans="1:9" x14ac:dyDescent="0.25">
      <c r="A205" s="6">
        <v>45994.760416666657</v>
      </c>
      <c r="B205" s="5" t="s">
        <v>19</v>
      </c>
      <c r="C205" s="8">
        <v>195.657162980251</v>
      </c>
      <c r="D205" s="8">
        <v>195.8871811342951</v>
      </c>
      <c r="E205" s="8">
        <v>195.42537029681989</v>
      </c>
      <c r="F205" s="8">
        <v>195.5783647952403</v>
      </c>
      <c r="G205" s="7">
        <v>81469</v>
      </c>
      <c r="H205" s="9">
        <v>15933573.801503429</v>
      </c>
      <c r="I205" s="5" t="s">
        <v>1334</v>
      </c>
    </row>
    <row r="206" spans="1:9" x14ac:dyDescent="0.25">
      <c r="A206" s="6">
        <v>45994.763888888891</v>
      </c>
      <c r="B206" s="5" t="s">
        <v>19</v>
      </c>
      <c r="C206" s="8">
        <v>195.30180378189939</v>
      </c>
      <c r="D206" s="8">
        <v>195.43659740831291</v>
      </c>
      <c r="E206" s="8">
        <v>195.2527773476148</v>
      </c>
      <c r="F206" s="8">
        <v>195.38778084180001</v>
      </c>
      <c r="G206" s="7">
        <v>62786</v>
      </c>
      <c r="H206" s="9">
        <v>12267617.207933251</v>
      </c>
      <c r="I206" s="5" t="s">
        <v>1335</v>
      </c>
    </row>
    <row r="207" spans="1:9" x14ac:dyDescent="0.25">
      <c r="A207" s="6">
        <v>45994.767361111109</v>
      </c>
      <c r="B207" s="5" t="s">
        <v>19</v>
      </c>
      <c r="C207" s="8">
        <v>195.51693767762879</v>
      </c>
      <c r="D207" s="8">
        <v>195.55767865663219</v>
      </c>
      <c r="E207" s="8">
        <v>195.4613836239013</v>
      </c>
      <c r="F207" s="8">
        <v>195.5386944338249</v>
      </c>
      <c r="G207" s="7">
        <v>81638</v>
      </c>
      <c r="H207" s="9">
        <v>15963387.936188599</v>
      </c>
      <c r="I207" s="5" t="s">
        <v>1336</v>
      </c>
    </row>
    <row r="208" spans="1:9" x14ac:dyDescent="0.25">
      <c r="A208" s="6">
        <v>45994.770833333343</v>
      </c>
      <c r="B208" s="5" t="s">
        <v>19</v>
      </c>
      <c r="C208" s="8">
        <v>195.94714275090681</v>
      </c>
      <c r="D208" s="8">
        <v>195.97538539148499</v>
      </c>
      <c r="E208" s="8">
        <v>195.81994353498149</v>
      </c>
      <c r="F208" s="8">
        <v>195.84758370810991</v>
      </c>
      <c r="G208" s="7">
        <v>136924</v>
      </c>
      <c r="H208" s="9">
        <v>26816234.551649239</v>
      </c>
      <c r="I208" s="5" t="s">
        <v>1337</v>
      </c>
    </row>
    <row r="209" spans="1:9" x14ac:dyDescent="0.25">
      <c r="A209" s="6">
        <v>45994.774305555547</v>
      </c>
      <c r="B209" s="5" t="s">
        <v>19</v>
      </c>
      <c r="C209" s="8">
        <v>195.98503090555801</v>
      </c>
      <c r="D209" s="8">
        <v>196.11389684866469</v>
      </c>
      <c r="E209" s="8">
        <v>195.8688629699401</v>
      </c>
      <c r="F209" s="8">
        <v>195.96001067930439</v>
      </c>
      <c r="G209" s="7">
        <v>45680</v>
      </c>
      <c r="H209" s="9">
        <v>8951453.2878306247</v>
      </c>
      <c r="I209" s="5" t="s">
        <v>1338</v>
      </c>
    </row>
    <row r="210" spans="1:9" x14ac:dyDescent="0.25">
      <c r="A210" s="6">
        <v>45994.777777777781</v>
      </c>
      <c r="B210" s="5" t="s">
        <v>19</v>
      </c>
      <c r="C210" s="8">
        <v>195.80160825542669</v>
      </c>
      <c r="D210" s="8">
        <v>195.94031240017031</v>
      </c>
      <c r="E210" s="8">
        <v>195.79430053623491</v>
      </c>
      <c r="F210" s="8">
        <v>195.8796727246656</v>
      </c>
      <c r="G210" s="7">
        <v>35512</v>
      </c>
      <c r="H210" s="9">
        <v>6956078.9377983259</v>
      </c>
      <c r="I210" s="5" t="s">
        <v>1339</v>
      </c>
    </row>
    <row r="211" spans="1:9" x14ac:dyDescent="0.25">
      <c r="A211" s="6">
        <v>45994.78125</v>
      </c>
      <c r="B211" s="5" t="s">
        <v>19</v>
      </c>
      <c r="C211" s="8">
        <v>195.71820486600441</v>
      </c>
      <c r="D211" s="8">
        <v>195.87026822466049</v>
      </c>
      <c r="E211" s="8">
        <v>195.57193183066991</v>
      </c>
      <c r="F211" s="8">
        <v>195.7227435534773</v>
      </c>
      <c r="G211" s="7">
        <v>44820</v>
      </c>
      <c r="H211" s="9">
        <v>8772293.3660668526</v>
      </c>
      <c r="I211" s="5" t="s">
        <v>1340</v>
      </c>
    </row>
    <row r="212" spans="1:9" x14ac:dyDescent="0.25">
      <c r="A212" s="6">
        <v>45994.784722222219</v>
      </c>
      <c r="B212" s="5" t="s">
        <v>19</v>
      </c>
      <c r="C212" s="8">
        <v>195.5120104327253</v>
      </c>
      <c r="D212" s="8">
        <v>195.62795541852719</v>
      </c>
      <c r="E212" s="8">
        <v>195.38631327859761</v>
      </c>
      <c r="F212" s="8">
        <v>195.4761455775286</v>
      </c>
      <c r="G212" s="7">
        <v>82645</v>
      </c>
      <c r="H212" s="9">
        <v>16155126.05125485</v>
      </c>
      <c r="I212" s="5" t="s">
        <v>1341</v>
      </c>
    </row>
    <row r="213" spans="1:9" x14ac:dyDescent="0.25">
      <c r="A213" s="6">
        <v>45994.788194444453</v>
      </c>
      <c r="B213" s="5" t="s">
        <v>19</v>
      </c>
      <c r="C213" s="8">
        <v>195.26880026194161</v>
      </c>
      <c r="D213" s="8">
        <v>195.3246200608464</v>
      </c>
      <c r="E213" s="8">
        <v>195.13378092322921</v>
      </c>
      <c r="F213" s="8">
        <v>195.266411898879</v>
      </c>
      <c r="G213" s="7">
        <v>53284</v>
      </c>
      <c r="H213" s="9">
        <v>10404575.49161987</v>
      </c>
      <c r="I213" s="5" t="s">
        <v>1342</v>
      </c>
    </row>
    <row r="214" spans="1:9" x14ac:dyDescent="0.25">
      <c r="A214" s="6">
        <v>45994.791666666657</v>
      </c>
      <c r="B214" s="5" t="s">
        <v>19</v>
      </c>
      <c r="C214" s="8">
        <v>195.26568414727339</v>
      </c>
      <c r="D214" s="8">
        <v>195.385376897642</v>
      </c>
      <c r="E214" s="8">
        <v>195.09583047982659</v>
      </c>
      <c r="F214" s="8">
        <v>195.22420739581381</v>
      </c>
      <c r="G214" s="7">
        <v>51971</v>
      </c>
      <c r="H214" s="9">
        <v>10145997.28256784</v>
      </c>
      <c r="I214" s="5" t="s">
        <v>1343</v>
      </c>
    </row>
    <row r="215" spans="1:9" x14ac:dyDescent="0.25">
      <c r="A215" s="6">
        <v>45994.795138888891</v>
      </c>
      <c r="B215" s="5" t="s">
        <v>19</v>
      </c>
      <c r="C215" s="8">
        <v>195.38586640895639</v>
      </c>
      <c r="D215" s="8">
        <v>195.6712183702092</v>
      </c>
      <c r="E215" s="8">
        <v>195.1677088383573</v>
      </c>
      <c r="F215" s="8">
        <v>195.31708681896779</v>
      </c>
      <c r="G215" s="7">
        <v>56467</v>
      </c>
      <c r="H215" s="9">
        <v>11028969.94140665</v>
      </c>
      <c r="I215" s="5" t="s">
        <v>1344</v>
      </c>
    </row>
    <row r="216" spans="1:9" x14ac:dyDescent="0.25">
      <c r="A216" s="6">
        <v>45994.798611111109</v>
      </c>
      <c r="B216" s="5" t="s">
        <v>19</v>
      </c>
      <c r="C216" s="8">
        <v>195.56092904331689</v>
      </c>
      <c r="D216" s="8">
        <v>195.68295694389639</v>
      </c>
      <c r="E216" s="8">
        <v>195.55566503902119</v>
      </c>
      <c r="F216" s="8">
        <v>195.58571932962309</v>
      </c>
      <c r="G216" s="7">
        <v>90066</v>
      </c>
      <c r="H216" s="9">
        <v>17615623.39714184</v>
      </c>
      <c r="I216" s="5" t="s">
        <v>1345</v>
      </c>
    </row>
    <row r="217" spans="1:9" x14ac:dyDescent="0.25">
      <c r="A217" s="6">
        <v>45994.802083333343</v>
      </c>
      <c r="B217" s="5" t="s">
        <v>19</v>
      </c>
      <c r="C217" s="8">
        <v>195.4531027175608</v>
      </c>
      <c r="D217" s="8">
        <v>195.67121805765399</v>
      </c>
      <c r="E217" s="8">
        <v>195.26476444502779</v>
      </c>
      <c r="F217" s="8">
        <v>195.5911074581461</v>
      </c>
      <c r="G217" s="7">
        <v>42542</v>
      </c>
      <c r="H217" s="9">
        <v>8320836.8934844509</v>
      </c>
      <c r="I217" s="5" t="s">
        <v>1346</v>
      </c>
    </row>
    <row r="218" spans="1:9" x14ac:dyDescent="0.25">
      <c r="A218" s="6">
        <v>45994.805555555547</v>
      </c>
      <c r="B218" s="5" t="s">
        <v>19</v>
      </c>
      <c r="C218" s="8">
        <v>195.2795072572163</v>
      </c>
      <c r="D218" s="8">
        <v>195.5336253114225</v>
      </c>
      <c r="E218" s="8">
        <v>195.1639979664109</v>
      </c>
      <c r="F218" s="8">
        <v>195.3870367391504</v>
      </c>
      <c r="G218" s="7">
        <v>48342</v>
      </c>
      <c r="H218" s="9">
        <v>9445400.1300440077</v>
      </c>
      <c r="I218" s="5" t="s">
        <v>1347</v>
      </c>
    </row>
    <row r="219" spans="1:9" x14ac:dyDescent="0.25">
      <c r="A219" s="6">
        <v>45994.809027777781</v>
      </c>
      <c r="B219" s="5" t="s">
        <v>19</v>
      </c>
      <c r="C219" s="8">
        <v>195.3580962374927</v>
      </c>
      <c r="D219" s="8">
        <v>195.55121477088491</v>
      </c>
      <c r="E219" s="8">
        <v>195.33679943979851</v>
      </c>
      <c r="F219" s="8">
        <v>195.37767204293911</v>
      </c>
      <c r="G219" s="7">
        <v>84158</v>
      </c>
      <c r="H219" s="9">
        <v>16442594.123789661</v>
      </c>
      <c r="I219" s="5" t="s">
        <v>1348</v>
      </c>
    </row>
    <row r="220" spans="1:9" x14ac:dyDescent="0.25">
      <c r="A220" s="6">
        <v>45994.8125</v>
      </c>
      <c r="B220" s="5" t="s">
        <v>19</v>
      </c>
      <c r="C220" s="8">
        <v>195.55230447764359</v>
      </c>
      <c r="D220" s="8">
        <v>195.62497802329449</v>
      </c>
      <c r="E220" s="8">
        <v>195.4397195265351</v>
      </c>
      <c r="F220" s="8">
        <v>195.5444053274324</v>
      </c>
      <c r="G220" s="7">
        <v>96430</v>
      </c>
      <c r="H220" s="9">
        <v>18856347.005724311</v>
      </c>
      <c r="I220" s="5" t="s">
        <v>1349</v>
      </c>
    </row>
    <row r="221" spans="1:9" x14ac:dyDescent="0.25">
      <c r="A221" s="6">
        <v>45994.815972222219</v>
      </c>
      <c r="B221" s="5" t="s">
        <v>19</v>
      </c>
      <c r="C221" s="8">
        <v>195.8241463278288</v>
      </c>
      <c r="D221" s="8">
        <v>195.87488488802421</v>
      </c>
      <c r="E221" s="8">
        <v>195.65110056729941</v>
      </c>
      <c r="F221" s="8">
        <v>195.8429635961318</v>
      </c>
      <c r="G221" s="7">
        <v>103401</v>
      </c>
      <c r="H221" s="9">
        <v>20250358.278803632</v>
      </c>
      <c r="I221" s="5" t="s">
        <v>1350</v>
      </c>
    </row>
    <row r="222" spans="1:9" x14ac:dyDescent="0.25">
      <c r="A222" s="6">
        <v>45994.819444444453</v>
      </c>
      <c r="B222" s="5" t="s">
        <v>19</v>
      </c>
      <c r="C222" s="8">
        <v>195.97663595264021</v>
      </c>
      <c r="D222" s="8">
        <v>196.14036829890281</v>
      </c>
      <c r="E222" s="8">
        <v>195.5938329979933</v>
      </c>
      <c r="F222" s="8">
        <v>196.1145177315253</v>
      </c>
      <c r="G222" s="7">
        <v>77302</v>
      </c>
      <c r="H222" s="9">
        <v>15160044.44968237</v>
      </c>
      <c r="I222" s="5" t="s">
        <v>1351</v>
      </c>
    </row>
    <row r="223" spans="1:9" x14ac:dyDescent="0.25">
      <c r="A223" s="6">
        <v>45994.822916666657</v>
      </c>
      <c r="B223" s="5" t="s">
        <v>19</v>
      </c>
      <c r="C223" s="8">
        <v>196.12740417083029</v>
      </c>
      <c r="D223" s="8">
        <v>196.14360759863939</v>
      </c>
      <c r="E223" s="8">
        <v>195.97096036146121</v>
      </c>
      <c r="F223" s="8">
        <v>196.1243340703131</v>
      </c>
      <c r="G223" s="7">
        <v>54036</v>
      </c>
      <c r="H223" s="9">
        <v>10597774.515823441</v>
      </c>
      <c r="I223" s="5" t="s">
        <v>1352</v>
      </c>
    </row>
    <row r="224" spans="1:9" x14ac:dyDescent="0.25">
      <c r="A224" s="6">
        <v>45994.826388888891</v>
      </c>
      <c r="B224" s="5" t="s">
        <v>19</v>
      </c>
      <c r="C224" s="8">
        <v>196.33929351617081</v>
      </c>
      <c r="D224" s="8">
        <v>196.38132769731479</v>
      </c>
      <c r="E224" s="8">
        <v>196.25220466304009</v>
      </c>
      <c r="F224" s="8">
        <v>196.30669101763391</v>
      </c>
      <c r="G224" s="7">
        <v>62239</v>
      </c>
      <c r="H224" s="9">
        <v>12217932.14224652</v>
      </c>
      <c r="I224" s="5" t="s">
        <v>1353</v>
      </c>
    </row>
    <row r="225" spans="1:9" x14ac:dyDescent="0.25">
      <c r="A225" s="6">
        <v>45994.829861111109</v>
      </c>
      <c r="B225" s="5" t="s">
        <v>19</v>
      </c>
      <c r="C225" s="8">
        <v>196.1555940287675</v>
      </c>
      <c r="D225" s="8">
        <v>196.23954804133351</v>
      </c>
      <c r="E225" s="8">
        <v>196.0965253507579</v>
      </c>
      <c r="F225" s="8">
        <v>196.11345594002759</v>
      </c>
      <c r="G225" s="7">
        <v>77323</v>
      </c>
      <c r="H225" s="9">
        <v>15164080.75365076</v>
      </c>
      <c r="I225" s="5" t="s">
        <v>1354</v>
      </c>
    </row>
    <row r="226" spans="1:9" x14ac:dyDescent="0.25">
      <c r="A226" s="6">
        <v>45994.833333333343</v>
      </c>
      <c r="B226" s="5" t="s">
        <v>19</v>
      </c>
      <c r="C226" s="8">
        <v>196.19666018640319</v>
      </c>
      <c r="D226" s="8">
        <v>196.28885714221531</v>
      </c>
      <c r="E226" s="8">
        <v>196.14448185036721</v>
      </c>
      <c r="F226" s="8">
        <v>196.27211880102229</v>
      </c>
      <c r="G226" s="7">
        <v>43616</v>
      </c>
      <c r="H226" s="9">
        <v>8560604.7336253878</v>
      </c>
      <c r="I226" s="5" t="s">
        <v>1355</v>
      </c>
    </row>
    <row r="227" spans="1:9" x14ac:dyDescent="0.25">
      <c r="A227" s="6">
        <v>45994.836805555547</v>
      </c>
      <c r="B227" s="5" t="s">
        <v>19</v>
      </c>
      <c r="C227" s="8">
        <v>196.27939192007179</v>
      </c>
      <c r="D227" s="8">
        <v>196.38022310714359</v>
      </c>
      <c r="E227" s="8">
        <v>196.25049187846591</v>
      </c>
      <c r="F227" s="8">
        <v>196.32905399897379</v>
      </c>
      <c r="G227" s="7">
        <v>67673</v>
      </c>
      <c r="H227" s="9">
        <v>13286176.07127255</v>
      </c>
      <c r="I227" s="5" t="s">
        <v>1356</v>
      </c>
    </row>
    <row r="228" spans="1:9" x14ac:dyDescent="0.25">
      <c r="A228" s="6">
        <v>45994.840277777781</v>
      </c>
      <c r="B228" s="5" t="s">
        <v>19</v>
      </c>
      <c r="C228" s="8">
        <v>196.51748237609499</v>
      </c>
      <c r="D228" s="8">
        <v>196.57687237863689</v>
      </c>
      <c r="E228" s="8">
        <v>196.35639015594401</v>
      </c>
      <c r="F228" s="8">
        <v>196.38586997281109</v>
      </c>
      <c r="G228" s="7">
        <v>39259</v>
      </c>
      <c r="H228" s="9">
        <v>7709912.8692625891</v>
      </c>
      <c r="I228" s="5" t="s">
        <v>1357</v>
      </c>
    </row>
    <row r="229" spans="1:9" x14ac:dyDescent="0.25">
      <c r="A229" s="6">
        <v>45994.84375</v>
      </c>
      <c r="B229" s="5" t="s">
        <v>19</v>
      </c>
      <c r="C229" s="8">
        <v>196.53893434717429</v>
      </c>
      <c r="D229" s="8">
        <v>196.68207680925681</v>
      </c>
      <c r="E229" s="8">
        <v>196.39599719547431</v>
      </c>
      <c r="F229" s="8">
        <v>196.47094830931991</v>
      </c>
      <c r="G229" s="7">
        <v>54295</v>
      </c>
      <c r="H229" s="9">
        <v>10667390.138454519</v>
      </c>
      <c r="I229" s="5" t="s">
        <v>1358</v>
      </c>
    </row>
    <row r="230" spans="1:9" x14ac:dyDescent="0.25">
      <c r="A230" s="6">
        <v>45994.847222222219</v>
      </c>
      <c r="B230" s="5" t="s">
        <v>19</v>
      </c>
      <c r="C230" s="8">
        <v>196.6886589817133</v>
      </c>
      <c r="D230" s="8">
        <v>196.80730806051511</v>
      </c>
      <c r="E230" s="8">
        <v>196.57390033056569</v>
      </c>
      <c r="F230" s="8">
        <v>196.69416866130439</v>
      </c>
      <c r="G230" s="7">
        <v>97166</v>
      </c>
      <c r="H230" s="9">
        <v>19111985.592144299</v>
      </c>
      <c r="I230" s="5" t="s">
        <v>1359</v>
      </c>
    </row>
    <row r="231" spans="1:9" x14ac:dyDescent="0.25">
      <c r="A231" s="6">
        <v>45994.850694444453</v>
      </c>
      <c r="B231" s="5" t="s">
        <v>19</v>
      </c>
      <c r="C231" s="8">
        <v>196.9034247924412</v>
      </c>
      <c r="D231" s="8">
        <v>196.99776546577721</v>
      </c>
      <c r="E231" s="8">
        <v>196.85715106448171</v>
      </c>
      <c r="F231" s="8">
        <v>196.87601696220781</v>
      </c>
      <c r="G231" s="7">
        <v>63129</v>
      </c>
      <c r="H231" s="9">
        <v>12428586.07480721</v>
      </c>
      <c r="I231" s="5" t="s">
        <v>1360</v>
      </c>
    </row>
    <row r="232" spans="1:9" x14ac:dyDescent="0.25">
      <c r="A232" s="6">
        <v>45994.854166666657</v>
      </c>
      <c r="B232" s="5" t="s">
        <v>19</v>
      </c>
      <c r="C232" s="8">
        <v>196.91650052637479</v>
      </c>
      <c r="D232" s="8">
        <v>196.94849973706579</v>
      </c>
      <c r="E232" s="8">
        <v>196.89376191031039</v>
      </c>
      <c r="F232" s="8">
        <v>196.9226905282668</v>
      </c>
      <c r="G232" s="7">
        <v>97581</v>
      </c>
      <c r="H232" s="9">
        <v>19215913.064438801</v>
      </c>
      <c r="I232" s="5" t="s">
        <v>1361</v>
      </c>
    </row>
    <row r="233" spans="1:9" x14ac:dyDescent="0.25">
      <c r="A233" s="6">
        <v>45994.857638888891</v>
      </c>
      <c r="B233" s="5" t="s">
        <v>19</v>
      </c>
      <c r="C233" s="8">
        <v>196.4859335201127</v>
      </c>
      <c r="D233" s="8">
        <v>196.74903543212099</v>
      </c>
      <c r="E233" s="8">
        <v>196.4049446569424</v>
      </c>
      <c r="F233" s="8">
        <v>196.5668329156745</v>
      </c>
      <c r="G233" s="7">
        <v>32562</v>
      </c>
      <c r="H233" s="9">
        <v>6400609.2134001926</v>
      </c>
      <c r="I233" s="5" t="s">
        <v>1362</v>
      </c>
    </row>
    <row r="234" spans="1:9" x14ac:dyDescent="0.25">
      <c r="A234" s="6">
        <v>45994.861111111109</v>
      </c>
      <c r="B234" s="5" t="s">
        <v>19</v>
      </c>
      <c r="C234" s="8">
        <v>196.67033287734691</v>
      </c>
      <c r="D234" s="8">
        <v>196.7002791529641</v>
      </c>
      <c r="E234" s="8">
        <v>196.5842641445013</v>
      </c>
      <c r="F234" s="8">
        <v>196.66468542716899</v>
      </c>
      <c r="G234" s="7">
        <v>63253</v>
      </c>
      <c r="H234" s="9">
        <v>12439631.34732472</v>
      </c>
      <c r="I234" s="5" t="s">
        <v>1363</v>
      </c>
    </row>
    <row r="235" spans="1:9" x14ac:dyDescent="0.25">
      <c r="A235" s="6">
        <v>45994.864583333343</v>
      </c>
      <c r="B235" s="5" t="s">
        <v>19</v>
      </c>
      <c r="C235" s="8">
        <v>196.71572374418011</v>
      </c>
      <c r="D235" s="8">
        <v>196.80176895614741</v>
      </c>
      <c r="E235" s="8">
        <v>196.6196048204576</v>
      </c>
      <c r="F235" s="8">
        <v>196.6962352991618</v>
      </c>
      <c r="G235" s="7">
        <v>35810</v>
      </c>
      <c r="H235" s="9">
        <v>7043692.1860629851</v>
      </c>
      <c r="I235" s="5" t="s">
        <v>1364</v>
      </c>
    </row>
    <row r="236" spans="1:9" x14ac:dyDescent="0.25">
      <c r="A236" s="6">
        <v>45994.868055555547</v>
      </c>
      <c r="B236" s="5" t="s">
        <v>19</v>
      </c>
      <c r="C236" s="8">
        <v>196.73566078189299</v>
      </c>
      <c r="D236" s="8">
        <v>196.9875589879457</v>
      </c>
      <c r="E236" s="8">
        <v>196.59374055157241</v>
      </c>
      <c r="F236" s="8">
        <v>196.9174187611803</v>
      </c>
      <c r="G236" s="7">
        <v>78937</v>
      </c>
      <c r="H236" s="9">
        <v>15544070.28475129</v>
      </c>
      <c r="I236" s="5" t="s">
        <v>1365</v>
      </c>
    </row>
    <row r="237" spans="1:9" x14ac:dyDescent="0.25">
      <c r="A237" s="6">
        <v>45994.871527777781</v>
      </c>
      <c r="B237" s="5" t="s">
        <v>19</v>
      </c>
      <c r="C237" s="8">
        <v>196.76169351338891</v>
      </c>
      <c r="D237" s="8">
        <v>196.94404274496259</v>
      </c>
      <c r="E237" s="8">
        <v>196.41486843461669</v>
      </c>
      <c r="F237" s="8">
        <v>196.6542115470215</v>
      </c>
      <c r="G237" s="7">
        <v>70038</v>
      </c>
      <c r="H237" s="9">
        <v>13773267.668330289</v>
      </c>
      <c r="I237" s="5" t="s">
        <v>1366</v>
      </c>
    </row>
    <row r="238" spans="1:9" x14ac:dyDescent="0.25">
      <c r="A238" s="6">
        <v>45994.875</v>
      </c>
      <c r="B238" s="5" t="s">
        <v>19</v>
      </c>
      <c r="C238" s="8">
        <v>196.68535895899541</v>
      </c>
      <c r="D238" s="8">
        <v>196.94410782974211</v>
      </c>
      <c r="E238" s="8">
        <v>196.5542688090861</v>
      </c>
      <c r="F238" s="8">
        <v>196.65964849454639</v>
      </c>
      <c r="G238" s="7">
        <v>27400</v>
      </c>
      <c r="H238" s="9">
        <v>5388474.3687505703</v>
      </c>
      <c r="I238" s="5" t="s">
        <v>1367</v>
      </c>
    </row>
    <row r="239" spans="1:9" x14ac:dyDescent="0.25">
      <c r="A239" s="6">
        <v>45995.604166666657</v>
      </c>
      <c r="B239" s="5" t="s">
        <v>19</v>
      </c>
      <c r="C239" s="8">
        <v>196.88470773244751</v>
      </c>
      <c r="D239" s="8">
        <v>197.07572794518109</v>
      </c>
      <c r="E239" s="8">
        <v>196.7811884874516</v>
      </c>
      <c r="F239" s="8">
        <v>196.87101869827211</v>
      </c>
      <c r="G239" s="7">
        <v>39187</v>
      </c>
      <c r="H239" s="9">
        <v>7714784.6097291866</v>
      </c>
      <c r="I239" s="5" t="s">
        <v>1368</v>
      </c>
    </row>
    <row r="240" spans="1:9" x14ac:dyDescent="0.25">
      <c r="A240" s="6">
        <v>45995.607638888891</v>
      </c>
      <c r="B240" s="5" t="s">
        <v>19</v>
      </c>
      <c r="C240" s="8">
        <v>196.9169010802579</v>
      </c>
      <c r="D240" s="8">
        <v>196.99350938510801</v>
      </c>
      <c r="E240" s="8">
        <v>196.82661863393301</v>
      </c>
      <c r="F240" s="8">
        <v>196.90312320148291</v>
      </c>
      <c r="G240" s="7">
        <v>41874</v>
      </c>
      <c r="H240" s="9">
        <v>8245121.3809388941</v>
      </c>
      <c r="I240" s="5" t="s">
        <v>1369</v>
      </c>
    </row>
    <row r="241" spans="1:9" x14ac:dyDescent="0.25">
      <c r="A241" s="6">
        <v>45995.611111111109</v>
      </c>
      <c r="B241" s="5" t="s">
        <v>19</v>
      </c>
      <c r="C241" s="8">
        <v>196.9046671494869</v>
      </c>
      <c r="D241" s="8">
        <v>196.9585873054034</v>
      </c>
      <c r="E241" s="8">
        <v>196.67749143431519</v>
      </c>
      <c r="F241" s="8">
        <v>196.93700313286649</v>
      </c>
      <c r="G241" s="7">
        <v>62268</v>
      </c>
      <c r="H241" s="9">
        <v>12262873.31107733</v>
      </c>
      <c r="I241" s="5" t="s">
        <v>1370</v>
      </c>
    </row>
    <row r="242" spans="1:9" x14ac:dyDescent="0.25">
      <c r="A242" s="6">
        <v>45995.614583333343</v>
      </c>
      <c r="B242" s="5" t="s">
        <v>19</v>
      </c>
      <c r="C242" s="8">
        <v>196.73735433588419</v>
      </c>
      <c r="D242" s="8">
        <v>196.83508254759579</v>
      </c>
      <c r="E242" s="8">
        <v>196.7342276581671</v>
      </c>
      <c r="F242" s="8">
        <v>196.7442736452042</v>
      </c>
      <c r="G242" s="7">
        <v>63365</v>
      </c>
      <c r="H242" s="9">
        <v>12466700.89952836</v>
      </c>
      <c r="I242" s="5" t="s">
        <v>1371</v>
      </c>
    </row>
    <row r="243" spans="1:9" x14ac:dyDescent="0.25">
      <c r="A243" s="6">
        <v>45995.618055555547</v>
      </c>
      <c r="B243" s="5" t="s">
        <v>19</v>
      </c>
      <c r="C243" s="8">
        <v>196.76426845645139</v>
      </c>
      <c r="D243" s="8">
        <v>196.82854657353519</v>
      </c>
      <c r="E243" s="8">
        <v>196.70629040215059</v>
      </c>
      <c r="F243" s="8">
        <v>196.75932130288791</v>
      </c>
      <c r="G243" s="7">
        <v>86688</v>
      </c>
      <c r="H243" s="9">
        <v>17056672.04510475</v>
      </c>
      <c r="I243" s="5" t="s">
        <v>1372</v>
      </c>
    </row>
    <row r="244" spans="1:9" x14ac:dyDescent="0.25">
      <c r="A244" s="6">
        <v>45995.621527777781</v>
      </c>
      <c r="B244" s="5" t="s">
        <v>19</v>
      </c>
      <c r="C244" s="8">
        <v>196.64600380146641</v>
      </c>
      <c r="D244" s="8">
        <v>196.65661085827571</v>
      </c>
      <c r="E244" s="8">
        <v>196.4980769306267</v>
      </c>
      <c r="F244" s="8">
        <v>196.64944911721889</v>
      </c>
      <c r="G244" s="7">
        <v>87357</v>
      </c>
      <c r="H244" s="9">
        <v>17178705.926532891</v>
      </c>
      <c r="I244" s="5" t="s">
        <v>1373</v>
      </c>
    </row>
    <row r="245" spans="1:9" x14ac:dyDescent="0.25">
      <c r="A245" s="6">
        <v>45995.625</v>
      </c>
      <c r="B245" s="5" t="s">
        <v>19</v>
      </c>
      <c r="C245" s="8">
        <v>196.52450765843059</v>
      </c>
      <c r="D245" s="8">
        <v>196.70067013786189</v>
      </c>
      <c r="E245" s="8">
        <v>196.4063988599919</v>
      </c>
      <c r="F245" s="8">
        <v>196.52024192042251</v>
      </c>
      <c r="G245" s="7">
        <v>60189</v>
      </c>
      <c r="H245" s="9">
        <v>11828356.84094831</v>
      </c>
      <c r="I245" s="5" t="s">
        <v>1374</v>
      </c>
    </row>
    <row r="246" spans="1:9" x14ac:dyDescent="0.25">
      <c r="A246" s="6">
        <v>45995.628472222219</v>
      </c>
      <c r="B246" s="5" t="s">
        <v>19</v>
      </c>
      <c r="C246" s="8">
        <v>196.6879572121064</v>
      </c>
      <c r="D246" s="8">
        <v>196.72463545948969</v>
      </c>
      <c r="E246" s="8">
        <v>196.47203892261399</v>
      </c>
      <c r="F246" s="8">
        <v>196.6316579139264</v>
      </c>
      <c r="G246" s="7">
        <v>68796</v>
      </c>
      <c r="H246" s="9">
        <v>13527471.53784648</v>
      </c>
      <c r="I246" s="5" t="s">
        <v>1375</v>
      </c>
    </row>
    <row r="247" spans="1:9" x14ac:dyDescent="0.25">
      <c r="A247" s="6">
        <v>45995.631944444453</v>
      </c>
      <c r="B247" s="5" t="s">
        <v>19</v>
      </c>
      <c r="C247" s="8">
        <v>196.62604048240561</v>
      </c>
      <c r="D247" s="8">
        <v>196.64493123121301</v>
      </c>
      <c r="E247" s="8">
        <v>196.5166074281845</v>
      </c>
      <c r="F247" s="8">
        <v>196.60103518337789</v>
      </c>
      <c r="G247" s="7">
        <v>75291</v>
      </c>
      <c r="H247" s="9">
        <v>14802288.539991699</v>
      </c>
      <c r="I247" s="5" t="s">
        <v>1376</v>
      </c>
    </row>
    <row r="248" spans="1:9" x14ac:dyDescent="0.25">
      <c r="A248" s="6">
        <v>45995.635416666657</v>
      </c>
      <c r="B248" s="5" t="s">
        <v>19</v>
      </c>
      <c r="C248" s="8">
        <v>196.72320047269059</v>
      </c>
      <c r="D248" s="8">
        <v>196.86782110478421</v>
      </c>
      <c r="E248" s="8">
        <v>196.66382600986759</v>
      </c>
      <c r="F248" s="8">
        <v>196.75030237477799</v>
      </c>
      <c r="G248" s="7">
        <v>61680</v>
      </c>
      <c r="H248" s="9">
        <v>12135558.65047631</v>
      </c>
      <c r="I248" s="5" t="s">
        <v>1377</v>
      </c>
    </row>
    <row r="249" spans="1:9" x14ac:dyDescent="0.25">
      <c r="A249" s="6">
        <v>45995.638888888891</v>
      </c>
      <c r="B249" s="5" t="s">
        <v>19</v>
      </c>
      <c r="C249" s="8">
        <v>197.10086268036849</v>
      </c>
      <c r="D249" s="8">
        <v>197.23876997005081</v>
      </c>
      <c r="E249" s="8">
        <v>196.90352719471829</v>
      </c>
      <c r="F249" s="8">
        <v>197.0797671159643</v>
      </c>
      <c r="G249" s="7">
        <v>84968</v>
      </c>
      <c r="H249" s="9">
        <v>16745473.652309259</v>
      </c>
      <c r="I249" s="5" t="s">
        <v>1378</v>
      </c>
    </row>
    <row r="250" spans="1:9" x14ac:dyDescent="0.25">
      <c r="A250" s="6">
        <v>45995.642361111109</v>
      </c>
      <c r="B250" s="5" t="s">
        <v>19</v>
      </c>
      <c r="C250" s="8">
        <v>197.29372661256451</v>
      </c>
      <c r="D250" s="8">
        <v>197.33466400673129</v>
      </c>
      <c r="E250" s="8">
        <v>197.25447449177841</v>
      </c>
      <c r="F250" s="8">
        <v>197.28205495684591</v>
      </c>
      <c r="G250" s="7">
        <v>46864</v>
      </c>
      <c r="H250" s="9">
        <v>9245426.2234976254</v>
      </c>
      <c r="I250" s="5" t="s">
        <v>1379</v>
      </c>
    </row>
    <row r="251" spans="1:9" x14ac:dyDescent="0.25">
      <c r="A251" s="6">
        <v>45995.645833333343</v>
      </c>
      <c r="B251" s="5" t="s">
        <v>19</v>
      </c>
      <c r="C251" s="8">
        <v>197.53188016028199</v>
      </c>
      <c r="D251" s="8">
        <v>197.6106896938791</v>
      </c>
      <c r="E251" s="8">
        <v>197.47931750430089</v>
      </c>
      <c r="F251" s="8">
        <v>197.55371146747311</v>
      </c>
      <c r="G251" s="7">
        <v>114900</v>
      </c>
      <c r="H251" s="9">
        <v>22698921.447612658</v>
      </c>
      <c r="I251" s="5" t="s">
        <v>1380</v>
      </c>
    </row>
    <row r="252" spans="1:9" x14ac:dyDescent="0.25">
      <c r="A252" s="6">
        <v>45995.649305555547</v>
      </c>
      <c r="B252" s="5" t="s">
        <v>19</v>
      </c>
      <c r="C252" s="8">
        <v>197.68802062845069</v>
      </c>
      <c r="D252" s="8">
        <v>197.71525459503661</v>
      </c>
      <c r="E252" s="8">
        <v>197.62747464316561</v>
      </c>
      <c r="F252" s="8">
        <v>197.70984259118791</v>
      </c>
      <c r="G252" s="7">
        <v>81427</v>
      </c>
      <c r="H252" s="9">
        <v>16098919.35267265</v>
      </c>
      <c r="I252" s="5" t="s">
        <v>1381</v>
      </c>
    </row>
    <row r="253" spans="1:9" x14ac:dyDescent="0.25">
      <c r="A253" s="6">
        <v>45995.652777777781</v>
      </c>
      <c r="B253" s="5" t="s">
        <v>19</v>
      </c>
      <c r="C253" s="8">
        <v>197.47680218437901</v>
      </c>
      <c r="D253" s="8">
        <v>197.50263526407261</v>
      </c>
      <c r="E253" s="8">
        <v>197.34201025121951</v>
      </c>
      <c r="F253" s="8">
        <v>197.42327380109609</v>
      </c>
      <c r="G253" s="7">
        <v>52228</v>
      </c>
      <c r="H253" s="9">
        <v>10311022.74408365</v>
      </c>
      <c r="I253" s="5" t="s">
        <v>1382</v>
      </c>
    </row>
    <row r="254" spans="1:9" x14ac:dyDescent="0.25">
      <c r="A254" s="6">
        <v>45995.65625</v>
      </c>
      <c r="B254" s="5" t="s">
        <v>19</v>
      </c>
      <c r="C254" s="8">
        <v>197.66820507922</v>
      </c>
      <c r="D254" s="8">
        <v>197.68574849132821</v>
      </c>
      <c r="E254" s="8">
        <v>197.49796973600161</v>
      </c>
      <c r="F254" s="8">
        <v>197.5639842088396</v>
      </c>
      <c r="G254" s="7">
        <v>45030</v>
      </c>
      <c r="H254" s="9">
        <v>8896306.2089240476</v>
      </c>
      <c r="I254" s="5" t="s">
        <v>1383</v>
      </c>
    </row>
    <row r="255" spans="1:9" x14ac:dyDescent="0.25">
      <c r="A255" s="6">
        <v>45995.659722222219</v>
      </c>
      <c r="B255" s="5" t="s">
        <v>19</v>
      </c>
      <c r="C255" s="8">
        <v>197.70012820176751</v>
      </c>
      <c r="D255" s="8">
        <v>197.87663855798061</v>
      </c>
      <c r="E255" s="8">
        <v>197.5905225912779</v>
      </c>
      <c r="F255" s="8">
        <v>197.65134900480061</v>
      </c>
      <c r="G255" s="7">
        <v>78966</v>
      </c>
      <c r="H255" s="9">
        <v>15607736.425513091</v>
      </c>
      <c r="I255" s="5" t="s">
        <v>1384</v>
      </c>
    </row>
    <row r="256" spans="1:9" x14ac:dyDescent="0.25">
      <c r="A256" s="6">
        <v>45995.663194444453</v>
      </c>
      <c r="B256" s="5" t="s">
        <v>19</v>
      </c>
      <c r="C256" s="8">
        <v>197.31632939806829</v>
      </c>
      <c r="D256" s="8">
        <v>197.40958927949529</v>
      </c>
      <c r="E256" s="8">
        <v>197.11618424363499</v>
      </c>
      <c r="F256" s="8">
        <v>197.33846485045149</v>
      </c>
      <c r="G256" s="7">
        <v>52113</v>
      </c>
      <c r="H256" s="9">
        <v>10283899.418751581</v>
      </c>
      <c r="I256" s="5" t="s">
        <v>1385</v>
      </c>
    </row>
    <row r="257" spans="1:9" x14ac:dyDescent="0.25">
      <c r="A257" s="6">
        <v>45995.666666666657</v>
      </c>
      <c r="B257" s="5" t="s">
        <v>19</v>
      </c>
      <c r="C257" s="8">
        <v>197.4009196470042</v>
      </c>
      <c r="D257" s="8">
        <v>197.5523738984956</v>
      </c>
      <c r="E257" s="8">
        <v>197.2168284387931</v>
      </c>
      <c r="F257" s="8">
        <v>197.34820436690489</v>
      </c>
      <c r="G257" s="7">
        <v>66635</v>
      </c>
      <c r="H257" s="9">
        <v>13150297.59798871</v>
      </c>
      <c r="I257" s="5" t="s">
        <v>1386</v>
      </c>
    </row>
    <row r="258" spans="1:9" x14ac:dyDescent="0.25">
      <c r="A258" s="6">
        <v>45995.670138888891</v>
      </c>
      <c r="B258" s="5" t="s">
        <v>19</v>
      </c>
      <c r="C258" s="8">
        <v>197.62972224748691</v>
      </c>
      <c r="D258" s="8">
        <v>197.670132473123</v>
      </c>
      <c r="E258" s="8">
        <v>197.5032013473448</v>
      </c>
      <c r="F258" s="8">
        <v>197.56078023124141</v>
      </c>
      <c r="G258" s="7">
        <v>32571</v>
      </c>
      <c r="H258" s="9">
        <v>6434752.1729117623</v>
      </c>
      <c r="I258" s="5" t="s">
        <v>1387</v>
      </c>
    </row>
    <row r="259" spans="1:9" x14ac:dyDescent="0.25">
      <c r="A259" s="6">
        <v>45995.673611111109</v>
      </c>
      <c r="B259" s="5" t="s">
        <v>19</v>
      </c>
      <c r="C259" s="8">
        <v>197.26120835885891</v>
      </c>
      <c r="D259" s="8">
        <v>197.36192066065831</v>
      </c>
      <c r="E259" s="8">
        <v>197.1507532468988</v>
      </c>
      <c r="F259" s="8">
        <v>197.32071901434821</v>
      </c>
      <c r="G259" s="7">
        <v>32074</v>
      </c>
      <c r="H259" s="9">
        <v>6328864.7416662034</v>
      </c>
      <c r="I259" s="5" t="s">
        <v>1388</v>
      </c>
    </row>
    <row r="260" spans="1:9" x14ac:dyDescent="0.25">
      <c r="A260" s="6">
        <v>45995.677083333343</v>
      </c>
      <c r="B260" s="5" t="s">
        <v>19</v>
      </c>
      <c r="C260" s="8">
        <v>197.18570885390909</v>
      </c>
      <c r="D260" s="8">
        <v>197.44826531886821</v>
      </c>
      <c r="E260" s="8">
        <v>197.01097388565259</v>
      </c>
      <c r="F260" s="8">
        <v>197.26389822233949</v>
      </c>
      <c r="G260" s="7">
        <v>61975</v>
      </c>
      <c r="H260" s="9">
        <v>12225430.092329491</v>
      </c>
      <c r="I260" s="5" t="s">
        <v>1389</v>
      </c>
    </row>
    <row r="261" spans="1:9" x14ac:dyDescent="0.25">
      <c r="A261" s="6">
        <v>45995.680555555547</v>
      </c>
      <c r="B261" s="5" t="s">
        <v>19</v>
      </c>
      <c r="C261" s="8">
        <v>197.62437767268889</v>
      </c>
      <c r="D261" s="8">
        <v>197.7336318840685</v>
      </c>
      <c r="E261" s="8">
        <v>197.33435888770279</v>
      </c>
      <c r="F261" s="8">
        <v>197.55419912108189</v>
      </c>
      <c r="G261" s="7">
        <v>123565</v>
      </c>
      <c r="H261" s="9">
        <v>24410784.614396479</v>
      </c>
      <c r="I261" s="5" t="s">
        <v>1390</v>
      </c>
    </row>
    <row r="262" spans="1:9" x14ac:dyDescent="0.25">
      <c r="A262" s="6">
        <v>45995.684027777781</v>
      </c>
      <c r="B262" s="5" t="s">
        <v>19</v>
      </c>
      <c r="C262" s="8">
        <v>197.4143781310473</v>
      </c>
      <c r="D262" s="8">
        <v>197.56408275572809</v>
      </c>
      <c r="E262" s="8">
        <v>197.39821061460751</v>
      </c>
      <c r="F262" s="8">
        <v>197.48218648201731</v>
      </c>
      <c r="G262" s="7">
        <v>47335</v>
      </c>
      <c r="H262" s="9">
        <v>9347819.2971262876</v>
      </c>
      <c r="I262" s="5" t="s">
        <v>1391</v>
      </c>
    </row>
    <row r="263" spans="1:9" x14ac:dyDescent="0.25">
      <c r="A263" s="6">
        <v>45995.6875</v>
      </c>
      <c r="B263" s="5" t="s">
        <v>19</v>
      </c>
      <c r="C263" s="8">
        <v>197.43025937823171</v>
      </c>
      <c r="D263" s="8">
        <v>197.43901968179819</v>
      </c>
      <c r="E263" s="8">
        <v>197.33121254577699</v>
      </c>
      <c r="F263" s="8">
        <v>197.4207046823899</v>
      </c>
      <c r="G263" s="7">
        <v>52906</v>
      </c>
      <c r="H263" s="9">
        <v>10444739.80192652</v>
      </c>
      <c r="I263" s="5" t="s">
        <v>1392</v>
      </c>
    </row>
    <row r="264" spans="1:9" x14ac:dyDescent="0.25">
      <c r="A264" s="6">
        <v>45995.690972222219</v>
      </c>
      <c r="B264" s="5" t="s">
        <v>19</v>
      </c>
      <c r="C264" s="8">
        <v>197.39529600994979</v>
      </c>
      <c r="D264" s="8">
        <v>197.43236040178419</v>
      </c>
      <c r="E264" s="8">
        <v>197.23015643088161</v>
      </c>
      <c r="F264" s="8">
        <v>197.35973389715491</v>
      </c>
      <c r="G264" s="7">
        <v>54859</v>
      </c>
      <c r="H264" s="9">
        <v>10826957.64186402</v>
      </c>
      <c r="I264" s="5" t="s">
        <v>1393</v>
      </c>
    </row>
    <row r="265" spans="1:9" x14ac:dyDescent="0.25">
      <c r="A265" s="6">
        <v>45995.694444444453</v>
      </c>
      <c r="B265" s="5" t="s">
        <v>19</v>
      </c>
      <c r="C265" s="8">
        <v>197.27382936366041</v>
      </c>
      <c r="D265" s="8">
        <v>197.51978141493231</v>
      </c>
      <c r="E265" s="8">
        <v>197.1088559777526</v>
      </c>
      <c r="F265" s="8">
        <v>197.34226742796491</v>
      </c>
      <c r="G265" s="7">
        <v>64261</v>
      </c>
      <c r="H265" s="9">
        <v>12681411.44718845</v>
      </c>
      <c r="I265" s="5" t="s">
        <v>1394</v>
      </c>
    </row>
    <row r="266" spans="1:9" x14ac:dyDescent="0.25">
      <c r="A266" s="6">
        <v>45995.697916666657</v>
      </c>
      <c r="B266" s="5" t="s">
        <v>19</v>
      </c>
      <c r="C266" s="8">
        <v>197.2038058293748</v>
      </c>
      <c r="D266" s="8">
        <v>197.2918810731087</v>
      </c>
      <c r="E266" s="8">
        <v>196.98990320707921</v>
      </c>
      <c r="F266" s="8">
        <v>197.1838481408079</v>
      </c>
      <c r="G266" s="7">
        <v>55612</v>
      </c>
      <c r="H266" s="9">
        <v>10965788.16280661</v>
      </c>
      <c r="I266" s="5" t="s">
        <v>1395</v>
      </c>
    </row>
    <row r="267" spans="1:9" x14ac:dyDescent="0.25">
      <c r="A267" s="6">
        <v>45995.701388888891</v>
      </c>
      <c r="B267" s="5" t="s">
        <v>19</v>
      </c>
      <c r="C267" s="8">
        <v>196.95503204352741</v>
      </c>
      <c r="D267" s="8">
        <v>197.00739966095131</v>
      </c>
      <c r="E267" s="8">
        <v>196.68586802192681</v>
      </c>
      <c r="F267" s="8">
        <v>196.87209294302269</v>
      </c>
      <c r="G267" s="7">
        <v>46832</v>
      </c>
      <c r="H267" s="9">
        <v>9219913.8567076381</v>
      </c>
      <c r="I267" s="5" t="s">
        <v>1396</v>
      </c>
    </row>
    <row r="268" spans="1:9" x14ac:dyDescent="0.25">
      <c r="A268" s="6">
        <v>45995.704861111109</v>
      </c>
      <c r="B268" s="5" t="s">
        <v>19</v>
      </c>
      <c r="C268" s="8">
        <v>197.19240043666079</v>
      </c>
      <c r="D268" s="8">
        <v>197.34273365063041</v>
      </c>
      <c r="E268" s="8">
        <v>197.0116796930798</v>
      </c>
      <c r="F268" s="8">
        <v>197.10443935857981</v>
      </c>
      <c r="G268" s="7">
        <v>56766</v>
      </c>
      <c r="H268" s="9">
        <v>11188830.60462914</v>
      </c>
      <c r="I268" s="5" t="s">
        <v>1397</v>
      </c>
    </row>
    <row r="269" spans="1:9" x14ac:dyDescent="0.25">
      <c r="A269" s="6">
        <v>45995.708333333343</v>
      </c>
      <c r="B269" s="5" t="s">
        <v>19</v>
      </c>
      <c r="C269" s="8">
        <v>197.35111096094619</v>
      </c>
      <c r="D269" s="8">
        <v>197.4340748885127</v>
      </c>
      <c r="E269" s="8">
        <v>197.23816474551589</v>
      </c>
      <c r="F269" s="8">
        <v>197.39443423343721</v>
      </c>
      <c r="G269" s="7">
        <v>39837</v>
      </c>
      <c r="H269" s="9">
        <v>7863602.076557437</v>
      </c>
      <c r="I269" s="5" t="s">
        <v>1398</v>
      </c>
    </row>
    <row r="270" spans="1:9" x14ac:dyDescent="0.25">
      <c r="A270" s="6">
        <v>45995.711805555547</v>
      </c>
      <c r="B270" s="5" t="s">
        <v>19</v>
      </c>
      <c r="C270" s="8">
        <v>197.64611378287029</v>
      </c>
      <c r="D270" s="8">
        <v>197.69943409666979</v>
      </c>
      <c r="E270" s="8">
        <v>197.53999818163581</v>
      </c>
      <c r="F270" s="8">
        <v>197.6087253882859</v>
      </c>
      <c r="G270" s="7">
        <v>85601</v>
      </c>
      <c r="H270" s="9">
        <v>16915504.501962662</v>
      </c>
      <c r="I270" s="5" t="s">
        <v>1399</v>
      </c>
    </row>
    <row r="271" spans="1:9" x14ac:dyDescent="0.25">
      <c r="A271" s="6">
        <v>45995.715277777781</v>
      </c>
      <c r="B271" s="5" t="s">
        <v>19</v>
      </c>
      <c r="C271" s="8">
        <v>197.8769129499112</v>
      </c>
      <c r="D271" s="8">
        <v>197.91780727252549</v>
      </c>
      <c r="E271" s="8">
        <v>197.75535900466889</v>
      </c>
      <c r="F271" s="8">
        <v>197.8773401992475</v>
      </c>
      <c r="G271" s="7">
        <v>87448</v>
      </c>
      <c r="H271" s="9">
        <v>17303977.645743798</v>
      </c>
      <c r="I271" s="5" t="s">
        <v>1400</v>
      </c>
    </row>
    <row r="272" spans="1:9" x14ac:dyDescent="0.25">
      <c r="A272" s="6">
        <v>45995.71875</v>
      </c>
      <c r="B272" s="5" t="s">
        <v>19</v>
      </c>
      <c r="C272" s="8">
        <v>197.69694744114179</v>
      </c>
      <c r="D272" s="8">
        <v>197.81752899277171</v>
      </c>
      <c r="E272" s="8">
        <v>197.69405994986349</v>
      </c>
      <c r="F272" s="8">
        <v>197.78563079312471</v>
      </c>
      <c r="G272" s="7">
        <v>80127</v>
      </c>
      <c r="H272" s="9">
        <v>15847969.23856071</v>
      </c>
      <c r="I272" s="5" t="s">
        <v>1401</v>
      </c>
    </row>
    <row r="273" spans="1:9" x14ac:dyDescent="0.25">
      <c r="A273" s="6">
        <v>45995.722222222219</v>
      </c>
      <c r="B273" s="5" t="s">
        <v>19</v>
      </c>
      <c r="C273" s="8">
        <v>197.92089119485769</v>
      </c>
      <c r="D273" s="8">
        <v>198.0593532158629</v>
      </c>
      <c r="E273" s="8">
        <v>197.88192438078681</v>
      </c>
      <c r="F273" s="8">
        <v>197.96430475915469</v>
      </c>
      <c r="G273" s="7">
        <v>39183</v>
      </c>
      <c r="H273" s="9">
        <v>7756835.3533779578</v>
      </c>
      <c r="I273" s="5" t="s">
        <v>1402</v>
      </c>
    </row>
    <row r="274" spans="1:9" x14ac:dyDescent="0.25">
      <c r="A274" s="6">
        <v>45995.725694444453</v>
      </c>
      <c r="B274" s="5" t="s">
        <v>19</v>
      </c>
      <c r="C274" s="8">
        <v>197.97214838500511</v>
      </c>
      <c r="D274" s="8">
        <v>197.97724722396211</v>
      </c>
      <c r="E274" s="8">
        <v>197.75315008729231</v>
      </c>
      <c r="F274" s="8">
        <v>197.94476091668761</v>
      </c>
      <c r="G274" s="7">
        <v>39449</v>
      </c>
      <c r="H274" s="9">
        <v>7808722.8734024111</v>
      </c>
      <c r="I274" s="5" t="s">
        <v>1403</v>
      </c>
    </row>
    <row r="275" spans="1:9" x14ac:dyDescent="0.25">
      <c r="A275" s="6">
        <v>45995.729166666657</v>
      </c>
      <c r="B275" s="5" t="s">
        <v>19</v>
      </c>
      <c r="C275" s="8">
        <v>198.11359326539639</v>
      </c>
      <c r="D275" s="8">
        <v>198.26164701997041</v>
      </c>
      <c r="E275" s="8">
        <v>198.03847228007459</v>
      </c>
      <c r="F275" s="8">
        <v>198.1738389258621</v>
      </c>
      <c r="G275" s="7">
        <v>53491</v>
      </c>
      <c r="H275" s="9">
        <v>10600516.81798329</v>
      </c>
      <c r="I275" s="5" t="s">
        <v>1404</v>
      </c>
    </row>
    <row r="276" spans="1:9" x14ac:dyDescent="0.25">
      <c r="A276" s="6">
        <v>45995.732638888891</v>
      </c>
      <c r="B276" s="5" t="s">
        <v>19</v>
      </c>
      <c r="C276" s="8">
        <v>198.00852280573409</v>
      </c>
      <c r="D276" s="8">
        <v>198.11379861302319</v>
      </c>
      <c r="E276" s="8">
        <v>197.9751401821155</v>
      </c>
      <c r="F276" s="8">
        <v>197.99602383599779</v>
      </c>
      <c r="G276" s="7">
        <v>62138</v>
      </c>
      <c r="H276" s="9">
        <v>12303076.92912123</v>
      </c>
      <c r="I276" s="5" t="s">
        <v>1405</v>
      </c>
    </row>
    <row r="277" spans="1:9" x14ac:dyDescent="0.25">
      <c r="A277" s="6">
        <v>45995.736111111109</v>
      </c>
      <c r="B277" s="5" t="s">
        <v>19</v>
      </c>
      <c r="C277" s="8">
        <v>197.85481088047359</v>
      </c>
      <c r="D277" s="8">
        <v>197.90489472685991</v>
      </c>
      <c r="E277" s="8">
        <v>197.70814205079671</v>
      </c>
      <c r="F277" s="8">
        <v>197.8682793699073</v>
      </c>
      <c r="G277" s="7">
        <v>56010</v>
      </c>
      <c r="H277" s="9">
        <v>11082602.327508509</v>
      </c>
      <c r="I277" s="5" t="s">
        <v>1406</v>
      </c>
    </row>
    <row r="278" spans="1:9" x14ac:dyDescent="0.25">
      <c r="A278" s="6">
        <v>45995.739583333343</v>
      </c>
      <c r="B278" s="5" t="s">
        <v>19</v>
      </c>
      <c r="C278" s="8">
        <v>197.64657552932451</v>
      </c>
      <c r="D278" s="8">
        <v>197.79487091487661</v>
      </c>
      <c r="E278" s="8">
        <v>197.6130212665652</v>
      </c>
      <c r="F278" s="8">
        <v>197.75479752194391</v>
      </c>
      <c r="G278" s="7">
        <v>48449</v>
      </c>
      <c r="H278" s="9">
        <v>9581022.1851406582</v>
      </c>
      <c r="I278" s="5" t="s">
        <v>1407</v>
      </c>
    </row>
    <row r="279" spans="1:9" x14ac:dyDescent="0.25">
      <c r="A279" s="6">
        <v>45995.743055555547</v>
      </c>
      <c r="B279" s="5" t="s">
        <v>19</v>
      </c>
      <c r="C279" s="8">
        <v>197.43381674672921</v>
      </c>
      <c r="D279" s="8">
        <v>197.51479246950629</v>
      </c>
      <c r="E279" s="8">
        <v>197.31082005133101</v>
      </c>
      <c r="F279" s="8">
        <v>197.38786045715219</v>
      </c>
      <c r="G279" s="7">
        <v>67083</v>
      </c>
      <c r="H279" s="9">
        <v>13241369.84304714</v>
      </c>
      <c r="I279" s="5" t="s">
        <v>1408</v>
      </c>
    </row>
    <row r="280" spans="1:9" x14ac:dyDescent="0.25">
      <c r="A280" s="6">
        <v>45995.746527777781</v>
      </c>
      <c r="B280" s="5" t="s">
        <v>19</v>
      </c>
      <c r="C280" s="8">
        <v>197.1718509641438</v>
      </c>
      <c r="D280" s="8">
        <v>197.28159082396189</v>
      </c>
      <c r="E280" s="8">
        <v>196.90580153487559</v>
      </c>
      <c r="F280" s="8">
        <v>197.1645821103624</v>
      </c>
      <c r="G280" s="7">
        <v>49900</v>
      </c>
      <c r="H280" s="9">
        <v>9838512.647307083</v>
      </c>
      <c r="I280" s="5" t="s">
        <v>1409</v>
      </c>
    </row>
    <row r="281" spans="1:9" x14ac:dyDescent="0.25">
      <c r="A281" s="6">
        <v>45995.75</v>
      </c>
      <c r="B281" s="5" t="s">
        <v>19</v>
      </c>
      <c r="C281" s="8">
        <v>197.19115959310651</v>
      </c>
      <c r="D281" s="8">
        <v>197.42267575816479</v>
      </c>
      <c r="E281" s="8">
        <v>197.12768597044391</v>
      </c>
      <c r="F281" s="8">
        <v>197.28304365307889</v>
      </c>
      <c r="G281" s="7">
        <v>76564</v>
      </c>
      <c r="H281" s="9">
        <v>15104778.954254329</v>
      </c>
      <c r="I281" s="5" t="s">
        <v>1410</v>
      </c>
    </row>
    <row r="282" spans="1:9" x14ac:dyDescent="0.25">
      <c r="A282" s="6">
        <v>45995.753472222219</v>
      </c>
      <c r="B282" s="5" t="s">
        <v>19</v>
      </c>
      <c r="C282" s="8">
        <v>197.3973435265367</v>
      </c>
      <c r="D282" s="8">
        <v>197.6169277233314</v>
      </c>
      <c r="E282" s="8">
        <v>197.24629170068599</v>
      </c>
      <c r="F282" s="8">
        <v>197.38028037046561</v>
      </c>
      <c r="G282" s="7">
        <v>43296</v>
      </c>
      <c r="H282" s="9">
        <v>8545776.6189196762</v>
      </c>
      <c r="I282" s="5" t="s">
        <v>1411</v>
      </c>
    </row>
    <row r="283" spans="1:9" x14ac:dyDescent="0.25">
      <c r="A283" s="6">
        <v>45995.756944444453</v>
      </c>
      <c r="B283" s="5" t="s">
        <v>19</v>
      </c>
      <c r="C283" s="8">
        <v>197.77790875671329</v>
      </c>
      <c r="D283" s="8">
        <v>197.87594879666159</v>
      </c>
      <c r="E283" s="8">
        <v>197.55001728668029</v>
      </c>
      <c r="F283" s="8">
        <v>197.66724431020361</v>
      </c>
      <c r="G283" s="7">
        <v>38505</v>
      </c>
      <c r="H283" s="9">
        <v>7611177.2421643892</v>
      </c>
      <c r="I283" s="5" t="s">
        <v>1412</v>
      </c>
    </row>
    <row r="284" spans="1:9" x14ac:dyDescent="0.25">
      <c r="A284" s="6">
        <v>45995.760416666657</v>
      </c>
      <c r="B284" s="5" t="s">
        <v>19</v>
      </c>
      <c r="C284" s="8">
        <v>198.13935860377271</v>
      </c>
      <c r="D284" s="8">
        <v>198.25821651622849</v>
      </c>
      <c r="E284" s="8">
        <v>198.0243938314897</v>
      </c>
      <c r="F284" s="8">
        <v>198.12640986961881</v>
      </c>
      <c r="G284" s="7">
        <v>58527</v>
      </c>
      <c r="H284" s="9">
        <v>11595744.390439181</v>
      </c>
      <c r="I284" s="5" t="s">
        <v>1413</v>
      </c>
    </row>
    <row r="285" spans="1:9" x14ac:dyDescent="0.25">
      <c r="A285" s="6">
        <v>45995.763888888891</v>
      </c>
      <c r="B285" s="5" t="s">
        <v>19</v>
      </c>
      <c r="C285" s="8">
        <v>197.90053560237661</v>
      </c>
      <c r="D285" s="8">
        <v>197.91661392683201</v>
      </c>
      <c r="E285" s="8">
        <v>197.87015997900721</v>
      </c>
      <c r="F285" s="8">
        <v>197.91477697088911</v>
      </c>
      <c r="G285" s="7">
        <v>97591</v>
      </c>
      <c r="H285" s="9">
        <v>19314700.99936603</v>
      </c>
      <c r="I285" s="5" t="s">
        <v>1414</v>
      </c>
    </row>
    <row r="286" spans="1:9" x14ac:dyDescent="0.25">
      <c r="A286" s="6">
        <v>45995.767361111109</v>
      </c>
      <c r="B286" s="5" t="s">
        <v>19</v>
      </c>
      <c r="C286" s="8">
        <v>198.01490335193779</v>
      </c>
      <c r="D286" s="8">
        <v>198.01948253311829</v>
      </c>
      <c r="E286" s="8">
        <v>197.76158946224271</v>
      </c>
      <c r="F286" s="8">
        <v>198.0004257417603</v>
      </c>
      <c r="G286" s="7">
        <v>48889</v>
      </c>
      <c r="H286" s="9">
        <v>9680042.8140889183</v>
      </c>
      <c r="I286" s="5" t="s">
        <v>1415</v>
      </c>
    </row>
    <row r="287" spans="1:9" x14ac:dyDescent="0.25">
      <c r="A287" s="6">
        <v>45995.770833333343</v>
      </c>
      <c r="B287" s="5" t="s">
        <v>19</v>
      </c>
      <c r="C287" s="8">
        <v>198.09554034937869</v>
      </c>
      <c r="D287" s="8">
        <v>198.31655829503961</v>
      </c>
      <c r="E287" s="8">
        <v>198.0467493454282</v>
      </c>
      <c r="F287" s="8">
        <v>198.21216449430261</v>
      </c>
      <c r="G287" s="7">
        <v>56592</v>
      </c>
      <c r="H287" s="9">
        <v>11217222.813061571</v>
      </c>
      <c r="I287" s="5" t="s">
        <v>1416</v>
      </c>
    </row>
    <row r="288" spans="1:9" x14ac:dyDescent="0.25">
      <c r="A288" s="6">
        <v>45995.774305555547</v>
      </c>
      <c r="B288" s="5" t="s">
        <v>19</v>
      </c>
      <c r="C288" s="8">
        <v>198.902444846409</v>
      </c>
      <c r="D288" s="8">
        <v>199.08374100492799</v>
      </c>
      <c r="E288" s="8">
        <v>198.62095062206939</v>
      </c>
      <c r="F288" s="8">
        <v>198.74864583428419</v>
      </c>
      <c r="G288" s="7">
        <v>56970</v>
      </c>
      <c r="H288" s="9">
        <v>11322710.35317917</v>
      </c>
      <c r="I288" s="5" t="s">
        <v>1417</v>
      </c>
    </row>
    <row r="289" spans="1:9" x14ac:dyDescent="0.25">
      <c r="A289" s="6">
        <v>45995.777777777781</v>
      </c>
      <c r="B289" s="5" t="s">
        <v>19</v>
      </c>
      <c r="C289" s="8">
        <v>199.12781702349579</v>
      </c>
      <c r="D289" s="8">
        <v>199.16693113719131</v>
      </c>
      <c r="E289" s="8">
        <v>198.8910061240548</v>
      </c>
      <c r="F289" s="8">
        <v>199.05993138040131</v>
      </c>
      <c r="G289" s="7">
        <v>44557</v>
      </c>
      <c r="H289" s="9">
        <v>8869513.3625165392</v>
      </c>
      <c r="I289" s="5" t="s">
        <v>1418</v>
      </c>
    </row>
    <row r="290" spans="1:9" x14ac:dyDescent="0.25">
      <c r="A290" s="6">
        <v>45995.78125</v>
      </c>
      <c r="B290" s="5" t="s">
        <v>19</v>
      </c>
      <c r="C290" s="8">
        <v>198.4877165377664</v>
      </c>
      <c r="D290" s="8">
        <v>198.6302313664028</v>
      </c>
      <c r="E290" s="8">
        <v>198.39338084555001</v>
      </c>
      <c r="F290" s="8">
        <v>198.57914997213959</v>
      </c>
      <c r="G290" s="7">
        <v>37977</v>
      </c>
      <c r="H290" s="9">
        <v>7541440.3784919456</v>
      </c>
      <c r="I290" s="5" t="s">
        <v>1419</v>
      </c>
    </row>
    <row r="291" spans="1:9" x14ac:dyDescent="0.25">
      <c r="A291" s="6">
        <v>45995.784722222219</v>
      </c>
      <c r="B291" s="5" t="s">
        <v>19</v>
      </c>
      <c r="C291" s="8">
        <v>198.69622600884989</v>
      </c>
      <c r="D291" s="8">
        <v>198.7161949045514</v>
      </c>
      <c r="E291" s="8">
        <v>198.5631201520479</v>
      </c>
      <c r="F291" s="8">
        <v>198.59910009905499</v>
      </c>
      <c r="G291" s="7">
        <v>74293</v>
      </c>
      <c r="H291" s="9">
        <v>14754522.94365909</v>
      </c>
      <c r="I291" s="5" t="s">
        <v>1420</v>
      </c>
    </row>
    <row r="292" spans="1:9" x14ac:dyDescent="0.25">
      <c r="A292" s="6">
        <v>45995.788194444453</v>
      </c>
      <c r="B292" s="5" t="s">
        <v>19</v>
      </c>
      <c r="C292" s="8">
        <v>198.6993684214128</v>
      </c>
      <c r="D292" s="8">
        <v>198.76260265908951</v>
      </c>
      <c r="E292" s="8">
        <v>198.6442791175208</v>
      </c>
      <c r="F292" s="8">
        <v>198.6942673784001</v>
      </c>
      <c r="G292" s="7">
        <v>61907</v>
      </c>
      <c r="H292" s="9">
        <v>12300566.01059461</v>
      </c>
      <c r="I292" s="5" t="s">
        <v>1421</v>
      </c>
    </row>
    <row r="293" spans="1:9" x14ac:dyDescent="0.25">
      <c r="A293" s="6">
        <v>45995.791666666657</v>
      </c>
      <c r="B293" s="5" t="s">
        <v>19</v>
      </c>
      <c r="C293" s="8">
        <v>198.67669348162011</v>
      </c>
      <c r="D293" s="8">
        <v>198.7837595921543</v>
      </c>
      <c r="E293" s="8">
        <v>198.46673379808041</v>
      </c>
      <c r="F293" s="8">
        <v>198.59695951257871</v>
      </c>
      <c r="G293" s="7">
        <v>121969</v>
      </c>
      <c r="H293" s="9">
        <v>24222672.554789711</v>
      </c>
      <c r="I293" s="5" t="s">
        <v>1422</v>
      </c>
    </row>
    <row r="294" spans="1:9" x14ac:dyDescent="0.25">
      <c r="A294" s="6">
        <v>45995.795138888891</v>
      </c>
      <c r="B294" s="5" t="s">
        <v>19</v>
      </c>
      <c r="C294" s="8">
        <v>198.96507365250261</v>
      </c>
      <c r="D294" s="8">
        <v>199.00997377129011</v>
      </c>
      <c r="E294" s="8">
        <v>198.8577170407072</v>
      </c>
      <c r="F294" s="8">
        <v>198.8801481399916</v>
      </c>
      <c r="G294" s="7">
        <v>134188</v>
      </c>
      <c r="H294" s="9">
        <v>26687329.318609189</v>
      </c>
      <c r="I294" s="5" t="s">
        <v>1423</v>
      </c>
    </row>
    <row r="295" spans="1:9" x14ac:dyDescent="0.25">
      <c r="A295" s="6">
        <v>45995.798611111109</v>
      </c>
      <c r="B295" s="5" t="s">
        <v>19</v>
      </c>
      <c r="C295" s="8">
        <v>198.723716466535</v>
      </c>
      <c r="D295" s="8">
        <v>198.8635390310566</v>
      </c>
      <c r="E295" s="8">
        <v>198.69749974632569</v>
      </c>
      <c r="F295" s="8">
        <v>198.76038538465579</v>
      </c>
      <c r="G295" s="7">
        <v>69420</v>
      </c>
      <c r="H295" s="9">
        <v>13797945.95340281</v>
      </c>
      <c r="I295" s="5" t="s">
        <v>1424</v>
      </c>
    </row>
    <row r="296" spans="1:9" x14ac:dyDescent="0.25">
      <c r="A296" s="6">
        <v>45995.802083333343</v>
      </c>
      <c r="B296" s="5" t="s">
        <v>19</v>
      </c>
      <c r="C296" s="8">
        <v>198.93219507491631</v>
      </c>
      <c r="D296" s="8">
        <v>199.1518745495799</v>
      </c>
      <c r="E296" s="8">
        <v>198.89368342800881</v>
      </c>
      <c r="F296" s="8">
        <v>198.94537098785949</v>
      </c>
      <c r="G296" s="7">
        <v>84315</v>
      </c>
      <c r="H296" s="9">
        <v>16774078.95484137</v>
      </c>
      <c r="I296" s="5" t="s">
        <v>1425</v>
      </c>
    </row>
    <row r="297" spans="1:9" x14ac:dyDescent="0.25">
      <c r="A297" s="6">
        <v>45995.805555555547</v>
      </c>
      <c r="B297" s="5" t="s">
        <v>19</v>
      </c>
      <c r="C297" s="8">
        <v>198.944071061946</v>
      </c>
      <c r="D297" s="8">
        <v>199.01943059512911</v>
      </c>
      <c r="E297" s="8">
        <v>198.77257495156169</v>
      </c>
      <c r="F297" s="8">
        <v>198.95179367226581</v>
      </c>
      <c r="G297" s="7">
        <v>58587</v>
      </c>
      <c r="H297" s="9">
        <v>11655988.735877041</v>
      </c>
      <c r="I297" s="5" t="s">
        <v>1426</v>
      </c>
    </row>
    <row r="298" spans="1:9" x14ac:dyDescent="0.25">
      <c r="A298" s="6">
        <v>45995.809027777781</v>
      </c>
      <c r="B298" s="5" t="s">
        <v>19</v>
      </c>
      <c r="C298" s="8">
        <v>198.66481269847759</v>
      </c>
      <c r="D298" s="8">
        <v>198.71752960181689</v>
      </c>
      <c r="E298" s="8">
        <v>198.45058281106381</v>
      </c>
      <c r="F298" s="8">
        <v>198.69822176984039</v>
      </c>
      <c r="G298" s="7">
        <v>78473</v>
      </c>
      <c r="H298" s="9">
        <v>15592445.556944691</v>
      </c>
      <c r="I298" s="5" t="s">
        <v>1427</v>
      </c>
    </row>
    <row r="299" spans="1:9" x14ac:dyDescent="0.25">
      <c r="A299" s="6">
        <v>45995.8125</v>
      </c>
      <c r="B299" s="5" t="s">
        <v>19</v>
      </c>
      <c r="C299" s="8">
        <v>198.59200370417369</v>
      </c>
      <c r="D299" s="8">
        <v>198.61553799150471</v>
      </c>
      <c r="E299" s="8">
        <v>198.52481245100719</v>
      </c>
      <c r="F299" s="8">
        <v>198.56156070218361</v>
      </c>
      <c r="G299" s="7">
        <v>105945</v>
      </c>
      <c r="H299" s="9">
        <v>21036604.548592839</v>
      </c>
      <c r="I299" s="5" t="s">
        <v>1428</v>
      </c>
    </row>
    <row r="300" spans="1:9" x14ac:dyDescent="0.25">
      <c r="A300" s="6">
        <v>45995.815972222219</v>
      </c>
      <c r="B300" s="5" t="s">
        <v>19</v>
      </c>
      <c r="C300" s="8">
        <v>198.42171146142451</v>
      </c>
      <c r="D300" s="8">
        <v>198.496734144882</v>
      </c>
      <c r="E300" s="8">
        <v>198.32157270717781</v>
      </c>
      <c r="F300" s="8">
        <v>198.4616291596069</v>
      </c>
      <c r="G300" s="7">
        <v>59865</v>
      </c>
      <c r="H300" s="9">
        <v>11880905.42963987</v>
      </c>
      <c r="I300" s="5" t="s">
        <v>1429</v>
      </c>
    </row>
    <row r="301" spans="1:9" x14ac:dyDescent="0.25">
      <c r="A301" s="6">
        <v>45995.819444444453</v>
      </c>
      <c r="B301" s="5" t="s">
        <v>19</v>
      </c>
      <c r="C301" s="8">
        <v>198.3276457859657</v>
      </c>
      <c r="D301" s="8">
        <v>198.3996488605685</v>
      </c>
      <c r="E301" s="8">
        <v>198.03945029435269</v>
      </c>
      <c r="F301" s="8">
        <v>198.28643970486289</v>
      </c>
      <c r="G301" s="7">
        <v>55444</v>
      </c>
      <c r="H301" s="9">
        <v>10993793.36299642</v>
      </c>
      <c r="I301" s="5" t="s">
        <v>1430</v>
      </c>
    </row>
    <row r="302" spans="1:9" x14ac:dyDescent="0.25">
      <c r="A302" s="6">
        <v>45995.822916666657</v>
      </c>
      <c r="B302" s="5" t="s">
        <v>19</v>
      </c>
      <c r="C302" s="8">
        <v>198.29102174274911</v>
      </c>
      <c r="D302" s="8">
        <v>198.50165990792809</v>
      </c>
      <c r="E302" s="8">
        <v>198.2819997402344</v>
      </c>
      <c r="F302" s="8">
        <v>198.32470386638701</v>
      </c>
      <c r="G302" s="7">
        <v>80656</v>
      </c>
      <c r="H302" s="9">
        <v>15996077.315047311</v>
      </c>
      <c r="I302" s="5" t="s">
        <v>1431</v>
      </c>
    </row>
    <row r="303" spans="1:9" x14ac:dyDescent="0.25">
      <c r="A303" s="6">
        <v>45995.826388888891</v>
      </c>
      <c r="B303" s="5" t="s">
        <v>19</v>
      </c>
      <c r="C303" s="8">
        <v>198.1038863053131</v>
      </c>
      <c r="D303" s="8">
        <v>198.2836451245488</v>
      </c>
      <c r="E303" s="8">
        <v>197.9444358885597</v>
      </c>
      <c r="F303" s="8">
        <v>198.1439683977778</v>
      </c>
      <c r="G303" s="7">
        <v>47983</v>
      </c>
      <c r="H303" s="9">
        <v>9507542.0356305726</v>
      </c>
      <c r="I303" s="5" t="s">
        <v>1432</v>
      </c>
    </row>
    <row r="304" spans="1:9" x14ac:dyDescent="0.25">
      <c r="A304" s="6">
        <v>45995.829861111109</v>
      </c>
      <c r="B304" s="5" t="s">
        <v>19</v>
      </c>
      <c r="C304" s="8">
        <v>198.1960343227008</v>
      </c>
      <c r="D304" s="8">
        <v>198.25643489064541</v>
      </c>
      <c r="E304" s="8">
        <v>198.12168123087909</v>
      </c>
      <c r="F304" s="8">
        <v>198.24744407282191</v>
      </c>
      <c r="G304" s="7">
        <v>26327</v>
      </c>
      <c r="H304" s="9">
        <v>5219260.4601051845</v>
      </c>
      <c r="I304" s="5" t="s">
        <v>1433</v>
      </c>
    </row>
    <row r="305" spans="1:9" x14ac:dyDescent="0.25">
      <c r="A305" s="6">
        <v>45995.833333333343</v>
      </c>
      <c r="B305" s="5" t="s">
        <v>19</v>
      </c>
      <c r="C305" s="8">
        <v>198.29273304734321</v>
      </c>
      <c r="D305" s="8">
        <v>198.54065282717639</v>
      </c>
      <c r="E305" s="8">
        <v>198.24058861038199</v>
      </c>
      <c r="F305" s="8">
        <v>198.26134084399391</v>
      </c>
      <c r="G305" s="7">
        <v>51463</v>
      </c>
      <c r="H305" s="9">
        <v>10203123.38385446</v>
      </c>
      <c r="I305" s="5" t="s">
        <v>1434</v>
      </c>
    </row>
    <row r="306" spans="1:9" x14ac:dyDescent="0.25">
      <c r="A306" s="6">
        <v>45995.836805555547</v>
      </c>
      <c r="B306" s="5" t="s">
        <v>19</v>
      </c>
      <c r="C306" s="8">
        <v>198.05401402640561</v>
      </c>
      <c r="D306" s="8">
        <v>198.29945858427109</v>
      </c>
      <c r="E306" s="8">
        <v>198.02423304349441</v>
      </c>
      <c r="F306" s="8">
        <v>198.06894670523721</v>
      </c>
      <c r="G306" s="7">
        <v>90681</v>
      </c>
      <c r="H306" s="9">
        <v>17961090.15617761</v>
      </c>
      <c r="I306" s="5" t="s">
        <v>1435</v>
      </c>
    </row>
    <row r="307" spans="1:9" x14ac:dyDescent="0.25">
      <c r="A307" s="6">
        <v>45995.840277777781</v>
      </c>
      <c r="B307" s="5" t="s">
        <v>19</v>
      </c>
      <c r="C307" s="8">
        <v>197.8401563029922</v>
      </c>
      <c r="D307" s="8">
        <v>198.01323539660319</v>
      </c>
      <c r="E307" s="8">
        <v>197.82562727123681</v>
      </c>
      <c r="F307" s="8">
        <v>197.84403910381491</v>
      </c>
      <c r="G307" s="7">
        <v>49936</v>
      </c>
      <c r="H307" s="9">
        <v>9879539.9366881009</v>
      </c>
      <c r="I307" s="5" t="s">
        <v>1436</v>
      </c>
    </row>
    <row r="308" spans="1:9" x14ac:dyDescent="0.25">
      <c r="A308" s="6">
        <v>45995.84375</v>
      </c>
      <c r="B308" s="5" t="s">
        <v>19</v>
      </c>
      <c r="C308" s="8">
        <v>197.6924510811358</v>
      </c>
      <c r="D308" s="8">
        <v>197.70818624627159</v>
      </c>
      <c r="E308" s="8">
        <v>197.60699233501421</v>
      </c>
      <c r="F308" s="8">
        <v>197.6819027367489</v>
      </c>
      <c r="G308" s="7">
        <v>35168</v>
      </c>
      <c r="H308" s="9">
        <v>6952077.1554459864</v>
      </c>
      <c r="I308" s="5" t="s">
        <v>1437</v>
      </c>
    </row>
    <row r="309" spans="1:9" x14ac:dyDescent="0.25">
      <c r="A309" s="6">
        <v>45995.847222222219</v>
      </c>
      <c r="B309" s="5" t="s">
        <v>19</v>
      </c>
      <c r="C309" s="8">
        <v>197.84956654595649</v>
      </c>
      <c r="D309" s="8">
        <v>197.9498150358383</v>
      </c>
      <c r="E309" s="8">
        <v>197.76380490306829</v>
      </c>
      <c r="F309" s="8">
        <v>197.8735240165027</v>
      </c>
      <c r="G309" s="7">
        <v>38013</v>
      </c>
      <c r="H309" s="9">
        <v>7521766.2684393171</v>
      </c>
      <c r="I309" s="5" t="s">
        <v>1438</v>
      </c>
    </row>
    <row r="310" spans="1:9" x14ac:dyDescent="0.25">
      <c r="A310" s="6">
        <v>45995.850694444453</v>
      </c>
      <c r="B310" s="5" t="s">
        <v>19</v>
      </c>
      <c r="C310" s="8">
        <v>197.71592166181171</v>
      </c>
      <c r="D310" s="8">
        <v>197.81700607196171</v>
      </c>
      <c r="E310" s="8">
        <v>197.63906301043511</v>
      </c>
      <c r="F310" s="8">
        <v>197.77254610248389</v>
      </c>
      <c r="G310" s="7">
        <v>87340</v>
      </c>
      <c r="H310" s="9">
        <v>17273454.176590942</v>
      </c>
      <c r="I310" s="5" t="s">
        <v>1439</v>
      </c>
    </row>
    <row r="311" spans="1:9" x14ac:dyDescent="0.25">
      <c r="A311" s="6">
        <v>45995.854166666657</v>
      </c>
      <c r="B311" s="5" t="s">
        <v>19</v>
      </c>
      <c r="C311" s="8">
        <v>197.7767091060735</v>
      </c>
      <c r="D311" s="8">
        <v>197.86235021336941</v>
      </c>
      <c r="E311" s="8">
        <v>197.7064315303781</v>
      </c>
      <c r="F311" s="8">
        <v>197.8087846528291</v>
      </c>
      <c r="G311" s="7">
        <v>89115</v>
      </c>
      <c r="H311" s="9">
        <v>17627729.844336871</v>
      </c>
      <c r="I311" s="5" t="s">
        <v>1440</v>
      </c>
    </row>
    <row r="312" spans="1:9" x14ac:dyDescent="0.25">
      <c r="A312" s="6">
        <v>45995.857638888891</v>
      </c>
      <c r="B312" s="5" t="s">
        <v>19</v>
      </c>
      <c r="C312" s="8">
        <v>197.7438225513713</v>
      </c>
      <c r="D312" s="8">
        <v>197.8404485474093</v>
      </c>
      <c r="E312" s="8">
        <v>197.71928352052231</v>
      </c>
      <c r="F312" s="8">
        <v>197.75126891121249</v>
      </c>
      <c r="G312" s="7">
        <v>83691</v>
      </c>
      <c r="H312" s="9">
        <v>16550001.446448291</v>
      </c>
      <c r="I312" s="5" t="s">
        <v>1441</v>
      </c>
    </row>
    <row r="313" spans="1:9" x14ac:dyDescent="0.25">
      <c r="A313" s="6">
        <v>45995.861111111109</v>
      </c>
      <c r="B313" s="5" t="s">
        <v>19</v>
      </c>
      <c r="C313" s="8">
        <v>197.2492344977727</v>
      </c>
      <c r="D313" s="8">
        <v>197.31440917269481</v>
      </c>
      <c r="E313" s="8">
        <v>196.95863525567361</v>
      </c>
      <c r="F313" s="8">
        <v>197.234118120255</v>
      </c>
      <c r="G313" s="7">
        <v>66821</v>
      </c>
      <c r="H313" s="9">
        <v>13179381.00691356</v>
      </c>
      <c r="I313" s="5" t="s">
        <v>1442</v>
      </c>
    </row>
    <row r="314" spans="1:9" x14ac:dyDescent="0.25">
      <c r="A314" s="6">
        <v>45995.864583333343</v>
      </c>
      <c r="B314" s="5" t="s">
        <v>19</v>
      </c>
      <c r="C314" s="8">
        <v>197.24008155341349</v>
      </c>
      <c r="D314" s="8">
        <v>197.4017425044695</v>
      </c>
      <c r="E314" s="8">
        <v>196.96533904559459</v>
      </c>
      <c r="F314" s="8">
        <v>197.2182290996297</v>
      </c>
      <c r="G314" s="7">
        <v>62238</v>
      </c>
      <c r="H314" s="9">
        <v>12274468.142702751</v>
      </c>
      <c r="I314" s="5" t="s">
        <v>1443</v>
      </c>
    </row>
    <row r="315" spans="1:9" x14ac:dyDescent="0.25">
      <c r="A315" s="6">
        <v>45995.868055555547</v>
      </c>
      <c r="B315" s="5" t="s">
        <v>19</v>
      </c>
      <c r="C315" s="8">
        <v>197.24748252245359</v>
      </c>
      <c r="D315" s="8">
        <v>197.324679099588</v>
      </c>
      <c r="E315" s="8">
        <v>197.05880706226091</v>
      </c>
      <c r="F315" s="8">
        <v>197.1573316497205</v>
      </c>
      <c r="G315" s="7">
        <v>89960</v>
      </c>
      <c r="H315" s="9">
        <v>17736273.555208862</v>
      </c>
      <c r="I315" s="5" t="s">
        <v>1444</v>
      </c>
    </row>
    <row r="316" spans="1:9" x14ac:dyDescent="0.25">
      <c r="A316" s="6">
        <v>45995.871527777781</v>
      </c>
      <c r="B316" s="5" t="s">
        <v>19</v>
      </c>
      <c r="C316" s="8">
        <v>196.88829579937681</v>
      </c>
      <c r="D316" s="8">
        <v>196.92932475537941</v>
      </c>
      <c r="E316" s="8">
        <v>196.75603508410191</v>
      </c>
      <c r="F316" s="8">
        <v>196.7897436465262</v>
      </c>
      <c r="G316" s="7">
        <v>82700</v>
      </c>
      <c r="H316" s="9">
        <v>16274511.79956772</v>
      </c>
      <c r="I316" s="5" t="s">
        <v>1445</v>
      </c>
    </row>
    <row r="317" spans="1:9" x14ac:dyDescent="0.25">
      <c r="A317" s="6">
        <v>45995.875</v>
      </c>
      <c r="B317" s="5" t="s">
        <v>19</v>
      </c>
      <c r="C317" s="8">
        <v>196.68234300785909</v>
      </c>
      <c r="D317" s="8">
        <v>196.77236867135599</v>
      </c>
      <c r="E317" s="8">
        <v>196.65864922543429</v>
      </c>
      <c r="F317" s="8">
        <v>196.6635868378379</v>
      </c>
      <c r="G317" s="7">
        <v>71191</v>
      </c>
      <c r="H317" s="9">
        <v>14000677.41057252</v>
      </c>
      <c r="I317" s="5" t="s">
        <v>1446</v>
      </c>
    </row>
    <row r="318" spans="1:9" x14ac:dyDescent="0.25">
      <c r="A318" s="6">
        <v>45996.604166666657</v>
      </c>
      <c r="B318" s="5" t="s">
        <v>19</v>
      </c>
      <c r="C318" s="8">
        <v>196.30911096188851</v>
      </c>
      <c r="D318" s="8">
        <v>196.5148658772377</v>
      </c>
      <c r="E318" s="8">
        <v>196.2654009650893</v>
      </c>
      <c r="F318" s="8">
        <v>196.37934219705181</v>
      </c>
      <c r="G318" s="7">
        <v>221906</v>
      </c>
      <c r="H318" s="9">
        <v>43577754.309578978</v>
      </c>
      <c r="I318" s="5" t="s">
        <v>1447</v>
      </c>
    </row>
    <row r="319" spans="1:9" x14ac:dyDescent="0.25">
      <c r="A319" s="6">
        <v>45996.607638888891</v>
      </c>
      <c r="B319" s="5" t="s">
        <v>19</v>
      </c>
      <c r="C319" s="8">
        <v>196.41708119654129</v>
      </c>
      <c r="D319" s="8">
        <v>196.43339631253349</v>
      </c>
      <c r="E319" s="8">
        <v>196.3012008391328</v>
      </c>
      <c r="F319" s="8">
        <v>196.4257948499295</v>
      </c>
      <c r="G319" s="7">
        <v>76869</v>
      </c>
      <c r="H319" s="9">
        <v>15099054.42431923</v>
      </c>
      <c r="I319" s="5" t="s">
        <v>1448</v>
      </c>
    </row>
    <row r="320" spans="1:9" x14ac:dyDescent="0.25">
      <c r="A320" s="6">
        <v>45996.611111111109</v>
      </c>
      <c r="B320" s="5" t="s">
        <v>19</v>
      </c>
      <c r="C320" s="8">
        <v>196.28293402547371</v>
      </c>
      <c r="D320" s="8">
        <v>196.28575241751921</v>
      </c>
      <c r="E320" s="8">
        <v>196.12663891476271</v>
      </c>
      <c r="F320" s="8">
        <v>196.22306502115131</v>
      </c>
      <c r="G320" s="7">
        <v>29743</v>
      </c>
      <c r="H320" s="9">
        <v>5836262.6229241015</v>
      </c>
      <c r="I320" s="5" t="s">
        <v>1449</v>
      </c>
    </row>
    <row r="321" spans="1:9" x14ac:dyDescent="0.25">
      <c r="A321" s="6">
        <v>45996.614583333343</v>
      </c>
      <c r="B321" s="5" t="s">
        <v>19</v>
      </c>
      <c r="C321" s="8">
        <v>195.98358555749391</v>
      </c>
      <c r="D321" s="8">
        <v>196.19532886437679</v>
      </c>
      <c r="E321" s="8">
        <v>195.90267586235001</v>
      </c>
      <c r="F321" s="8">
        <v>195.94850041577871</v>
      </c>
      <c r="G321" s="7">
        <v>67396</v>
      </c>
      <c r="H321" s="9">
        <v>13206145.134021821</v>
      </c>
      <c r="I321" s="5" t="s">
        <v>1450</v>
      </c>
    </row>
    <row r="322" spans="1:9" x14ac:dyDescent="0.25">
      <c r="A322" s="6">
        <v>45996.618055555547</v>
      </c>
      <c r="B322" s="5" t="s">
        <v>19</v>
      </c>
      <c r="C322" s="8">
        <v>195.99509431027889</v>
      </c>
      <c r="D322" s="8">
        <v>196.02631777449889</v>
      </c>
      <c r="E322" s="8">
        <v>195.921585782562</v>
      </c>
      <c r="F322" s="8">
        <v>195.9741930855111</v>
      </c>
      <c r="G322" s="7">
        <v>51937</v>
      </c>
      <c r="H322" s="9">
        <v>10178311.66628219</v>
      </c>
      <c r="I322" s="5" t="s">
        <v>1451</v>
      </c>
    </row>
    <row r="323" spans="1:9" x14ac:dyDescent="0.25">
      <c r="A323" s="6">
        <v>45996.621527777781</v>
      </c>
      <c r="B323" s="5" t="s">
        <v>19</v>
      </c>
      <c r="C323" s="8">
        <v>196.14255411892401</v>
      </c>
      <c r="D323" s="8">
        <v>196.27635003050631</v>
      </c>
      <c r="E323" s="8">
        <v>195.8983558361964</v>
      </c>
      <c r="F323" s="8">
        <v>195.9703329704453</v>
      </c>
      <c r="G323" s="7">
        <v>68685</v>
      </c>
      <c r="H323" s="9">
        <v>13460222.320075041</v>
      </c>
      <c r="I323" s="5" t="s">
        <v>1452</v>
      </c>
    </row>
    <row r="324" spans="1:9" x14ac:dyDescent="0.25">
      <c r="A324" s="6">
        <v>45996.625</v>
      </c>
      <c r="B324" s="5" t="s">
        <v>19</v>
      </c>
      <c r="C324" s="8">
        <v>195.85533374381501</v>
      </c>
      <c r="D324" s="8">
        <v>195.88434959283489</v>
      </c>
      <c r="E324" s="8">
        <v>195.73083833876859</v>
      </c>
      <c r="F324" s="8">
        <v>195.8420082159366</v>
      </c>
      <c r="G324" s="7">
        <v>43464</v>
      </c>
      <c r="H324" s="9">
        <v>8512077.0450974684</v>
      </c>
      <c r="I324" s="5" t="s">
        <v>1453</v>
      </c>
    </row>
    <row r="325" spans="1:9" x14ac:dyDescent="0.25">
      <c r="A325" s="6">
        <v>45996.628472222219</v>
      </c>
      <c r="B325" s="5" t="s">
        <v>19</v>
      </c>
      <c r="C325" s="8">
        <v>195.3926488627144</v>
      </c>
      <c r="D325" s="8">
        <v>195.50719984632241</v>
      </c>
      <c r="E325" s="8">
        <v>195.10438813252159</v>
      </c>
      <c r="F325" s="8">
        <v>195.4255034911144</v>
      </c>
      <c r="G325" s="7">
        <v>85723</v>
      </c>
      <c r="H325" s="9">
        <v>16752460.4357688</v>
      </c>
      <c r="I325" s="5" t="s">
        <v>1454</v>
      </c>
    </row>
    <row r="326" spans="1:9" x14ac:dyDescent="0.25">
      <c r="A326" s="6">
        <v>45996.631944444453</v>
      </c>
      <c r="B326" s="5" t="s">
        <v>19</v>
      </c>
      <c r="C326" s="8">
        <v>195.24055903667519</v>
      </c>
      <c r="D326" s="8">
        <v>195.3647946041726</v>
      </c>
      <c r="E326" s="8">
        <v>195.2186821486037</v>
      </c>
      <c r="F326" s="8">
        <v>195.2533898407163</v>
      </c>
      <c r="G326" s="7">
        <v>43736</v>
      </c>
      <c r="H326" s="9">
        <v>8539602.2580735683</v>
      </c>
      <c r="I326" s="5" t="s">
        <v>1455</v>
      </c>
    </row>
    <row r="327" spans="1:9" x14ac:dyDescent="0.25">
      <c r="A327" s="6">
        <v>45996.635416666657</v>
      </c>
      <c r="B327" s="5" t="s">
        <v>19</v>
      </c>
      <c r="C327" s="8">
        <v>194.99048903846199</v>
      </c>
      <c r="D327" s="8">
        <v>195.01338128433551</v>
      </c>
      <c r="E327" s="8">
        <v>194.94451039652429</v>
      </c>
      <c r="F327" s="8">
        <v>194.964485497265</v>
      </c>
      <c r="G327" s="7">
        <v>67587</v>
      </c>
      <c r="H327" s="9">
        <v>13177064.68130365</v>
      </c>
      <c r="I327" s="5" t="s">
        <v>1456</v>
      </c>
    </row>
    <row r="328" spans="1:9" x14ac:dyDescent="0.25">
      <c r="A328" s="6">
        <v>45996.638888888891</v>
      </c>
      <c r="B328" s="5" t="s">
        <v>19</v>
      </c>
      <c r="C328" s="8">
        <v>195.328126947047</v>
      </c>
      <c r="D328" s="8">
        <v>195.3724755809269</v>
      </c>
      <c r="E328" s="8">
        <v>195.21975821208059</v>
      </c>
      <c r="F328" s="8">
        <v>195.32126738045869</v>
      </c>
      <c r="G328" s="7">
        <v>33703</v>
      </c>
      <c r="H328" s="9">
        <v>6582912.6745236013</v>
      </c>
      <c r="I328" s="5" t="s">
        <v>1457</v>
      </c>
    </row>
    <row r="329" spans="1:9" x14ac:dyDescent="0.25">
      <c r="A329" s="6">
        <v>45996.642361111109</v>
      </c>
      <c r="B329" s="5" t="s">
        <v>19</v>
      </c>
      <c r="C329" s="8">
        <v>195.40833071926539</v>
      </c>
      <c r="D329" s="8">
        <v>195.54952399938031</v>
      </c>
      <c r="E329" s="8">
        <v>195.39543872991209</v>
      </c>
      <c r="F329" s="8">
        <v>195.4537479796831</v>
      </c>
      <c r="G329" s="7">
        <v>107508</v>
      </c>
      <c r="H329" s="9">
        <v>21012841.537799768</v>
      </c>
      <c r="I329" s="5" t="s">
        <v>1458</v>
      </c>
    </row>
    <row r="330" spans="1:9" x14ac:dyDescent="0.25">
      <c r="A330" s="6">
        <v>45996.645833333343</v>
      </c>
      <c r="B330" s="5" t="s">
        <v>19</v>
      </c>
      <c r="C330" s="8">
        <v>195.37842761868879</v>
      </c>
      <c r="D330" s="8">
        <v>195.42271859610619</v>
      </c>
      <c r="E330" s="8">
        <v>195.15960916675311</v>
      </c>
      <c r="F330" s="8">
        <v>195.32261507987729</v>
      </c>
      <c r="G330" s="7">
        <v>82510</v>
      </c>
      <c r="H330" s="9">
        <v>16116068.970240669</v>
      </c>
      <c r="I330" s="5" t="s">
        <v>1459</v>
      </c>
    </row>
    <row r="331" spans="1:9" x14ac:dyDescent="0.25">
      <c r="A331" s="6">
        <v>45996.649305555547</v>
      </c>
      <c r="B331" s="5" t="s">
        <v>19</v>
      </c>
      <c r="C331" s="8">
        <v>195.0912914039753</v>
      </c>
      <c r="D331" s="8">
        <v>195.27005935935551</v>
      </c>
      <c r="E331" s="8">
        <v>195.006182841353</v>
      </c>
      <c r="F331" s="8">
        <v>195.17737548084341</v>
      </c>
      <c r="G331" s="7">
        <v>73660</v>
      </c>
      <c r="H331" s="9">
        <v>14376765.477918919</v>
      </c>
      <c r="I331" s="5" t="s">
        <v>1460</v>
      </c>
    </row>
    <row r="332" spans="1:9" x14ac:dyDescent="0.25">
      <c r="A332" s="6">
        <v>45996.652777777781</v>
      </c>
      <c r="B332" s="5" t="s">
        <v>19</v>
      </c>
      <c r="C332" s="8">
        <v>195.13620214218449</v>
      </c>
      <c r="D332" s="8">
        <v>195.1621005054289</v>
      </c>
      <c r="E332" s="8">
        <v>194.96472079575651</v>
      </c>
      <c r="F332" s="8">
        <v>195.04881205056409</v>
      </c>
      <c r="G332" s="7">
        <v>44709</v>
      </c>
      <c r="H332" s="9">
        <v>8720437.3379686698</v>
      </c>
      <c r="I332" s="5" t="s">
        <v>1461</v>
      </c>
    </row>
    <row r="333" spans="1:9" x14ac:dyDescent="0.25">
      <c r="A333" s="6">
        <v>45996.65625</v>
      </c>
      <c r="B333" s="5" t="s">
        <v>19</v>
      </c>
      <c r="C333" s="8">
        <v>194.97002259284031</v>
      </c>
      <c r="D333" s="8">
        <v>195.34360483368721</v>
      </c>
      <c r="E333" s="8">
        <v>194.86651661139231</v>
      </c>
      <c r="F333" s="8">
        <v>195.0888100065516</v>
      </c>
      <c r="G333" s="7">
        <v>74636</v>
      </c>
      <c r="H333" s="9">
        <v>14560648.423648991</v>
      </c>
      <c r="I333" s="5" t="s">
        <v>1462</v>
      </c>
    </row>
    <row r="334" spans="1:9" x14ac:dyDescent="0.25">
      <c r="A334" s="6">
        <v>45996.659722222219</v>
      </c>
      <c r="B334" s="5" t="s">
        <v>19</v>
      </c>
      <c r="C334" s="8">
        <v>195.1215392871176</v>
      </c>
      <c r="D334" s="8">
        <v>195.14658366688161</v>
      </c>
      <c r="E334" s="8">
        <v>194.8653332549236</v>
      </c>
      <c r="F334" s="8">
        <v>195.12026718785179</v>
      </c>
      <c r="G334" s="7">
        <v>53432</v>
      </c>
      <c r="H334" s="9">
        <v>10425666.116381301</v>
      </c>
      <c r="I334" s="5" t="s">
        <v>1463</v>
      </c>
    </row>
    <row r="335" spans="1:9" x14ac:dyDescent="0.25">
      <c r="A335" s="6">
        <v>45996.663194444453</v>
      </c>
      <c r="B335" s="5" t="s">
        <v>19</v>
      </c>
      <c r="C335" s="8">
        <v>194.85734570060481</v>
      </c>
      <c r="D335" s="8">
        <v>194.85836844287121</v>
      </c>
      <c r="E335" s="8">
        <v>194.79804069743261</v>
      </c>
      <c r="F335" s="8">
        <v>194.80854471663679</v>
      </c>
      <c r="G335" s="7">
        <v>68843</v>
      </c>
      <c r="H335" s="9">
        <v>13411204.643927431</v>
      </c>
      <c r="I335" s="5" t="s">
        <v>1464</v>
      </c>
    </row>
    <row r="336" spans="1:9" x14ac:dyDescent="0.25">
      <c r="A336" s="6">
        <v>45996.666666666657</v>
      </c>
      <c r="B336" s="5" t="s">
        <v>19</v>
      </c>
      <c r="C336" s="8">
        <v>194.87872605419369</v>
      </c>
      <c r="D336" s="8">
        <v>194.91940704728879</v>
      </c>
      <c r="E336" s="8">
        <v>194.79626353591141</v>
      </c>
      <c r="F336" s="8">
        <v>194.86513884093529</v>
      </c>
      <c r="G336" s="7">
        <v>37518</v>
      </c>
      <c r="H336" s="9">
        <v>7310950.2790342094</v>
      </c>
      <c r="I336" s="5" t="s">
        <v>1465</v>
      </c>
    </row>
    <row r="337" spans="1:9" x14ac:dyDescent="0.25">
      <c r="A337" s="6">
        <v>45996.670138888891</v>
      </c>
      <c r="B337" s="5" t="s">
        <v>19</v>
      </c>
      <c r="C337" s="8">
        <v>195.0095969487225</v>
      </c>
      <c r="D337" s="8">
        <v>195.12794738074601</v>
      </c>
      <c r="E337" s="8">
        <v>194.8999691820834</v>
      </c>
      <c r="F337" s="8">
        <v>194.9250212472397</v>
      </c>
      <c r="G337" s="7">
        <v>74180</v>
      </c>
      <c r="H337" s="9">
        <v>14459538.076120241</v>
      </c>
      <c r="I337" s="5" t="s">
        <v>1466</v>
      </c>
    </row>
    <row r="338" spans="1:9" x14ac:dyDescent="0.25">
      <c r="A338" s="6">
        <v>45996.673611111109</v>
      </c>
      <c r="B338" s="5" t="s">
        <v>19</v>
      </c>
      <c r="C338" s="8">
        <v>194.87029260458971</v>
      </c>
      <c r="D338" s="8">
        <v>194.94136034089601</v>
      </c>
      <c r="E338" s="8">
        <v>194.83139591469589</v>
      </c>
      <c r="F338" s="8">
        <v>194.84781665731529</v>
      </c>
      <c r="G338" s="7">
        <v>120681</v>
      </c>
      <c r="H338" s="9">
        <v>23514429.362021461</v>
      </c>
      <c r="I338" s="5" t="s">
        <v>1467</v>
      </c>
    </row>
    <row r="339" spans="1:9" x14ac:dyDescent="0.25">
      <c r="A339" s="6">
        <v>45996.677083333343</v>
      </c>
      <c r="B339" s="5" t="s">
        <v>19</v>
      </c>
      <c r="C339" s="8">
        <v>195.07093442917889</v>
      </c>
      <c r="D339" s="8">
        <v>195.1614632674418</v>
      </c>
      <c r="E339" s="8">
        <v>194.90300952909411</v>
      </c>
      <c r="F339" s="8">
        <v>194.98327606265681</v>
      </c>
      <c r="G339" s="7">
        <v>59050</v>
      </c>
      <c r="H339" s="9">
        <v>11513762.451499879</v>
      </c>
      <c r="I339" s="5" t="s">
        <v>1468</v>
      </c>
    </row>
    <row r="340" spans="1:9" x14ac:dyDescent="0.25">
      <c r="A340" s="6">
        <v>45996.680555555547</v>
      </c>
      <c r="B340" s="5" t="s">
        <v>19</v>
      </c>
      <c r="C340" s="8">
        <v>195.0687714240843</v>
      </c>
      <c r="D340" s="8">
        <v>195.19958448490601</v>
      </c>
      <c r="E340" s="8">
        <v>195.0043368312507</v>
      </c>
      <c r="F340" s="8">
        <v>195.08097663368289</v>
      </c>
      <c r="G340" s="7">
        <v>96379</v>
      </c>
      <c r="H340" s="9">
        <v>18801709.44697772</v>
      </c>
      <c r="I340" s="5" t="s">
        <v>1469</v>
      </c>
    </row>
    <row r="341" spans="1:9" x14ac:dyDescent="0.25">
      <c r="A341" s="6">
        <v>45996.684027777781</v>
      </c>
      <c r="B341" s="5" t="s">
        <v>19</v>
      </c>
      <c r="C341" s="8">
        <v>195.18563664592989</v>
      </c>
      <c r="D341" s="8">
        <v>195.3192898919927</v>
      </c>
      <c r="E341" s="8">
        <v>195.15940262369699</v>
      </c>
      <c r="F341" s="8">
        <v>195.25099497600141</v>
      </c>
      <c r="G341" s="7">
        <v>85525</v>
      </c>
      <c r="H341" s="9">
        <v>16698841.34532252</v>
      </c>
      <c r="I341" s="5" t="s">
        <v>1470</v>
      </c>
    </row>
    <row r="342" spans="1:9" x14ac:dyDescent="0.25">
      <c r="A342" s="6">
        <v>45996.6875</v>
      </c>
      <c r="B342" s="5" t="s">
        <v>19</v>
      </c>
      <c r="C342" s="8">
        <v>195.17474562841511</v>
      </c>
      <c r="D342" s="8">
        <v>195.23865121530471</v>
      </c>
      <c r="E342" s="8">
        <v>194.8340663995956</v>
      </c>
      <c r="F342" s="8">
        <v>195.15653078591629</v>
      </c>
      <c r="G342" s="7">
        <v>31004</v>
      </c>
      <c r="H342" s="9">
        <v>6050633.0804865491</v>
      </c>
      <c r="I342" s="5" t="s">
        <v>1471</v>
      </c>
    </row>
    <row r="343" spans="1:9" x14ac:dyDescent="0.25">
      <c r="A343" s="6">
        <v>45996.690972222219</v>
      </c>
      <c r="B343" s="5" t="s">
        <v>19</v>
      </c>
      <c r="C343" s="8">
        <v>195.17159174828549</v>
      </c>
      <c r="D343" s="8">
        <v>195.29794347435961</v>
      </c>
      <c r="E343" s="8">
        <v>195.14512850661319</v>
      </c>
      <c r="F343" s="8">
        <v>195.17899386668299</v>
      </c>
      <c r="G343" s="7">
        <v>38375</v>
      </c>
      <c r="H343" s="9">
        <v>7489993.889633961</v>
      </c>
      <c r="I343" s="5" t="s">
        <v>1472</v>
      </c>
    </row>
    <row r="344" spans="1:9" x14ac:dyDescent="0.25">
      <c r="A344" s="6">
        <v>45996.694444444453</v>
      </c>
      <c r="B344" s="5" t="s">
        <v>19</v>
      </c>
      <c r="C344" s="8">
        <v>195.1927008749428</v>
      </c>
      <c r="D344" s="8">
        <v>195.2635550816517</v>
      </c>
      <c r="E344" s="8">
        <v>195.13308135323689</v>
      </c>
      <c r="F344" s="8">
        <v>195.23665755109721</v>
      </c>
      <c r="G344" s="7">
        <v>67642</v>
      </c>
      <c r="H344" s="9">
        <v>13206197.990071321</v>
      </c>
      <c r="I344" s="5" t="s">
        <v>1473</v>
      </c>
    </row>
    <row r="345" spans="1:9" x14ac:dyDescent="0.25">
      <c r="A345" s="6">
        <v>45996.697916666657</v>
      </c>
      <c r="B345" s="5" t="s">
        <v>19</v>
      </c>
      <c r="C345" s="8">
        <v>194.92128595575161</v>
      </c>
      <c r="D345" s="8">
        <v>195.24704267733011</v>
      </c>
      <c r="E345" s="8">
        <v>194.6705486786154</v>
      </c>
      <c r="F345" s="8">
        <v>194.98681681391409</v>
      </c>
      <c r="G345" s="7">
        <v>42208</v>
      </c>
      <c r="H345" s="9">
        <v>8230003.5640816865</v>
      </c>
      <c r="I345" s="5" t="s">
        <v>1474</v>
      </c>
    </row>
    <row r="346" spans="1:9" x14ac:dyDescent="0.25">
      <c r="A346" s="6">
        <v>45996.701388888891</v>
      </c>
      <c r="B346" s="5" t="s">
        <v>19</v>
      </c>
      <c r="C346" s="8">
        <v>194.76771271648909</v>
      </c>
      <c r="D346" s="8">
        <v>194.91055579777151</v>
      </c>
      <c r="E346" s="8">
        <v>194.7164582267479</v>
      </c>
      <c r="F346" s="8">
        <v>194.83521870963639</v>
      </c>
      <c r="G346" s="7">
        <v>74241</v>
      </c>
      <c r="H346" s="9">
        <v>14464761.47222212</v>
      </c>
      <c r="I346" s="5" t="s">
        <v>1475</v>
      </c>
    </row>
    <row r="347" spans="1:9" x14ac:dyDescent="0.25">
      <c r="A347" s="6">
        <v>45996.704861111109</v>
      </c>
      <c r="B347" s="5" t="s">
        <v>19</v>
      </c>
      <c r="C347" s="8">
        <v>194.88525369571761</v>
      </c>
      <c r="D347" s="8">
        <v>194.95437023762611</v>
      </c>
      <c r="E347" s="8">
        <v>194.85749516397431</v>
      </c>
      <c r="F347" s="8">
        <v>194.8660645784208</v>
      </c>
      <c r="G347" s="7">
        <v>91686</v>
      </c>
      <c r="H347" s="9">
        <v>17866489.996937089</v>
      </c>
      <c r="I347" s="5" t="s">
        <v>1476</v>
      </c>
    </row>
    <row r="348" spans="1:9" x14ac:dyDescent="0.25">
      <c r="A348" s="6">
        <v>45996.708333333343</v>
      </c>
      <c r="B348" s="5" t="s">
        <v>19</v>
      </c>
      <c r="C348" s="8">
        <v>194.87991310492629</v>
      </c>
      <c r="D348" s="8">
        <v>195.11726114662741</v>
      </c>
      <c r="E348" s="8">
        <v>194.80166001754131</v>
      </c>
      <c r="F348" s="8">
        <v>194.86204684326819</v>
      </c>
      <c r="G348" s="7">
        <v>65527</v>
      </c>
      <c r="H348" s="9">
        <v>12768725.343498841</v>
      </c>
      <c r="I348" s="5" t="s">
        <v>1477</v>
      </c>
    </row>
    <row r="349" spans="1:9" x14ac:dyDescent="0.25">
      <c r="A349" s="6">
        <v>45996.711805555547</v>
      </c>
      <c r="B349" s="5" t="s">
        <v>19</v>
      </c>
      <c r="C349" s="8">
        <v>194.9267406812325</v>
      </c>
      <c r="D349" s="8">
        <v>195.0904224958083</v>
      </c>
      <c r="E349" s="8">
        <v>194.91168996527571</v>
      </c>
      <c r="F349" s="8">
        <v>195.08785023270681</v>
      </c>
      <c r="G349" s="7">
        <v>61492</v>
      </c>
      <c r="H349" s="9">
        <v>11996342.08650961</v>
      </c>
      <c r="I349" s="5" t="s">
        <v>1478</v>
      </c>
    </row>
    <row r="350" spans="1:9" x14ac:dyDescent="0.25">
      <c r="A350" s="6">
        <v>45996.715277777781</v>
      </c>
      <c r="B350" s="5" t="s">
        <v>19</v>
      </c>
      <c r="C350" s="8">
        <v>194.98723431865949</v>
      </c>
      <c r="D350" s="8">
        <v>195.06781842034451</v>
      </c>
      <c r="E350" s="8">
        <v>194.97210497318571</v>
      </c>
      <c r="F350" s="8">
        <v>194.97564389071101</v>
      </c>
      <c r="G350" s="7">
        <v>53740</v>
      </c>
      <c r="H350" s="9">
        <v>10477991.102686809</v>
      </c>
      <c r="I350" s="5" t="s">
        <v>1479</v>
      </c>
    </row>
    <row r="351" spans="1:9" x14ac:dyDescent="0.25">
      <c r="A351" s="6">
        <v>45996.71875</v>
      </c>
      <c r="B351" s="5" t="s">
        <v>19</v>
      </c>
      <c r="C351" s="8">
        <v>194.91179965776601</v>
      </c>
      <c r="D351" s="8">
        <v>194.93809673252031</v>
      </c>
      <c r="E351" s="8">
        <v>194.8257225336848</v>
      </c>
      <c r="F351" s="8">
        <v>194.93547291857669</v>
      </c>
      <c r="G351" s="7">
        <v>29628</v>
      </c>
      <c r="H351" s="9">
        <v>5775548.1916315909</v>
      </c>
      <c r="I351" s="5" t="s">
        <v>1480</v>
      </c>
    </row>
    <row r="352" spans="1:9" x14ac:dyDescent="0.25">
      <c r="A352" s="6">
        <v>45996.722222222219</v>
      </c>
      <c r="B352" s="5" t="s">
        <v>19</v>
      </c>
      <c r="C352" s="8">
        <v>195.0657388061847</v>
      </c>
      <c r="D352" s="8">
        <v>195.1863709434023</v>
      </c>
      <c r="E352" s="8">
        <v>194.910239073957</v>
      </c>
      <c r="F352" s="8">
        <v>195.16986050109571</v>
      </c>
      <c r="G352" s="7">
        <v>53693</v>
      </c>
      <c r="H352" s="9">
        <v>10479255.31988533</v>
      </c>
      <c r="I352" s="5" t="s">
        <v>1481</v>
      </c>
    </row>
    <row r="353" spans="1:9" x14ac:dyDescent="0.25">
      <c r="A353" s="6">
        <v>45996.725694444453</v>
      </c>
      <c r="B353" s="5" t="s">
        <v>19</v>
      </c>
      <c r="C353" s="8">
        <v>194.9916874874599</v>
      </c>
      <c r="D353" s="8">
        <v>195.0974263122819</v>
      </c>
      <c r="E353" s="8">
        <v>194.83661730101571</v>
      </c>
      <c r="F353" s="8">
        <v>194.99577891368119</v>
      </c>
      <c r="G353" s="7">
        <v>66028</v>
      </c>
      <c r="H353" s="9">
        <v>12875181.29011254</v>
      </c>
      <c r="I353" s="5" t="s">
        <v>1482</v>
      </c>
    </row>
    <row r="354" spans="1:9" x14ac:dyDescent="0.25">
      <c r="A354" s="6">
        <v>45996.729166666657</v>
      </c>
      <c r="B354" s="5" t="s">
        <v>19</v>
      </c>
      <c r="C354" s="8">
        <v>195.24301055329829</v>
      </c>
      <c r="D354" s="8">
        <v>195.25201131062971</v>
      </c>
      <c r="E354" s="8">
        <v>195.097375543787</v>
      </c>
      <c r="F354" s="8">
        <v>195.22457022243691</v>
      </c>
      <c r="G354" s="7">
        <v>57461</v>
      </c>
      <c r="H354" s="9">
        <v>11217799.02955145</v>
      </c>
      <c r="I354" s="5" t="s">
        <v>1483</v>
      </c>
    </row>
    <row r="355" spans="1:9" x14ac:dyDescent="0.25">
      <c r="A355" s="6">
        <v>45996.732638888891</v>
      </c>
      <c r="B355" s="5" t="s">
        <v>19</v>
      </c>
      <c r="C355" s="8">
        <v>195.25658069562391</v>
      </c>
      <c r="D355" s="8">
        <v>195.39796075836631</v>
      </c>
      <c r="E355" s="8">
        <v>195.24741730999489</v>
      </c>
      <c r="F355" s="8">
        <v>195.29683956234899</v>
      </c>
      <c r="G355" s="7">
        <v>66859</v>
      </c>
      <c r="H355" s="9">
        <v>13057351.39629909</v>
      </c>
      <c r="I355" s="5" t="s">
        <v>1484</v>
      </c>
    </row>
    <row r="356" spans="1:9" x14ac:dyDescent="0.25">
      <c r="A356" s="6">
        <v>45996.736111111109</v>
      </c>
      <c r="B356" s="5" t="s">
        <v>19</v>
      </c>
      <c r="C356" s="8">
        <v>195.1716100189872</v>
      </c>
      <c r="D356" s="8">
        <v>195.2236937371953</v>
      </c>
      <c r="E356" s="8">
        <v>195.13133454287589</v>
      </c>
      <c r="F356" s="8">
        <v>195.20261643411541</v>
      </c>
      <c r="G356" s="7">
        <v>66626</v>
      </c>
      <c r="H356" s="9">
        <v>13005569.52253937</v>
      </c>
      <c r="I356" s="5" t="s">
        <v>1485</v>
      </c>
    </row>
    <row r="357" spans="1:9" x14ac:dyDescent="0.25">
      <c r="A357" s="6">
        <v>45996.739583333343</v>
      </c>
      <c r="B357" s="5" t="s">
        <v>19</v>
      </c>
      <c r="C357" s="8">
        <v>194.9709045198482</v>
      </c>
      <c r="D357" s="8">
        <v>195.02405296936499</v>
      </c>
      <c r="E357" s="8">
        <v>194.7483940617534</v>
      </c>
      <c r="F357" s="8">
        <v>195.01639392824731</v>
      </c>
      <c r="G357" s="7">
        <v>84932</v>
      </c>
      <c r="H357" s="9">
        <v>16563132.3691139</v>
      </c>
      <c r="I357" s="5" t="s">
        <v>1486</v>
      </c>
    </row>
    <row r="358" spans="1:9" x14ac:dyDescent="0.25">
      <c r="A358" s="6">
        <v>45996.743055555547</v>
      </c>
      <c r="B358" s="5" t="s">
        <v>19</v>
      </c>
      <c r="C358" s="8">
        <v>195.06335592754769</v>
      </c>
      <c r="D358" s="8">
        <v>195.15287894606769</v>
      </c>
      <c r="E358" s="8">
        <v>194.9729731914374</v>
      </c>
      <c r="F358" s="8">
        <v>195.06375521888009</v>
      </c>
      <c r="G358" s="7">
        <v>53495</v>
      </c>
      <c r="H358" s="9">
        <v>10434935.58543399</v>
      </c>
      <c r="I358" s="5" t="s">
        <v>1487</v>
      </c>
    </row>
    <row r="359" spans="1:9" x14ac:dyDescent="0.25">
      <c r="A359" s="6">
        <v>45996.746527777781</v>
      </c>
      <c r="B359" s="5" t="s">
        <v>19</v>
      </c>
      <c r="C359" s="8">
        <v>195.40878567576439</v>
      </c>
      <c r="D359" s="8">
        <v>195.5894805678372</v>
      </c>
      <c r="E359" s="8">
        <v>195.309255987667</v>
      </c>
      <c r="F359" s="8">
        <v>195.38865282903939</v>
      </c>
      <c r="G359" s="7">
        <v>48904</v>
      </c>
      <c r="H359" s="9">
        <v>9555286.6779513452</v>
      </c>
      <c r="I359" s="5" t="s">
        <v>1488</v>
      </c>
    </row>
    <row r="360" spans="1:9" x14ac:dyDescent="0.25">
      <c r="A360" s="6">
        <v>45996.75</v>
      </c>
      <c r="B360" s="5" t="s">
        <v>19</v>
      </c>
      <c r="C360" s="8">
        <v>195.2709587361517</v>
      </c>
      <c r="D360" s="8">
        <v>195.3094571044841</v>
      </c>
      <c r="E360" s="8">
        <v>195.24753691224541</v>
      </c>
      <c r="F360" s="8">
        <v>195.2881134345499</v>
      </c>
      <c r="G360" s="7">
        <v>76756</v>
      </c>
      <c r="H360" s="9">
        <v>14989534.434782309</v>
      </c>
      <c r="I360" s="5" t="s">
        <v>1489</v>
      </c>
    </row>
    <row r="361" spans="1:9" x14ac:dyDescent="0.25">
      <c r="A361" s="6">
        <v>45996.753472222219</v>
      </c>
      <c r="B361" s="5" t="s">
        <v>19</v>
      </c>
      <c r="C361" s="8">
        <v>195.31298276700161</v>
      </c>
      <c r="D361" s="8">
        <v>195.52334813565969</v>
      </c>
      <c r="E361" s="8">
        <v>195.21201230147361</v>
      </c>
      <c r="F361" s="8">
        <v>195.35859465557959</v>
      </c>
      <c r="G361" s="7">
        <v>66618</v>
      </c>
      <c r="H361" s="9">
        <v>13014398.858765399</v>
      </c>
      <c r="I361" s="5" t="s">
        <v>1490</v>
      </c>
    </row>
    <row r="362" spans="1:9" x14ac:dyDescent="0.25">
      <c r="A362" s="6">
        <v>45996.756944444453</v>
      </c>
      <c r="B362" s="5" t="s">
        <v>19</v>
      </c>
      <c r="C362" s="8">
        <v>195.60364605019049</v>
      </c>
      <c r="D362" s="8">
        <v>195.76833246925821</v>
      </c>
      <c r="E362" s="8">
        <v>195.49874699453309</v>
      </c>
      <c r="F362" s="8">
        <v>195.50138121128859</v>
      </c>
      <c r="G362" s="7">
        <v>54167</v>
      </c>
      <c r="H362" s="9">
        <v>10589723.31607187</v>
      </c>
      <c r="I362" s="5" t="s">
        <v>1491</v>
      </c>
    </row>
    <row r="363" spans="1:9" x14ac:dyDescent="0.25">
      <c r="A363" s="6">
        <v>45996.760416666657</v>
      </c>
      <c r="B363" s="5" t="s">
        <v>19</v>
      </c>
      <c r="C363" s="8">
        <v>195.42519235951141</v>
      </c>
      <c r="D363" s="8">
        <v>195.4610911620139</v>
      </c>
      <c r="E363" s="8">
        <v>195.38238947274729</v>
      </c>
      <c r="F363" s="8">
        <v>195.42049257171419</v>
      </c>
      <c r="G363" s="7">
        <v>46775</v>
      </c>
      <c r="H363" s="9">
        <v>9140793.5400419328</v>
      </c>
      <c r="I363" s="5" t="s">
        <v>1492</v>
      </c>
    </row>
    <row r="364" spans="1:9" x14ac:dyDescent="0.25">
      <c r="A364" s="6">
        <v>45996.763888888891</v>
      </c>
      <c r="B364" s="5" t="s">
        <v>19</v>
      </c>
      <c r="C364" s="8">
        <v>195.53821987020439</v>
      </c>
      <c r="D364" s="8">
        <v>195.7229625613133</v>
      </c>
      <c r="E364" s="8">
        <v>195.41119389929079</v>
      </c>
      <c r="F364" s="8">
        <v>195.47977467357649</v>
      </c>
      <c r="G364" s="7">
        <v>40555</v>
      </c>
      <c r="H364" s="9">
        <v>7927682.2618868947</v>
      </c>
      <c r="I364" s="5" t="s">
        <v>1493</v>
      </c>
    </row>
    <row r="365" spans="1:9" x14ac:dyDescent="0.25">
      <c r="A365" s="6">
        <v>45996.767361111109</v>
      </c>
      <c r="B365" s="5" t="s">
        <v>19</v>
      </c>
      <c r="C365" s="8">
        <v>195.37079584269361</v>
      </c>
      <c r="D365" s="8">
        <v>195.53698756620071</v>
      </c>
      <c r="E365" s="8">
        <v>195.2678190063142</v>
      </c>
      <c r="F365" s="8">
        <v>195.42321931103811</v>
      </c>
      <c r="G365" s="7">
        <v>60189</v>
      </c>
      <c r="H365" s="9">
        <v>11762328.14711207</v>
      </c>
      <c r="I365" s="5" t="s">
        <v>1494</v>
      </c>
    </row>
    <row r="366" spans="1:9" x14ac:dyDescent="0.25">
      <c r="A366" s="6">
        <v>45996.770833333343</v>
      </c>
      <c r="B366" s="5" t="s">
        <v>19</v>
      </c>
      <c r="C366" s="8">
        <v>195.15256623046949</v>
      </c>
      <c r="D366" s="8">
        <v>195.1919763249636</v>
      </c>
      <c r="E366" s="8">
        <v>194.98043112160889</v>
      </c>
      <c r="F366" s="8">
        <v>195.1765040132629</v>
      </c>
      <c r="G366" s="7">
        <v>46016</v>
      </c>
      <c r="H366" s="9">
        <v>8981242.0086743049</v>
      </c>
      <c r="I366" s="5" t="s">
        <v>1495</v>
      </c>
    </row>
    <row r="367" spans="1:9" x14ac:dyDescent="0.25">
      <c r="A367" s="6">
        <v>45996.774305555547</v>
      </c>
      <c r="B367" s="5" t="s">
        <v>19</v>
      </c>
      <c r="C367" s="8">
        <v>195.10577827936521</v>
      </c>
      <c r="D367" s="8">
        <v>195.37943158702649</v>
      </c>
      <c r="E367" s="8">
        <v>195.00337463843741</v>
      </c>
      <c r="F367" s="8">
        <v>195.23098728545131</v>
      </c>
      <c r="G367" s="7">
        <v>49229</v>
      </c>
      <c r="H367" s="9">
        <v>9611026.2730754819</v>
      </c>
      <c r="I367" s="5" t="s">
        <v>1496</v>
      </c>
    </row>
    <row r="368" spans="1:9" x14ac:dyDescent="0.25">
      <c r="A368" s="6">
        <v>45996.777777777781</v>
      </c>
      <c r="B368" s="5" t="s">
        <v>19</v>
      </c>
      <c r="C368" s="8">
        <v>195.32948286045979</v>
      </c>
      <c r="D368" s="8">
        <v>195.5251876075057</v>
      </c>
      <c r="E368" s="8">
        <v>195.24120473116469</v>
      </c>
      <c r="F368" s="8">
        <v>195.29604541598039</v>
      </c>
      <c r="G368" s="7">
        <v>39654</v>
      </c>
      <c r="H368" s="9">
        <v>7744269.3849252854</v>
      </c>
      <c r="I368" s="5" t="s">
        <v>1497</v>
      </c>
    </row>
    <row r="369" spans="1:9" x14ac:dyDescent="0.25">
      <c r="A369" s="6">
        <v>45996.78125</v>
      </c>
      <c r="B369" s="5" t="s">
        <v>19</v>
      </c>
      <c r="C369" s="8">
        <v>195.62237350592591</v>
      </c>
      <c r="D369" s="8">
        <v>195.6329261339782</v>
      </c>
      <c r="E369" s="8">
        <v>195.5795055749374</v>
      </c>
      <c r="F369" s="8">
        <v>195.60766784634791</v>
      </c>
      <c r="G369" s="7">
        <v>57886</v>
      </c>
      <c r="H369" s="9">
        <v>11322945.460953699</v>
      </c>
      <c r="I369" s="5" t="s">
        <v>1498</v>
      </c>
    </row>
    <row r="370" spans="1:9" x14ac:dyDescent="0.25">
      <c r="A370" s="6">
        <v>45996.784722222219</v>
      </c>
      <c r="B370" s="5" t="s">
        <v>19</v>
      </c>
      <c r="C370" s="8">
        <v>195.552659915492</v>
      </c>
      <c r="D370" s="8">
        <v>195.6770623423223</v>
      </c>
      <c r="E370" s="8">
        <v>195.52848044432929</v>
      </c>
      <c r="F370" s="8">
        <v>195.59693329787581</v>
      </c>
      <c r="G370" s="7">
        <v>76107</v>
      </c>
      <c r="H370" s="9">
        <v>14886295.802501431</v>
      </c>
      <c r="I370" s="5" t="s">
        <v>1499</v>
      </c>
    </row>
    <row r="371" spans="1:9" x14ac:dyDescent="0.25">
      <c r="A371" s="6">
        <v>45996.788194444453</v>
      </c>
      <c r="B371" s="5" t="s">
        <v>19</v>
      </c>
      <c r="C371" s="8">
        <v>195.61108322481181</v>
      </c>
      <c r="D371" s="8">
        <v>195.707438005694</v>
      </c>
      <c r="E371" s="8">
        <v>195.16421832868019</v>
      </c>
      <c r="F371" s="8">
        <v>195.57493379725901</v>
      </c>
      <c r="G371" s="7">
        <v>45665</v>
      </c>
      <c r="H371" s="9">
        <v>8930929.351851834</v>
      </c>
      <c r="I371" s="5" t="s">
        <v>1500</v>
      </c>
    </row>
    <row r="372" spans="1:9" x14ac:dyDescent="0.25">
      <c r="A372" s="6">
        <v>45996.791666666657</v>
      </c>
      <c r="B372" s="5" t="s">
        <v>19</v>
      </c>
      <c r="C372" s="8">
        <v>195.53791617649711</v>
      </c>
      <c r="D372" s="8">
        <v>195.67507487413141</v>
      </c>
      <c r="E372" s="8">
        <v>195.3844003325905</v>
      </c>
      <c r="F372" s="8">
        <v>195.48522744704059</v>
      </c>
      <c r="G372" s="7">
        <v>32716</v>
      </c>
      <c r="H372" s="9">
        <v>6395494.7011573808</v>
      </c>
      <c r="I372" s="5" t="s">
        <v>1501</v>
      </c>
    </row>
    <row r="373" spans="1:9" x14ac:dyDescent="0.25">
      <c r="A373" s="6">
        <v>45996.795138888891</v>
      </c>
      <c r="B373" s="5" t="s">
        <v>19</v>
      </c>
      <c r="C373" s="8">
        <v>195.1660473962867</v>
      </c>
      <c r="D373" s="8">
        <v>195.327438903797</v>
      </c>
      <c r="E373" s="8">
        <v>195.13922646195999</v>
      </c>
      <c r="F373" s="8">
        <v>195.22798653955809</v>
      </c>
      <c r="G373" s="7">
        <v>83933</v>
      </c>
      <c r="H373" s="9">
        <v>16386070.594224731</v>
      </c>
      <c r="I373" s="5" t="s">
        <v>1502</v>
      </c>
    </row>
    <row r="374" spans="1:9" x14ac:dyDescent="0.25">
      <c r="A374" s="6">
        <v>45996.798611111109</v>
      </c>
      <c r="B374" s="5" t="s">
        <v>19</v>
      </c>
      <c r="C374" s="8">
        <v>195.36672951887931</v>
      </c>
      <c r="D374" s="8">
        <v>195.46197096682539</v>
      </c>
      <c r="E374" s="8">
        <v>195.2710142218032</v>
      </c>
      <c r="F374" s="8">
        <v>195.4063541972593</v>
      </c>
      <c r="G374" s="7">
        <v>95656</v>
      </c>
      <c r="H374" s="9">
        <v>18691790.217093032</v>
      </c>
      <c r="I374" s="5" t="s">
        <v>1503</v>
      </c>
    </row>
    <row r="375" spans="1:9" x14ac:dyDescent="0.25">
      <c r="A375" s="6">
        <v>45996.802083333343</v>
      </c>
      <c r="B375" s="5" t="s">
        <v>19</v>
      </c>
      <c r="C375" s="8">
        <v>195.31938358296651</v>
      </c>
      <c r="D375" s="8">
        <v>195.44689196247481</v>
      </c>
      <c r="E375" s="8">
        <v>195.1496097242661</v>
      </c>
      <c r="F375" s="8">
        <v>195.36680542238889</v>
      </c>
      <c r="G375" s="7">
        <v>48688</v>
      </c>
      <c r="H375" s="9">
        <v>9512019.0224052723</v>
      </c>
      <c r="I375" s="5" t="s">
        <v>1504</v>
      </c>
    </row>
    <row r="376" spans="1:9" x14ac:dyDescent="0.25">
      <c r="A376" s="6">
        <v>45996.805555555547</v>
      </c>
      <c r="B376" s="5" t="s">
        <v>19</v>
      </c>
      <c r="C376" s="8">
        <v>195.79471379853729</v>
      </c>
      <c r="D376" s="8">
        <v>195.83340794326759</v>
      </c>
      <c r="E376" s="8">
        <v>195.5057186720837</v>
      </c>
      <c r="F376" s="8">
        <v>195.69771421235691</v>
      </c>
      <c r="G376" s="7">
        <v>47464</v>
      </c>
      <c r="H376" s="9">
        <v>9288596.3073753081</v>
      </c>
      <c r="I376" s="5" t="s">
        <v>1505</v>
      </c>
    </row>
    <row r="377" spans="1:9" x14ac:dyDescent="0.25">
      <c r="A377" s="6">
        <v>45996.809027777781</v>
      </c>
      <c r="B377" s="5" t="s">
        <v>19</v>
      </c>
      <c r="C377" s="8">
        <v>195.65118759422819</v>
      </c>
      <c r="D377" s="8">
        <v>195.8551697201207</v>
      </c>
      <c r="E377" s="8">
        <v>195.3464746255747</v>
      </c>
      <c r="F377" s="8">
        <v>195.6239232613691</v>
      </c>
      <c r="G377" s="7">
        <v>132672</v>
      </c>
      <c r="H377" s="9">
        <v>25953817.14693236</v>
      </c>
      <c r="I377" s="5" t="s">
        <v>1506</v>
      </c>
    </row>
    <row r="378" spans="1:9" x14ac:dyDescent="0.25">
      <c r="A378" s="6">
        <v>45996.8125</v>
      </c>
      <c r="B378" s="5" t="s">
        <v>19</v>
      </c>
      <c r="C378" s="8">
        <v>195.37151420731371</v>
      </c>
      <c r="D378" s="8">
        <v>195.5124867398404</v>
      </c>
      <c r="E378" s="8">
        <v>195.3297986514886</v>
      </c>
      <c r="F378" s="8">
        <v>195.4846629996145</v>
      </c>
      <c r="G378" s="7">
        <v>93645</v>
      </c>
      <c r="H378" s="9">
        <v>18306161.266598899</v>
      </c>
      <c r="I378" s="5" t="s">
        <v>1507</v>
      </c>
    </row>
    <row r="379" spans="1:9" x14ac:dyDescent="0.25">
      <c r="A379" s="6">
        <v>45996.815972222219</v>
      </c>
      <c r="B379" s="5" t="s">
        <v>19</v>
      </c>
      <c r="C379" s="8">
        <v>195.58193027440331</v>
      </c>
      <c r="D379" s="8">
        <v>195.8369296626413</v>
      </c>
      <c r="E379" s="8">
        <v>195.530174533901</v>
      </c>
      <c r="F379" s="8">
        <v>195.59781731127799</v>
      </c>
      <c r="G379" s="7">
        <v>78479</v>
      </c>
      <c r="H379" s="9">
        <v>15350321.104771789</v>
      </c>
      <c r="I379" s="5" t="s">
        <v>1508</v>
      </c>
    </row>
    <row r="380" spans="1:9" x14ac:dyDescent="0.25">
      <c r="A380" s="6">
        <v>45996.819444444453</v>
      </c>
      <c r="B380" s="5" t="s">
        <v>19</v>
      </c>
      <c r="C380" s="8">
        <v>195.54289431784349</v>
      </c>
      <c r="D380" s="8">
        <v>195.5585009665979</v>
      </c>
      <c r="E380" s="8">
        <v>195.49405014309261</v>
      </c>
      <c r="F380" s="8">
        <v>195.5308884018915</v>
      </c>
      <c r="G380" s="7">
        <v>38971</v>
      </c>
      <c r="H380" s="9">
        <v>7620034.2519101147</v>
      </c>
      <c r="I380" s="5" t="s">
        <v>1509</v>
      </c>
    </row>
    <row r="381" spans="1:9" x14ac:dyDescent="0.25">
      <c r="A381" s="6">
        <v>45996.822916666657</v>
      </c>
      <c r="B381" s="5" t="s">
        <v>19</v>
      </c>
      <c r="C381" s="8">
        <v>195.49123052770389</v>
      </c>
      <c r="D381" s="8">
        <v>195.73472264774941</v>
      </c>
      <c r="E381" s="8">
        <v>195.37744320277409</v>
      </c>
      <c r="F381" s="8">
        <v>195.57861438468279</v>
      </c>
      <c r="G381" s="7">
        <v>69373</v>
      </c>
      <c r="H381" s="9">
        <v>13567875.2157086</v>
      </c>
      <c r="I381" s="5" t="s">
        <v>1510</v>
      </c>
    </row>
    <row r="382" spans="1:9" x14ac:dyDescent="0.25">
      <c r="A382" s="6">
        <v>45996.826388888891</v>
      </c>
      <c r="B382" s="5" t="s">
        <v>19</v>
      </c>
      <c r="C382" s="8">
        <v>195.45533115856949</v>
      </c>
      <c r="D382" s="8">
        <v>195.48856812371969</v>
      </c>
      <c r="E382" s="8">
        <v>195.38339694649821</v>
      </c>
      <c r="F382" s="8">
        <v>195.43733931502121</v>
      </c>
      <c r="G382" s="7">
        <v>44254</v>
      </c>
      <c r="H382" s="9">
        <v>8648884.0140469484</v>
      </c>
      <c r="I382" s="5" t="s">
        <v>1511</v>
      </c>
    </row>
    <row r="383" spans="1:9" x14ac:dyDescent="0.25">
      <c r="A383" s="6">
        <v>45996.829861111109</v>
      </c>
      <c r="B383" s="5" t="s">
        <v>19</v>
      </c>
      <c r="C383" s="8">
        <v>195.11696075667231</v>
      </c>
      <c r="D383" s="8">
        <v>195.18747178546309</v>
      </c>
      <c r="E383" s="8">
        <v>194.93223958980951</v>
      </c>
      <c r="F383" s="8">
        <v>195.1377141390582</v>
      </c>
      <c r="G383" s="7">
        <v>45824</v>
      </c>
      <c r="H383" s="9">
        <v>8941990.6127082054</v>
      </c>
      <c r="I383" s="5" t="s">
        <v>1512</v>
      </c>
    </row>
    <row r="384" spans="1:9" x14ac:dyDescent="0.25">
      <c r="A384" s="6">
        <v>45996.833333333343</v>
      </c>
      <c r="B384" s="5" t="s">
        <v>19</v>
      </c>
      <c r="C384" s="8">
        <v>194.83314875894411</v>
      </c>
      <c r="D384" s="8">
        <v>194.8855609776958</v>
      </c>
      <c r="E384" s="8">
        <v>194.82379422567939</v>
      </c>
      <c r="F384" s="8">
        <v>194.8307932380022</v>
      </c>
      <c r="G384" s="7">
        <v>145046</v>
      </c>
      <c r="H384" s="9">
        <v>28259427.235999271</v>
      </c>
      <c r="I384" s="5" t="s">
        <v>1513</v>
      </c>
    </row>
    <row r="385" spans="1:9" x14ac:dyDescent="0.25">
      <c r="A385" s="6">
        <v>45996.836805555547</v>
      </c>
      <c r="B385" s="5" t="s">
        <v>19</v>
      </c>
      <c r="C385" s="8">
        <v>194.8629514739209</v>
      </c>
      <c r="D385" s="8">
        <v>194.92755995678621</v>
      </c>
      <c r="E385" s="8">
        <v>194.8204802033024</v>
      </c>
      <c r="F385" s="8">
        <v>194.8454715843167</v>
      </c>
      <c r="G385" s="7">
        <v>47428</v>
      </c>
      <c r="H385" s="9">
        <v>9241131.0263009742</v>
      </c>
      <c r="I385" s="5" t="s">
        <v>1514</v>
      </c>
    </row>
    <row r="386" spans="1:9" x14ac:dyDescent="0.25">
      <c r="A386" s="6">
        <v>45996.840277777781</v>
      </c>
      <c r="B386" s="5" t="s">
        <v>19</v>
      </c>
      <c r="C386" s="8">
        <v>195.04217336741769</v>
      </c>
      <c r="D386" s="8">
        <v>195.39224239615399</v>
      </c>
      <c r="E386" s="8">
        <v>194.95858808032261</v>
      </c>
      <c r="F386" s="8">
        <v>194.9863464149885</v>
      </c>
      <c r="G386" s="7">
        <v>51779</v>
      </c>
      <c r="H386" s="9">
        <v>10096198.03102169</v>
      </c>
      <c r="I386" s="5" t="s">
        <v>1515</v>
      </c>
    </row>
    <row r="387" spans="1:9" x14ac:dyDescent="0.25">
      <c r="A387" s="6">
        <v>45996.84375</v>
      </c>
      <c r="B387" s="5" t="s">
        <v>19</v>
      </c>
      <c r="C387" s="8">
        <v>194.94218935423461</v>
      </c>
      <c r="D387" s="8">
        <v>195.01363601874041</v>
      </c>
      <c r="E387" s="8">
        <v>194.78197811604659</v>
      </c>
      <c r="F387" s="8">
        <v>194.87402039836721</v>
      </c>
      <c r="G387" s="7">
        <v>48198</v>
      </c>
      <c r="H387" s="9">
        <v>9392538.0351605024</v>
      </c>
      <c r="I387" s="5" t="s">
        <v>1516</v>
      </c>
    </row>
    <row r="388" spans="1:9" x14ac:dyDescent="0.25">
      <c r="A388" s="6">
        <v>45996.847222222219</v>
      </c>
      <c r="B388" s="5" t="s">
        <v>19</v>
      </c>
      <c r="C388" s="8">
        <v>194.8270733188273</v>
      </c>
      <c r="D388" s="8">
        <v>194.92239676051531</v>
      </c>
      <c r="E388" s="8">
        <v>194.76104756781871</v>
      </c>
      <c r="F388" s="8">
        <v>194.7890136030787</v>
      </c>
      <c r="G388" s="7">
        <v>39603</v>
      </c>
      <c r="H388" s="9">
        <v>7714229.3057227274</v>
      </c>
      <c r="I388" s="5" t="s">
        <v>1517</v>
      </c>
    </row>
    <row r="389" spans="1:9" x14ac:dyDescent="0.25">
      <c r="A389" s="6">
        <v>45996.850694444453</v>
      </c>
      <c r="B389" s="5" t="s">
        <v>19</v>
      </c>
      <c r="C389" s="8">
        <v>194.6577981290209</v>
      </c>
      <c r="D389" s="8">
        <v>194.71697248162741</v>
      </c>
      <c r="E389" s="8">
        <v>194.4774864230483</v>
      </c>
      <c r="F389" s="8">
        <v>194.6201809525495</v>
      </c>
      <c r="G389" s="7">
        <v>38496</v>
      </c>
      <c r="H389" s="9">
        <v>7492098.4859493449</v>
      </c>
      <c r="I389" s="5" t="s">
        <v>1518</v>
      </c>
    </row>
    <row r="390" spans="1:9" x14ac:dyDescent="0.25">
      <c r="A390" s="6">
        <v>45996.854166666657</v>
      </c>
      <c r="B390" s="5" t="s">
        <v>19</v>
      </c>
      <c r="C390" s="8">
        <v>195.01020492961689</v>
      </c>
      <c r="D390" s="8">
        <v>195.16360211103751</v>
      </c>
      <c r="E390" s="8">
        <v>194.95955071896029</v>
      </c>
      <c r="F390" s="8">
        <v>195.05242240453239</v>
      </c>
      <c r="G390" s="7">
        <v>44390</v>
      </c>
      <c r="H390" s="9">
        <v>8658377.0305371936</v>
      </c>
      <c r="I390" s="5" t="s">
        <v>1519</v>
      </c>
    </row>
    <row r="391" spans="1:9" x14ac:dyDescent="0.25">
      <c r="A391" s="6">
        <v>45996.857638888891</v>
      </c>
      <c r="B391" s="5" t="s">
        <v>19</v>
      </c>
      <c r="C391" s="8">
        <v>195.02195598306679</v>
      </c>
      <c r="D391" s="8">
        <v>195.1294158946437</v>
      </c>
      <c r="E391" s="8">
        <v>194.94200098900851</v>
      </c>
      <c r="F391" s="8">
        <v>194.97438130270831</v>
      </c>
      <c r="G391" s="7">
        <v>93111</v>
      </c>
      <c r="H391" s="9">
        <v>18154259.617476471</v>
      </c>
      <c r="I391" s="5" t="s">
        <v>1520</v>
      </c>
    </row>
    <row r="392" spans="1:9" x14ac:dyDescent="0.25">
      <c r="A392" s="6">
        <v>45996.861111111109</v>
      </c>
      <c r="B392" s="5" t="s">
        <v>19</v>
      </c>
      <c r="C392" s="8">
        <v>194.91642588562661</v>
      </c>
      <c r="D392" s="8">
        <v>194.94521603095561</v>
      </c>
      <c r="E392" s="8">
        <v>194.87117436006389</v>
      </c>
      <c r="F392" s="8">
        <v>194.9351302958548</v>
      </c>
      <c r="G392" s="7">
        <v>70001</v>
      </c>
      <c r="H392" s="9">
        <v>13645654.055840131</v>
      </c>
      <c r="I392" s="5" t="s">
        <v>1521</v>
      </c>
    </row>
    <row r="393" spans="1:9" x14ac:dyDescent="0.25">
      <c r="A393" s="6">
        <v>45996.864583333343</v>
      </c>
      <c r="B393" s="5" t="s">
        <v>19</v>
      </c>
      <c r="C393" s="8">
        <v>194.92061512496201</v>
      </c>
      <c r="D393" s="8">
        <v>194.98230286776109</v>
      </c>
      <c r="E393" s="8">
        <v>194.847901044786</v>
      </c>
      <c r="F393" s="8">
        <v>194.97062007611561</v>
      </c>
      <c r="G393" s="7">
        <v>47562</v>
      </c>
      <c r="H393" s="9">
        <v>9273192.6320602093</v>
      </c>
      <c r="I393" s="5" t="s">
        <v>1522</v>
      </c>
    </row>
    <row r="394" spans="1:9" x14ac:dyDescent="0.25">
      <c r="A394" s="6">
        <v>45996.868055555547</v>
      </c>
      <c r="B394" s="5" t="s">
        <v>19</v>
      </c>
      <c r="C394" s="8">
        <v>194.9869576995905</v>
      </c>
      <c r="D394" s="8">
        <v>195.0098956236024</v>
      </c>
      <c r="E394" s="8">
        <v>194.7932149807626</v>
      </c>
      <c r="F394" s="8">
        <v>194.93210794153131</v>
      </c>
      <c r="G394" s="7">
        <v>100569</v>
      </c>
      <c r="H394" s="9">
        <v>19604127.163571861</v>
      </c>
      <c r="I394" s="5" t="s">
        <v>1523</v>
      </c>
    </row>
    <row r="395" spans="1:9" x14ac:dyDescent="0.25">
      <c r="A395" s="6">
        <v>45996.871527777781</v>
      </c>
      <c r="B395" s="5" t="s">
        <v>19</v>
      </c>
      <c r="C395" s="8">
        <v>194.87199365215699</v>
      </c>
      <c r="D395" s="8">
        <v>195.01349768557</v>
      </c>
      <c r="E395" s="8">
        <v>194.8488108332935</v>
      </c>
      <c r="F395" s="8">
        <v>194.91206274409231</v>
      </c>
      <c r="G395" s="7">
        <v>78823</v>
      </c>
      <c r="H395" s="9">
        <v>15363553.521677591</v>
      </c>
      <c r="I395" s="5" t="s">
        <v>1524</v>
      </c>
    </row>
    <row r="396" spans="1:9" x14ac:dyDescent="0.25">
      <c r="A396" s="6">
        <v>45996.875</v>
      </c>
      <c r="B396" s="5" t="s">
        <v>19</v>
      </c>
      <c r="C396" s="8">
        <v>195.09444959390709</v>
      </c>
      <c r="D396" s="8">
        <v>195.2744428023822</v>
      </c>
      <c r="E396" s="8">
        <v>194.97835822473709</v>
      </c>
      <c r="F396" s="8">
        <v>195.17564491755871</v>
      </c>
      <c r="G396" s="7">
        <v>136668</v>
      </c>
      <c r="H396" s="9">
        <v>26674265.039592911</v>
      </c>
      <c r="I396" s="5" t="s">
        <v>1525</v>
      </c>
    </row>
    <row r="397" spans="1:9" x14ac:dyDescent="0.25">
      <c r="A397" s="6">
        <v>45992.604166666657</v>
      </c>
      <c r="B397" s="5" t="s">
        <v>28</v>
      </c>
      <c r="C397" s="8">
        <v>415.02740064697252</v>
      </c>
      <c r="D397" s="8">
        <v>415.43818539463928</v>
      </c>
      <c r="E397" s="8">
        <v>414.81478839625208</v>
      </c>
      <c r="F397" s="8">
        <v>415.0409493321838</v>
      </c>
      <c r="G397" s="7">
        <v>39628</v>
      </c>
      <c r="H397" s="9">
        <v>16447242.74013578</v>
      </c>
      <c r="I397" s="5" t="s">
        <v>1526</v>
      </c>
    </row>
    <row r="398" spans="1:9" x14ac:dyDescent="0.25">
      <c r="A398" s="6">
        <v>45992.607638888891</v>
      </c>
      <c r="B398" s="5" t="s">
        <v>28</v>
      </c>
      <c r="C398" s="8">
        <v>414.51464542257531</v>
      </c>
      <c r="D398" s="8">
        <v>415.03548962581891</v>
      </c>
      <c r="E398" s="8">
        <v>414.47340711925358</v>
      </c>
      <c r="F398" s="8">
        <v>414.63575227117548</v>
      </c>
      <c r="G398" s="7">
        <v>66815</v>
      </c>
      <c r="H398" s="9">
        <v>27703887.787998591</v>
      </c>
      <c r="I398" s="5" t="s">
        <v>1527</v>
      </c>
    </row>
    <row r="399" spans="1:9" x14ac:dyDescent="0.25">
      <c r="A399" s="6">
        <v>45992.611111111109</v>
      </c>
      <c r="B399" s="5" t="s">
        <v>28</v>
      </c>
      <c r="C399" s="8">
        <v>414.87213686733207</v>
      </c>
      <c r="D399" s="8">
        <v>415.13823268320772</v>
      </c>
      <c r="E399" s="8">
        <v>414.62430527555563</v>
      </c>
      <c r="F399" s="8">
        <v>414.89292349412727</v>
      </c>
      <c r="G399" s="7">
        <v>34354</v>
      </c>
      <c r="H399" s="9">
        <v>14253231.493717249</v>
      </c>
      <c r="I399" s="5" t="s">
        <v>1528</v>
      </c>
    </row>
    <row r="400" spans="1:9" x14ac:dyDescent="0.25">
      <c r="A400" s="6">
        <v>45992.614583333343</v>
      </c>
      <c r="B400" s="5" t="s">
        <v>28</v>
      </c>
      <c r="C400" s="8">
        <v>414.60124253939529</v>
      </c>
      <c r="D400" s="8">
        <v>415.02580672152169</v>
      </c>
      <c r="E400" s="8">
        <v>414.57236642433298</v>
      </c>
      <c r="F400" s="8">
        <v>414.76520874398187</v>
      </c>
      <c r="G400" s="7">
        <v>55964</v>
      </c>
      <c r="H400" s="9">
        <v>23211920.1421482</v>
      </c>
      <c r="I400" s="5" t="s">
        <v>1529</v>
      </c>
    </row>
    <row r="401" spans="1:9" x14ac:dyDescent="0.25">
      <c r="A401" s="6">
        <v>45992.618055555547</v>
      </c>
      <c r="B401" s="5" t="s">
        <v>28</v>
      </c>
      <c r="C401" s="8">
        <v>415.53320730565758</v>
      </c>
      <c r="D401" s="8">
        <v>415.62148615568032</v>
      </c>
      <c r="E401" s="8">
        <v>415.22243939066271</v>
      </c>
      <c r="F401" s="8">
        <v>415.28645676595499</v>
      </c>
      <c r="G401" s="7">
        <v>55621</v>
      </c>
      <c r="H401" s="9">
        <v>23098648.011779182</v>
      </c>
      <c r="I401" s="5" t="s">
        <v>1530</v>
      </c>
    </row>
    <row r="402" spans="1:9" x14ac:dyDescent="0.25">
      <c r="A402" s="6">
        <v>45992.621527777781</v>
      </c>
      <c r="B402" s="5" t="s">
        <v>28</v>
      </c>
      <c r="C402" s="8">
        <v>415.32161857851571</v>
      </c>
      <c r="D402" s="8">
        <v>415.52020969561619</v>
      </c>
      <c r="E402" s="8">
        <v>415.12836705851589</v>
      </c>
      <c r="F402" s="8">
        <v>415.25821572354891</v>
      </c>
      <c r="G402" s="7">
        <v>53797</v>
      </c>
      <c r="H402" s="9">
        <v>22339646.231279761</v>
      </c>
      <c r="I402" s="5" t="s">
        <v>1531</v>
      </c>
    </row>
    <row r="403" spans="1:9" x14ac:dyDescent="0.25">
      <c r="A403" s="6">
        <v>45992.625</v>
      </c>
      <c r="B403" s="5" t="s">
        <v>28</v>
      </c>
      <c r="C403" s="8">
        <v>415.79304851480941</v>
      </c>
      <c r="D403" s="8">
        <v>416.21145631263198</v>
      </c>
      <c r="E403" s="8">
        <v>415.57696823929331</v>
      </c>
      <c r="F403" s="8">
        <v>415.63071352790979</v>
      </c>
      <c r="G403" s="7">
        <v>36567</v>
      </c>
      <c r="H403" s="9">
        <v>15198368.30157508</v>
      </c>
      <c r="I403" s="5" t="s">
        <v>1532</v>
      </c>
    </row>
    <row r="404" spans="1:9" x14ac:dyDescent="0.25">
      <c r="A404" s="6">
        <v>45992.628472222219</v>
      </c>
      <c r="B404" s="5" t="s">
        <v>28</v>
      </c>
      <c r="C404" s="8">
        <v>414.93507067234339</v>
      </c>
      <c r="D404" s="8">
        <v>415.34571511331939</v>
      </c>
      <c r="E404" s="8">
        <v>414.51107409115008</v>
      </c>
      <c r="F404" s="8">
        <v>414.9786533635646</v>
      </c>
      <c r="G404" s="7">
        <v>51897</v>
      </c>
      <c r="H404" s="9">
        <v>21536147.17360891</v>
      </c>
      <c r="I404" s="5" t="s">
        <v>1533</v>
      </c>
    </row>
    <row r="405" spans="1:9" x14ac:dyDescent="0.25">
      <c r="A405" s="6">
        <v>45992.631944444453</v>
      </c>
      <c r="B405" s="5" t="s">
        <v>28</v>
      </c>
      <c r="C405" s="8">
        <v>414.66881748763183</v>
      </c>
      <c r="D405" s="8">
        <v>415.13745373451599</v>
      </c>
      <c r="E405" s="8">
        <v>414.52034317208921</v>
      </c>
      <c r="F405" s="8">
        <v>414.58994937249702</v>
      </c>
      <c r="G405" s="7">
        <v>65587</v>
      </c>
      <c r="H405" s="9">
        <v>27191711.009493958</v>
      </c>
      <c r="I405" s="5" t="s">
        <v>1534</v>
      </c>
    </row>
    <row r="406" spans="1:9" x14ac:dyDescent="0.25">
      <c r="A406" s="6">
        <v>45992.635416666657</v>
      </c>
      <c r="B406" s="5" t="s">
        <v>28</v>
      </c>
      <c r="C406" s="8">
        <v>413.99818258020707</v>
      </c>
      <c r="D406" s="8">
        <v>414.18491451199998</v>
      </c>
      <c r="E406" s="8">
        <v>413.69655331002679</v>
      </c>
      <c r="F406" s="8">
        <v>413.98204812582782</v>
      </c>
      <c r="G406" s="7">
        <v>30670</v>
      </c>
      <c r="H406" s="9">
        <v>12696829.41601914</v>
      </c>
      <c r="I406" s="5" t="s">
        <v>1535</v>
      </c>
    </row>
    <row r="407" spans="1:9" x14ac:dyDescent="0.25">
      <c r="A407" s="6">
        <v>45992.638888888891</v>
      </c>
      <c r="B407" s="5" t="s">
        <v>28</v>
      </c>
      <c r="C407" s="8">
        <v>414.35291983538508</v>
      </c>
      <c r="D407" s="8">
        <v>414.87239112316911</v>
      </c>
      <c r="E407" s="8">
        <v>414.34335486142788</v>
      </c>
      <c r="F407" s="8">
        <v>414.5596728754652</v>
      </c>
      <c r="G407" s="7">
        <v>65149</v>
      </c>
      <c r="H407" s="9">
        <v>27008148.12816368</v>
      </c>
      <c r="I407" s="5" t="s">
        <v>1536</v>
      </c>
    </row>
    <row r="408" spans="1:9" x14ac:dyDescent="0.25">
      <c r="A408" s="6">
        <v>45992.642361111109</v>
      </c>
      <c r="B408" s="5" t="s">
        <v>28</v>
      </c>
      <c r="C408" s="8">
        <v>414.65914712263901</v>
      </c>
      <c r="D408" s="8">
        <v>414.89248434489872</v>
      </c>
      <c r="E408" s="8">
        <v>414.47151336690348</v>
      </c>
      <c r="F408" s="8">
        <v>414.65137963912753</v>
      </c>
      <c r="G408" s="7">
        <v>63076</v>
      </c>
      <c r="H408" s="9">
        <v>26154550.42211761</v>
      </c>
      <c r="I408" s="5" t="s">
        <v>1537</v>
      </c>
    </row>
    <row r="409" spans="1:9" x14ac:dyDescent="0.25">
      <c r="A409" s="6">
        <v>45992.645833333343</v>
      </c>
      <c r="B409" s="5" t="s">
        <v>28</v>
      </c>
      <c r="C409" s="8">
        <v>414.28711898653393</v>
      </c>
      <c r="D409" s="8">
        <v>414.38263532260481</v>
      </c>
      <c r="E409" s="8">
        <v>413.86822247333862</v>
      </c>
      <c r="F409" s="8">
        <v>414.09342451915171</v>
      </c>
      <c r="G409" s="7">
        <v>35466</v>
      </c>
      <c r="H409" s="9">
        <v>14686237.393996229</v>
      </c>
      <c r="I409" s="5" t="s">
        <v>1538</v>
      </c>
    </row>
    <row r="410" spans="1:9" x14ac:dyDescent="0.25">
      <c r="A410" s="6">
        <v>45992.649305555547</v>
      </c>
      <c r="B410" s="5" t="s">
        <v>28</v>
      </c>
      <c r="C410" s="8">
        <v>413.55863812094839</v>
      </c>
      <c r="D410" s="8">
        <v>413.8163164329934</v>
      </c>
      <c r="E410" s="8">
        <v>413.31709263581331</v>
      </c>
      <c r="F410" s="8">
        <v>413.63479176956741</v>
      </c>
      <c r="G410" s="7">
        <v>33462</v>
      </c>
      <c r="H410" s="9">
        <v>13841047.402193271</v>
      </c>
      <c r="I410" s="5" t="s">
        <v>1539</v>
      </c>
    </row>
    <row r="411" spans="1:9" x14ac:dyDescent="0.25">
      <c r="A411" s="6">
        <v>45992.652777777781</v>
      </c>
      <c r="B411" s="5" t="s">
        <v>28</v>
      </c>
      <c r="C411" s="8">
        <v>413.55118809449658</v>
      </c>
      <c r="D411" s="8">
        <v>413.8006982182344</v>
      </c>
      <c r="E411" s="8">
        <v>413.50887080947177</v>
      </c>
      <c r="F411" s="8">
        <v>413.68175476048299</v>
      </c>
      <c r="G411" s="7">
        <v>48739</v>
      </c>
      <c r="H411" s="9">
        <v>20162435.045271181</v>
      </c>
      <c r="I411" s="5" t="s">
        <v>1540</v>
      </c>
    </row>
    <row r="412" spans="1:9" x14ac:dyDescent="0.25">
      <c r="A412" s="6">
        <v>45992.65625</v>
      </c>
      <c r="B412" s="5" t="s">
        <v>28</v>
      </c>
      <c r="C412" s="8">
        <v>414.4856671840102</v>
      </c>
      <c r="D412" s="8">
        <v>414.75960352503722</v>
      </c>
      <c r="E412" s="8">
        <v>414.14667161556798</v>
      </c>
      <c r="F412" s="8">
        <v>414.49578791723849</v>
      </c>
      <c r="G412" s="7">
        <v>56634</v>
      </c>
      <c r="H412" s="9">
        <v>23474554.45290488</v>
      </c>
      <c r="I412" s="5" t="s">
        <v>1541</v>
      </c>
    </row>
    <row r="413" spans="1:9" x14ac:dyDescent="0.25">
      <c r="A413" s="6">
        <v>45992.659722222219</v>
      </c>
      <c r="B413" s="5" t="s">
        <v>28</v>
      </c>
      <c r="C413" s="8">
        <v>414.52907259627477</v>
      </c>
      <c r="D413" s="8">
        <v>414.62305110367839</v>
      </c>
      <c r="E413" s="8">
        <v>414.30169199878242</v>
      </c>
      <c r="F413" s="8">
        <v>414.51604678279278</v>
      </c>
      <c r="G413" s="7">
        <v>20046</v>
      </c>
      <c r="H413" s="9">
        <v>8309388.673807865</v>
      </c>
      <c r="I413" s="5" t="s">
        <v>1542</v>
      </c>
    </row>
    <row r="414" spans="1:9" x14ac:dyDescent="0.25">
      <c r="A414" s="6">
        <v>45992.663194444453</v>
      </c>
      <c r="B414" s="5" t="s">
        <v>28</v>
      </c>
      <c r="C414" s="8">
        <v>414.17415767600318</v>
      </c>
      <c r="D414" s="8">
        <v>414.36347892419479</v>
      </c>
      <c r="E414" s="8">
        <v>413.96828211447439</v>
      </c>
      <c r="F414" s="8">
        <v>414.29214384919538</v>
      </c>
      <c r="G414" s="7">
        <v>128754</v>
      </c>
      <c r="H414" s="9">
        <v>53341770.689159296</v>
      </c>
      <c r="I414" s="5" t="s">
        <v>1543</v>
      </c>
    </row>
    <row r="415" spans="1:9" x14ac:dyDescent="0.25">
      <c r="A415" s="6">
        <v>45992.666666666657</v>
      </c>
      <c r="B415" s="5" t="s">
        <v>28</v>
      </c>
      <c r="C415" s="8">
        <v>414.60253678152492</v>
      </c>
      <c r="D415" s="8">
        <v>414.75236445334542</v>
      </c>
      <c r="E415" s="8">
        <v>414.30536318654788</v>
      </c>
      <c r="F415" s="8">
        <v>414.47961444241838</v>
      </c>
      <c r="G415" s="7">
        <v>72959</v>
      </c>
      <c r="H415" s="9">
        <v>30240018.190104399</v>
      </c>
      <c r="I415" s="5" t="s">
        <v>1544</v>
      </c>
    </row>
    <row r="416" spans="1:9" x14ac:dyDescent="0.25">
      <c r="A416" s="6">
        <v>45992.670138888891</v>
      </c>
      <c r="B416" s="5" t="s">
        <v>28</v>
      </c>
      <c r="C416" s="8">
        <v>414.32937284610921</v>
      </c>
      <c r="D416" s="8">
        <v>414.44943030284361</v>
      </c>
      <c r="E416" s="8">
        <v>413.88728178136262</v>
      </c>
      <c r="F416" s="8">
        <v>414.37267077747481</v>
      </c>
      <c r="G416" s="7">
        <v>78197</v>
      </c>
      <c r="H416" s="9">
        <v>32402699.73678619</v>
      </c>
      <c r="I416" s="5" t="s">
        <v>1545</v>
      </c>
    </row>
    <row r="417" spans="1:9" x14ac:dyDescent="0.25">
      <c r="A417" s="6">
        <v>45992.673611111109</v>
      </c>
      <c r="B417" s="5" t="s">
        <v>28</v>
      </c>
      <c r="C417" s="8">
        <v>414.80281720208268</v>
      </c>
      <c r="D417" s="8">
        <v>415.02835145894238</v>
      </c>
      <c r="E417" s="8">
        <v>414.70721662284677</v>
      </c>
      <c r="F417" s="8">
        <v>414.96626901345519</v>
      </c>
      <c r="G417" s="7">
        <v>71503</v>
      </c>
      <c r="H417" s="9">
        <v>29671333.13326909</v>
      </c>
      <c r="I417" s="5" t="s">
        <v>1546</v>
      </c>
    </row>
    <row r="418" spans="1:9" x14ac:dyDescent="0.25">
      <c r="A418" s="6">
        <v>45992.677083333343</v>
      </c>
      <c r="B418" s="5" t="s">
        <v>28</v>
      </c>
      <c r="C418" s="8">
        <v>414.21726155841031</v>
      </c>
      <c r="D418" s="8">
        <v>414.97953873775208</v>
      </c>
      <c r="E418" s="8">
        <v>414.11510741797599</v>
      </c>
      <c r="F418" s="8">
        <v>414.44813846502961</v>
      </c>
      <c r="G418" s="7">
        <v>135523</v>
      </c>
      <c r="H418" s="9">
        <v>56167255.069196209</v>
      </c>
      <c r="I418" s="5" t="s">
        <v>1547</v>
      </c>
    </row>
    <row r="419" spans="1:9" x14ac:dyDescent="0.25">
      <c r="A419" s="6">
        <v>45992.680555555547</v>
      </c>
      <c r="B419" s="5" t="s">
        <v>28</v>
      </c>
      <c r="C419" s="8">
        <v>414.37362493725249</v>
      </c>
      <c r="D419" s="8">
        <v>414.60752733710609</v>
      </c>
      <c r="E419" s="8">
        <v>414.29644604395861</v>
      </c>
      <c r="F419" s="8">
        <v>414.52547628208413</v>
      </c>
      <c r="G419" s="7">
        <v>63384</v>
      </c>
      <c r="H419" s="9">
        <v>26274282.788663618</v>
      </c>
      <c r="I419" s="5" t="s">
        <v>1548</v>
      </c>
    </row>
    <row r="420" spans="1:9" x14ac:dyDescent="0.25">
      <c r="A420" s="6">
        <v>45992.684027777781</v>
      </c>
      <c r="B420" s="5" t="s">
        <v>28</v>
      </c>
      <c r="C420" s="8">
        <v>414.19225014205369</v>
      </c>
      <c r="D420" s="8">
        <v>414.4877979731379</v>
      </c>
      <c r="E420" s="8">
        <v>414.01608699216018</v>
      </c>
      <c r="F420" s="8">
        <v>414.35408283756459</v>
      </c>
      <c r="G420" s="7">
        <v>66501</v>
      </c>
      <c r="H420" s="9">
        <v>27554960.862780891</v>
      </c>
      <c r="I420" s="5" t="s">
        <v>1549</v>
      </c>
    </row>
    <row r="421" spans="1:9" x14ac:dyDescent="0.25">
      <c r="A421" s="6">
        <v>45992.6875</v>
      </c>
      <c r="B421" s="5" t="s">
        <v>28</v>
      </c>
      <c r="C421" s="8">
        <v>414.67507572211957</v>
      </c>
      <c r="D421" s="8">
        <v>415.06962107262723</v>
      </c>
      <c r="E421" s="8">
        <v>414.65933652947751</v>
      </c>
      <c r="F421" s="8">
        <v>414.80857502878922</v>
      </c>
      <c r="G421" s="7">
        <v>64156</v>
      </c>
      <c r="H421" s="9">
        <v>26612458.939546999</v>
      </c>
      <c r="I421" s="5" t="s">
        <v>1550</v>
      </c>
    </row>
    <row r="422" spans="1:9" x14ac:dyDescent="0.25">
      <c r="A422" s="6">
        <v>45992.690972222219</v>
      </c>
      <c r="B422" s="5" t="s">
        <v>28</v>
      </c>
      <c r="C422" s="8">
        <v>415.26116724565151</v>
      </c>
      <c r="D422" s="8">
        <v>415.34251995981663</v>
      </c>
      <c r="E422" s="8">
        <v>415.09872024731612</v>
      </c>
      <c r="F422" s="8">
        <v>415.27642462895062</v>
      </c>
      <c r="G422" s="7">
        <v>75487</v>
      </c>
      <c r="H422" s="9">
        <v>31347971.465965591</v>
      </c>
      <c r="I422" s="5" t="s">
        <v>1551</v>
      </c>
    </row>
    <row r="423" spans="1:9" x14ac:dyDescent="0.25">
      <c r="A423" s="6">
        <v>45992.694444444453</v>
      </c>
      <c r="B423" s="5" t="s">
        <v>28</v>
      </c>
      <c r="C423" s="8">
        <v>415.74982800727793</v>
      </c>
      <c r="D423" s="8">
        <v>415.88701901815131</v>
      </c>
      <c r="E423" s="8">
        <v>415.48238502601077</v>
      </c>
      <c r="F423" s="8">
        <v>415.58657751684228</v>
      </c>
      <c r="G423" s="7">
        <v>142247</v>
      </c>
      <c r="H423" s="9">
        <v>59115943.892038263</v>
      </c>
      <c r="I423" s="5" t="s">
        <v>1552</v>
      </c>
    </row>
    <row r="424" spans="1:9" x14ac:dyDescent="0.25">
      <c r="A424" s="6">
        <v>45992.697916666657</v>
      </c>
      <c r="B424" s="5" t="s">
        <v>28</v>
      </c>
      <c r="C424" s="8">
        <v>415.63533468541738</v>
      </c>
      <c r="D424" s="8">
        <v>415.81419883580668</v>
      </c>
      <c r="E424" s="8">
        <v>415.04825249347061</v>
      </c>
      <c r="F424" s="8">
        <v>415.58475474009362</v>
      </c>
      <c r="G424" s="7">
        <v>46115</v>
      </c>
      <c r="H424" s="9">
        <v>19164690.96483941</v>
      </c>
      <c r="I424" s="5" t="s">
        <v>1553</v>
      </c>
    </row>
    <row r="425" spans="1:9" x14ac:dyDescent="0.25">
      <c r="A425" s="6">
        <v>45992.701388888891</v>
      </c>
      <c r="B425" s="5" t="s">
        <v>28</v>
      </c>
      <c r="C425" s="8">
        <v>415.69161270196253</v>
      </c>
      <c r="D425" s="8">
        <v>415.70708108489771</v>
      </c>
      <c r="E425" s="8">
        <v>415.41447974106057</v>
      </c>
      <c r="F425" s="8">
        <v>415.6212503396543</v>
      </c>
      <c r="G425" s="7">
        <v>85743</v>
      </c>
      <c r="H425" s="9">
        <v>35636612.867872983</v>
      </c>
      <c r="I425" s="5" t="s">
        <v>1554</v>
      </c>
    </row>
    <row r="426" spans="1:9" x14ac:dyDescent="0.25">
      <c r="A426" s="6">
        <v>45992.704861111109</v>
      </c>
      <c r="B426" s="5" t="s">
        <v>28</v>
      </c>
      <c r="C426" s="8">
        <v>416.00913136449299</v>
      </c>
      <c r="D426" s="8">
        <v>416.03910260374181</v>
      </c>
      <c r="E426" s="8">
        <v>415.95988235695881</v>
      </c>
      <c r="F426" s="8">
        <v>416.00407302551622</v>
      </c>
      <c r="G426" s="7">
        <v>44687</v>
      </c>
      <c r="H426" s="9">
        <v>18589974.011291239</v>
      </c>
      <c r="I426" s="5" t="s">
        <v>1555</v>
      </c>
    </row>
    <row r="427" spans="1:9" x14ac:dyDescent="0.25">
      <c r="A427" s="6">
        <v>45992.708333333343</v>
      </c>
      <c r="B427" s="5" t="s">
        <v>28</v>
      </c>
      <c r="C427" s="8">
        <v>416.4022032766307</v>
      </c>
      <c r="D427" s="8">
        <v>416.56070247981489</v>
      </c>
      <c r="E427" s="8">
        <v>416.33573276662293</v>
      </c>
      <c r="F427" s="8">
        <v>416.55252548313649</v>
      </c>
      <c r="G427" s="7">
        <v>28715</v>
      </c>
      <c r="H427" s="9">
        <v>11961305.76924826</v>
      </c>
      <c r="I427" s="5" t="s">
        <v>1556</v>
      </c>
    </row>
    <row r="428" spans="1:9" x14ac:dyDescent="0.25">
      <c r="A428" s="6">
        <v>45992.711805555547</v>
      </c>
      <c r="B428" s="5" t="s">
        <v>28</v>
      </c>
      <c r="C428" s="8">
        <v>416.80735712110032</v>
      </c>
      <c r="D428" s="8">
        <v>416.91228762372708</v>
      </c>
      <c r="E428" s="8">
        <v>416.73471538115467</v>
      </c>
      <c r="F428" s="8">
        <v>416.84612810299512</v>
      </c>
      <c r="G428" s="7">
        <v>35499</v>
      </c>
      <c r="H428" s="9">
        <v>14797620.70152822</v>
      </c>
      <c r="I428" s="5" t="s">
        <v>1557</v>
      </c>
    </row>
    <row r="429" spans="1:9" x14ac:dyDescent="0.25">
      <c r="A429" s="6">
        <v>45992.715277777781</v>
      </c>
      <c r="B429" s="5" t="s">
        <v>28</v>
      </c>
      <c r="C429" s="8">
        <v>416.95353336775003</v>
      </c>
      <c r="D429" s="8">
        <v>417.21336257066639</v>
      </c>
      <c r="E429" s="8">
        <v>416.80602751201042</v>
      </c>
      <c r="F429" s="8">
        <v>416.93519922301402</v>
      </c>
      <c r="G429" s="7">
        <v>33710</v>
      </c>
      <c r="H429" s="9">
        <v>14054885.565807801</v>
      </c>
      <c r="I429" s="5" t="s">
        <v>1558</v>
      </c>
    </row>
    <row r="430" spans="1:9" x14ac:dyDescent="0.25">
      <c r="A430" s="6">
        <v>45992.71875</v>
      </c>
      <c r="B430" s="5" t="s">
        <v>28</v>
      </c>
      <c r="C430" s="8">
        <v>417.46910860987077</v>
      </c>
      <c r="D430" s="8">
        <v>417.67159666783408</v>
      </c>
      <c r="E430" s="8">
        <v>417.23193285975418</v>
      </c>
      <c r="F430" s="8">
        <v>417.36415933961632</v>
      </c>
      <c r="G430" s="7">
        <v>47483</v>
      </c>
      <c r="H430" s="9">
        <v>19817702.377923001</v>
      </c>
      <c r="I430" s="5" t="s">
        <v>1559</v>
      </c>
    </row>
    <row r="431" spans="1:9" x14ac:dyDescent="0.25">
      <c r="A431" s="6">
        <v>45992.722222222219</v>
      </c>
      <c r="B431" s="5" t="s">
        <v>28</v>
      </c>
      <c r="C431" s="8">
        <v>417.5401244859155</v>
      </c>
      <c r="D431" s="8">
        <v>418.31305858659272</v>
      </c>
      <c r="E431" s="8">
        <v>417.49154994453471</v>
      </c>
      <c r="F431" s="8">
        <v>417.58037838836702</v>
      </c>
      <c r="G431" s="7">
        <v>41224</v>
      </c>
      <c r="H431" s="9">
        <v>17214333.51868204</v>
      </c>
      <c r="I431" s="5" t="s">
        <v>1560</v>
      </c>
    </row>
    <row r="432" spans="1:9" x14ac:dyDescent="0.25">
      <c r="A432" s="6">
        <v>45992.725694444453</v>
      </c>
      <c r="B432" s="5" t="s">
        <v>28</v>
      </c>
      <c r="C432" s="8">
        <v>417.65441681165328</v>
      </c>
      <c r="D432" s="8">
        <v>417.78648235011161</v>
      </c>
      <c r="E432" s="8">
        <v>416.86740264012371</v>
      </c>
      <c r="F432" s="8">
        <v>417.46867261895869</v>
      </c>
      <c r="G432" s="7">
        <v>101647</v>
      </c>
      <c r="H432" s="9">
        <v>42434438.165699303</v>
      </c>
      <c r="I432" s="5" t="s">
        <v>1561</v>
      </c>
    </row>
    <row r="433" spans="1:9" x14ac:dyDescent="0.25">
      <c r="A433" s="6">
        <v>45992.729166666657</v>
      </c>
      <c r="B433" s="5" t="s">
        <v>28</v>
      </c>
      <c r="C433" s="8">
        <v>417.55124831019452</v>
      </c>
      <c r="D433" s="8">
        <v>417.79790153692949</v>
      </c>
      <c r="E433" s="8">
        <v>417.3309099244965</v>
      </c>
      <c r="F433" s="8">
        <v>417.60796091874693</v>
      </c>
      <c r="G433" s="7">
        <v>40319</v>
      </c>
      <c r="H433" s="9">
        <v>16837535.37628296</v>
      </c>
      <c r="I433" s="5" t="s">
        <v>1562</v>
      </c>
    </row>
    <row r="434" spans="1:9" x14ac:dyDescent="0.25">
      <c r="A434" s="6">
        <v>45992.732638888891</v>
      </c>
      <c r="B434" s="5" t="s">
        <v>28</v>
      </c>
      <c r="C434" s="8">
        <v>417.92298936534849</v>
      </c>
      <c r="D434" s="8">
        <v>418.12629505585198</v>
      </c>
      <c r="E434" s="8">
        <v>417.90904264716312</v>
      </c>
      <c r="F434" s="8">
        <v>417.98222055630561</v>
      </c>
      <c r="G434" s="7">
        <v>81384</v>
      </c>
      <c r="H434" s="9">
        <v>34017065.037754372</v>
      </c>
      <c r="I434" s="5" t="s">
        <v>1563</v>
      </c>
    </row>
    <row r="435" spans="1:9" x14ac:dyDescent="0.25">
      <c r="A435" s="6">
        <v>45992.736111111109</v>
      </c>
      <c r="B435" s="5" t="s">
        <v>28</v>
      </c>
      <c r="C435" s="8">
        <v>417.78783825414109</v>
      </c>
      <c r="D435" s="8">
        <v>418.22108862396362</v>
      </c>
      <c r="E435" s="8">
        <v>417.67972902617612</v>
      </c>
      <c r="F435" s="8">
        <v>418.03937883021428</v>
      </c>
      <c r="G435" s="7">
        <v>82789</v>
      </c>
      <c r="H435" s="9">
        <v>34609062.133974612</v>
      </c>
      <c r="I435" s="5" t="s">
        <v>1564</v>
      </c>
    </row>
    <row r="436" spans="1:9" x14ac:dyDescent="0.25">
      <c r="A436" s="6">
        <v>45992.739583333343</v>
      </c>
      <c r="B436" s="5" t="s">
        <v>28</v>
      </c>
      <c r="C436" s="8">
        <v>418.2820117956407</v>
      </c>
      <c r="D436" s="8">
        <v>418.35015893857792</v>
      </c>
      <c r="E436" s="8">
        <v>417.59272101704721</v>
      </c>
      <c r="F436" s="8">
        <v>418.09802842767039</v>
      </c>
      <c r="G436" s="7">
        <v>54324</v>
      </c>
      <c r="H436" s="9">
        <v>22712757.29630477</v>
      </c>
      <c r="I436" s="5" t="s">
        <v>1565</v>
      </c>
    </row>
    <row r="437" spans="1:9" x14ac:dyDescent="0.25">
      <c r="A437" s="6">
        <v>45992.743055555547</v>
      </c>
      <c r="B437" s="5" t="s">
        <v>28</v>
      </c>
      <c r="C437" s="8">
        <v>418.26999614361353</v>
      </c>
      <c r="D437" s="8">
        <v>418.41443470457199</v>
      </c>
      <c r="E437" s="8">
        <v>417.88950110258969</v>
      </c>
      <c r="F437" s="8">
        <v>418.30761642861012</v>
      </c>
      <c r="G437" s="7">
        <v>57612</v>
      </c>
      <c r="H437" s="9">
        <v>24099538.397685081</v>
      </c>
      <c r="I437" s="5" t="s">
        <v>1566</v>
      </c>
    </row>
    <row r="438" spans="1:9" x14ac:dyDescent="0.25">
      <c r="A438" s="6">
        <v>45992.746527777781</v>
      </c>
      <c r="B438" s="5" t="s">
        <v>28</v>
      </c>
      <c r="C438" s="8">
        <v>418.74381564429422</v>
      </c>
      <c r="D438" s="8">
        <v>419.09676491444537</v>
      </c>
      <c r="E438" s="8">
        <v>418.4939318572861</v>
      </c>
      <c r="F438" s="8">
        <v>418.71993506803261</v>
      </c>
      <c r="G438" s="7">
        <v>54424</v>
      </c>
      <c r="H438" s="9">
        <v>22788413.7461426</v>
      </c>
      <c r="I438" s="5" t="s">
        <v>1567</v>
      </c>
    </row>
    <row r="439" spans="1:9" x14ac:dyDescent="0.25">
      <c r="A439" s="6">
        <v>45992.75</v>
      </c>
      <c r="B439" s="5" t="s">
        <v>28</v>
      </c>
      <c r="C439" s="8">
        <v>418.75452582139928</v>
      </c>
      <c r="D439" s="8">
        <v>419.19648203242372</v>
      </c>
      <c r="E439" s="8">
        <v>418.50966281931198</v>
      </c>
      <c r="F439" s="8">
        <v>418.8513094969162</v>
      </c>
      <c r="G439" s="7">
        <v>50579</v>
      </c>
      <c r="H439" s="9">
        <v>21185080.38304453</v>
      </c>
      <c r="I439" s="5" t="s">
        <v>1568</v>
      </c>
    </row>
    <row r="440" spans="1:9" x14ac:dyDescent="0.25">
      <c r="A440" s="6">
        <v>45992.753472222219</v>
      </c>
      <c r="B440" s="5" t="s">
        <v>28</v>
      </c>
      <c r="C440" s="8">
        <v>418.4646004802409</v>
      </c>
      <c r="D440" s="8">
        <v>419.01052019055948</v>
      </c>
      <c r="E440" s="8">
        <v>418.38446382435973</v>
      </c>
      <c r="F440" s="8">
        <v>418.53287014364099</v>
      </c>
      <c r="G440" s="7">
        <v>45594</v>
      </c>
      <c r="H440" s="9">
        <v>19082587.681329168</v>
      </c>
      <c r="I440" s="5" t="s">
        <v>1569</v>
      </c>
    </row>
    <row r="441" spans="1:9" x14ac:dyDescent="0.25">
      <c r="A441" s="6">
        <v>45992.756944444453</v>
      </c>
      <c r="B441" s="5" t="s">
        <v>28</v>
      </c>
      <c r="C441" s="8">
        <v>418.74659550778171</v>
      </c>
      <c r="D441" s="8">
        <v>418.91892376534781</v>
      </c>
      <c r="E441" s="8">
        <v>418.52767856243469</v>
      </c>
      <c r="F441" s="8">
        <v>418.54360483463768</v>
      </c>
      <c r="G441" s="7">
        <v>37749</v>
      </c>
      <c r="H441" s="9">
        <v>15799602.538902741</v>
      </c>
      <c r="I441" s="5" t="s">
        <v>1570</v>
      </c>
    </row>
    <row r="442" spans="1:9" x14ac:dyDescent="0.25">
      <c r="A442" s="6">
        <v>45992.760416666657</v>
      </c>
      <c r="B442" s="5" t="s">
        <v>28</v>
      </c>
      <c r="C442" s="8">
        <v>417.87943083113481</v>
      </c>
      <c r="D442" s="8">
        <v>417.93501877729619</v>
      </c>
      <c r="E442" s="8">
        <v>417.48128431824188</v>
      </c>
      <c r="F442" s="8">
        <v>417.91757216382979</v>
      </c>
      <c r="G442" s="7">
        <v>37966</v>
      </c>
      <c r="H442" s="9">
        <v>15866658.54477196</v>
      </c>
      <c r="I442" s="5" t="s">
        <v>1571</v>
      </c>
    </row>
    <row r="443" spans="1:9" x14ac:dyDescent="0.25">
      <c r="A443" s="6">
        <v>45992.763888888891</v>
      </c>
      <c r="B443" s="5" t="s">
        <v>28</v>
      </c>
      <c r="C443" s="8">
        <v>417.64176370946512</v>
      </c>
      <c r="D443" s="8">
        <v>418.33884305474129</v>
      </c>
      <c r="E443" s="8">
        <v>417.63753130870549</v>
      </c>
      <c r="F443" s="8">
        <v>417.91535645311768</v>
      </c>
      <c r="G443" s="7">
        <v>73763</v>
      </c>
      <c r="H443" s="9">
        <v>30826690.438051321</v>
      </c>
      <c r="I443" s="5" t="s">
        <v>1572</v>
      </c>
    </row>
    <row r="444" spans="1:9" x14ac:dyDescent="0.25">
      <c r="A444" s="6">
        <v>45992.767361111109</v>
      </c>
      <c r="B444" s="5" t="s">
        <v>28</v>
      </c>
      <c r="C444" s="8">
        <v>418.17812070577997</v>
      </c>
      <c r="D444" s="8">
        <v>418.5828391457847</v>
      </c>
      <c r="E444" s="8">
        <v>417.81444185369378</v>
      </c>
      <c r="F444" s="8">
        <v>418.04849373029981</v>
      </c>
      <c r="G444" s="7">
        <v>55246</v>
      </c>
      <c r="H444" s="9">
        <v>23095507.084624141</v>
      </c>
      <c r="I444" s="5" t="s">
        <v>1573</v>
      </c>
    </row>
    <row r="445" spans="1:9" x14ac:dyDescent="0.25">
      <c r="A445" s="6">
        <v>45992.770833333343</v>
      </c>
      <c r="B445" s="5" t="s">
        <v>28</v>
      </c>
      <c r="C445" s="8">
        <v>419.08028602556527</v>
      </c>
      <c r="D445" s="8">
        <v>419.32629857026831</v>
      </c>
      <c r="E445" s="8">
        <v>418.66967164098918</v>
      </c>
      <c r="F445" s="8">
        <v>418.86393427510961</v>
      </c>
      <c r="G445" s="7">
        <v>69887</v>
      </c>
      <c r="H445" s="9">
        <v>29273143.774684589</v>
      </c>
      <c r="I445" s="5" t="s">
        <v>1574</v>
      </c>
    </row>
    <row r="446" spans="1:9" x14ac:dyDescent="0.25">
      <c r="A446" s="6">
        <v>45992.774305555547</v>
      </c>
      <c r="B446" s="5" t="s">
        <v>28</v>
      </c>
      <c r="C446" s="8">
        <v>418.05327046838943</v>
      </c>
      <c r="D446" s="8">
        <v>418.70388699538978</v>
      </c>
      <c r="E446" s="8">
        <v>417.95842318798731</v>
      </c>
      <c r="F446" s="8">
        <v>418.08981689877407</v>
      </c>
      <c r="G446" s="7">
        <v>87052</v>
      </c>
      <c r="H446" s="9">
        <v>36395554.740672082</v>
      </c>
      <c r="I446" s="5" t="s">
        <v>1575</v>
      </c>
    </row>
    <row r="447" spans="1:9" x14ac:dyDescent="0.25">
      <c r="A447" s="6">
        <v>45992.777777777781</v>
      </c>
      <c r="B447" s="5" t="s">
        <v>28</v>
      </c>
      <c r="C447" s="8">
        <v>418.3217865562853</v>
      </c>
      <c r="D447" s="8">
        <v>418.3331092614734</v>
      </c>
      <c r="E447" s="8">
        <v>418.07617257663298</v>
      </c>
      <c r="F447" s="8">
        <v>418.1134075020517</v>
      </c>
      <c r="G447" s="7">
        <v>54763</v>
      </c>
      <c r="H447" s="9">
        <v>22897144.535034861</v>
      </c>
      <c r="I447" s="5" t="s">
        <v>1576</v>
      </c>
    </row>
    <row r="448" spans="1:9" x14ac:dyDescent="0.25">
      <c r="A448" s="6">
        <v>45992.78125</v>
      </c>
      <c r="B448" s="5" t="s">
        <v>28</v>
      </c>
      <c r="C448" s="8">
        <v>418.33386001925209</v>
      </c>
      <c r="D448" s="8">
        <v>418.64815038979401</v>
      </c>
      <c r="E448" s="8">
        <v>417.91419294482893</v>
      </c>
      <c r="F448" s="8">
        <v>418.33193190761551</v>
      </c>
      <c r="G448" s="7">
        <v>69477</v>
      </c>
      <c r="H448" s="9">
        <v>29064447.633145399</v>
      </c>
      <c r="I448" s="5" t="s">
        <v>1577</v>
      </c>
    </row>
    <row r="449" spans="1:9" x14ac:dyDescent="0.25">
      <c r="A449" s="6">
        <v>45992.784722222219</v>
      </c>
      <c r="B449" s="5" t="s">
        <v>28</v>
      </c>
      <c r="C449" s="8">
        <v>418.00500654276351</v>
      </c>
      <c r="D449" s="8">
        <v>418.35866536706902</v>
      </c>
      <c r="E449" s="8">
        <v>417.75110690773289</v>
      </c>
      <c r="F449" s="8">
        <v>417.92815581438128</v>
      </c>
      <c r="G449" s="7">
        <v>67626</v>
      </c>
      <c r="H449" s="9">
        <v>28262809.465103351</v>
      </c>
      <c r="I449" s="5" t="s">
        <v>1578</v>
      </c>
    </row>
    <row r="450" spans="1:9" x14ac:dyDescent="0.25">
      <c r="A450" s="6">
        <v>45992.788194444453</v>
      </c>
      <c r="B450" s="5" t="s">
        <v>28</v>
      </c>
      <c r="C450" s="8">
        <v>418.47589543494172</v>
      </c>
      <c r="D450" s="8">
        <v>419.11765575990222</v>
      </c>
      <c r="E450" s="8">
        <v>417.90745187835978</v>
      </c>
      <c r="F450" s="8">
        <v>418.30329967012011</v>
      </c>
      <c r="G450" s="7">
        <v>80114</v>
      </c>
      <c r="H450" s="9">
        <v>33511950.549772002</v>
      </c>
      <c r="I450" s="5" t="s">
        <v>1579</v>
      </c>
    </row>
    <row r="451" spans="1:9" x14ac:dyDescent="0.25">
      <c r="A451" s="6">
        <v>45992.791666666657</v>
      </c>
      <c r="B451" s="5" t="s">
        <v>28</v>
      </c>
      <c r="C451" s="8">
        <v>418.44393067362142</v>
      </c>
      <c r="D451" s="8">
        <v>418.57791488301399</v>
      </c>
      <c r="E451" s="8">
        <v>418.27662926737412</v>
      </c>
      <c r="F451" s="8">
        <v>418.50646006973238</v>
      </c>
      <c r="G451" s="7">
        <v>36336</v>
      </c>
      <c r="H451" s="9">
        <v>15206850.7330938</v>
      </c>
      <c r="I451" s="5" t="s">
        <v>1580</v>
      </c>
    </row>
    <row r="452" spans="1:9" x14ac:dyDescent="0.25">
      <c r="A452" s="6">
        <v>45992.795138888891</v>
      </c>
      <c r="B452" s="5" t="s">
        <v>28</v>
      </c>
      <c r="C452" s="8">
        <v>418.82701770585072</v>
      </c>
      <c r="D452" s="8">
        <v>419.21088805770438</v>
      </c>
      <c r="E452" s="8">
        <v>418.62553509936521</v>
      </c>
      <c r="F452" s="8">
        <v>418.81065541675679</v>
      </c>
      <c r="G452" s="7">
        <v>57488</v>
      </c>
      <c r="H452" s="9">
        <v>24076586.958598521</v>
      </c>
      <c r="I452" s="5" t="s">
        <v>1581</v>
      </c>
    </row>
    <row r="453" spans="1:9" x14ac:dyDescent="0.25">
      <c r="A453" s="6">
        <v>45992.798611111109</v>
      </c>
      <c r="B453" s="5" t="s">
        <v>28</v>
      </c>
      <c r="C453" s="8">
        <v>418.9420517311321</v>
      </c>
      <c r="D453" s="8">
        <v>418.99424549795742</v>
      </c>
      <c r="E453" s="8">
        <v>418.701027611933</v>
      </c>
      <c r="F453" s="8">
        <v>418.85381716046447</v>
      </c>
      <c r="G453" s="7">
        <v>47642</v>
      </c>
      <c r="H453" s="9">
        <v>19955033.55715885</v>
      </c>
      <c r="I453" s="5" t="s">
        <v>1582</v>
      </c>
    </row>
    <row r="454" spans="1:9" x14ac:dyDescent="0.25">
      <c r="A454" s="6">
        <v>45992.802083333343</v>
      </c>
      <c r="B454" s="5" t="s">
        <v>28</v>
      </c>
      <c r="C454" s="8">
        <v>418.34117604354071</v>
      </c>
      <c r="D454" s="8">
        <v>418.74928750334988</v>
      </c>
      <c r="E454" s="8">
        <v>418.16115611952063</v>
      </c>
      <c r="F454" s="8">
        <v>418.40547814223868</v>
      </c>
      <c r="G454" s="7">
        <v>69232</v>
      </c>
      <c r="H454" s="9">
        <v>28967048.06274347</v>
      </c>
      <c r="I454" s="5" t="s">
        <v>1583</v>
      </c>
    </row>
    <row r="455" spans="1:9" x14ac:dyDescent="0.25">
      <c r="A455" s="6">
        <v>45992.805555555547</v>
      </c>
      <c r="B455" s="5" t="s">
        <v>28</v>
      </c>
      <c r="C455" s="8">
        <v>417.66658683208101</v>
      </c>
      <c r="D455" s="8">
        <v>418.01272162109291</v>
      </c>
      <c r="E455" s="8">
        <v>417.548836339415</v>
      </c>
      <c r="F455" s="8">
        <v>417.81327114723439</v>
      </c>
      <c r="G455" s="7">
        <v>60928</v>
      </c>
      <c r="H455" s="9">
        <v>25456526.9844587</v>
      </c>
      <c r="I455" s="5" t="s">
        <v>1584</v>
      </c>
    </row>
    <row r="456" spans="1:9" x14ac:dyDescent="0.25">
      <c r="A456" s="6">
        <v>45992.809027777781</v>
      </c>
      <c r="B456" s="5" t="s">
        <v>28</v>
      </c>
      <c r="C456" s="8">
        <v>417.24755336864501</v>
      </c>
      <c r="D456" s="8">
        <v>417.43178620205413</v>
      </c>
      <c r="E456" s="8">
        <v>416.82392564836982</v>
      </c>
      <c r="F456" s="8">
        <v>417.37084537027442</v>
      </c>
      <c r="G456" s="7">
        <v>71424</v>
      </c>
      <c r="H456" s="9">
        <v>29810295.25972648</v>
      </c>
      <c r="I456" s="5" t="s">
        <v>1585</v>
      </c>
    </row>
    <row r="457" spans="1:9" x14ac:dyDescent="0.25">
      <c r="A457" s="6">
        <v>45992.8125</v>
      </c>
      <c r="B457" s="5" t="s">
        <v>28</v>
      </c>
      <c r="C457" s="8">
        <v>416.82787592256523</v>
      </c>
      <c r="D457" s="8">
        <v>417.07359866306888</v>
      </c>
      <c r="E457" s="8">
        <v>416.57639089595102</v>
      </c>
      <c r="F457" s="8">
        <v>416.76434383427829</v>
      </c>
      <c r="G457" s="7">
        <v>39836</v>
      </c>
      <c r="H457" s="9">
        <v>16602224.400982309</v>
      </c>
      <c r="I457" s="5" t="s">
        <v>1586</v>
      </c>
    </row>
    <row r="458" spans="1:9" x14ac:dyDescent="0.25">
      <c r="A458" s="6">
        <v>45992.815972222219</v>
      </c>
      <c r="B458" s="5" t="s">
        <v>28</v>
      </c>
      <c r="C458" s="8">
        <v>417.03510885173262</v>
      </c>
      <c r="D458" s="8">
        <v>417.25373915998267</v>
      </c>
      <c r="E458" s="8">
        <v>416.66356186973769</v>
      </c>
      <c r="F458" s="8">
        <v>416.76207610713197</v>
      </c>
      <c r="G458" s="7">
        <v>47015</v>
      </c>
      <c r="H458" s="9">
        <v>19594069.008176811</v>
      </c>
      <c r="I458" s="5" t="s">
        <v>1587</v>
      </c>
    </row>
    <row r="459" spans="1:9" x14ac:dyDescent="0.25">
      <c r="A459" s="6">
        <v>45992.819444444453</v>
      </c>
      <c r="B459" s="5" t="s">
        <v>28</v>
      </c>
      <c r="C459" s="8">
        <v>416.26142581105518</v>
      </c>
      <c r="D459" s="8">
        <v>416.58028351629792</v>
      </c>
      <c r="E459" s="8">
        <v>415.95673239953152</v>
      </c>
      <c r="F459" s="8">
        <v>416.30782568668798</v>
      </c>
      <c r="G459" s="7">
        <v>44922</v>
      </c>
      <c r="H459" s="9">
        <v>18701380.1454974</v>
      </c>
      <c r="I459" s="5" t="s">
        <v>1588</v>
      </c>
    </row>
    <row r="460" spans="1:9" x14ac:dyDescent="0.25">
      <c r="A460" s="6">
        <v>45992.822916666657</v>
      </c>
      <c r="B460" s="5" t="s">
        <v>28</v>
      </c>
      <c r="C460" s="8">
        <v>416.04978744691903</v>
      </c>
      <c r="D460" s="8">
        <v>416.65677535396708</v>
      </c>
      <c r="E460" s="8">
        <v>415.88325736067179</v>
      </c>
      <c r="F460" s="8">
        <v>416.15319462213472</v>
      </c>
      <c r="G460" s="7">
        <v>105527</v>
      </c>
      <c r="H460" s="9">
        <v>43915398.168890007</v>
      </c>
      <c r="I460" s="5" t="s">
        <v>1589</v>
      </c>
    </row>
    <row r="461" spans="1:9" x14ac:dyDescent="0.25">
      <c r="A461" s="6">
        <v>45992.826388888891</v>
      </c>
      <c r="B461" s="5" t="s">
        <v>28</v>
      </c>
      <c r="C461" s="8">
        <v>416.68773435253593</v>
      </c>
      <c r="D461" s="8">
        <v>417.08591086876248</v>
      </c>
      <c r="E461" s="8">
        <v>416.39903960936931</v>
      </c>
      <c r="F461" s="8">
        <v>416.73826267564448</v>
      </c>
      <c r="G461" s="7">
        <v>54405</v>
      </c>
      <c r="H461" s="9">
        <v>22672645.180868439</v>
      </c>
      <c r="I461" s="5" t="s">
        <v>1590</v>
      </c>
    </row>
    <row r="462" spans="1:9" x14ac:dyDescent="0.25">
      <c r="A462" s="6">
        <v>45992.829861111109</v>
      </c>
      <c r="B462" s="5" t="s">
        <v>28</v>
      </c>
      <c r="C462" s="8">
        <v>416.72253176613992</v>
      </c>
      <c r="D462" s="8">
        <v>416.83672761168611</v>
      </c>
      <c r="E462" s="8">
        <v>416.25223502719132</v>
      </c>
      <c r="F462" s="8">
        <v>416.76049878675133</v>
      </c>
      <c r="G462" s="7">
        <v>44334</v>
      </c>
      <c r="H462" s="9">
        <v>18476659.953211829</v>
      </c>
      <c r="I462" s="5" t="s">
        <v>1591</v>
      </c>
    </row>
    <row r="463" spans="1:9" x14ac:dyDescent="0.25">
      <c r="A463" s="6">
        <v>45992.833333333343</v>
      </c>
      <c r="B463" s="5" t="s">
        <v>28</v>
      </c>
      <c r="C463" s="8">
        <v>416.45555281595381</v>
      </c>
      <c r="D463" s="8">
        <v>416.48760380183421</v>
      </c>
      <c r="E463" s="8">
        <v>415.88293333639632</v>
      </c>
      <c r="F463" s="8">
        <v>416.33797719487438</v>
      </c>
      <c r="G463" s="7">
        <v>43053</v>
      </c>
      <c r="H463" s="9">
        <v>17924598.932170931</v>
      </c>
      <c r="I463" s="5" t="s">
        <v>1592</v>
      </c>
    </row>
    <row r="464" spans="1:9" x14ac:dyDescent="0.25">
      <c r="A464" s="6">
        <v>45992.836805555547</v>
      </c>
      <c r="B464" s="5" t="s">
        <v>28</v>
      </c>
      <c r="C464" s="8">
        <v>415.98740860320021</v>
      </c>
      <c r="D464" s="8">
        <v>416.15281210438462</v>
      </c>
      <c r="E464" s="8">
        <v>415.72104738215671</v>
      </c>
      <c r="F464" s="8">
        <v>416.05450680838919</v>
      </c>
      <c r="G464" s="7">
        <v>58047</v>
      </c>
      <c r="H464" s="9">
        <v>24150715.956706569</v>
      </c>
      <c r="I464" s="5" t="s">
        <v>1593</v>
      </c>
    </row>
    <row r="465" spans="1:9" x14ac:dyDescent="0.25">
      <c r="A465" s="6">
        <v>45992.840277777781</v>
      </c>
      <c r="B465" s="5" t="s">
        <v>28</v>
      </c>
      <c r="C465" s="8">
        <v>416.05410154113872</v>
      </c>
      <c r="D465" s="8">
        <v>416.411313595612</v>
      </c>
      <c r="E465" s="8">
        <v>415.69997862674319</v>
      </c>
      <c r="F465" s="8">
        <v>416.13781068916359</v>
      </c>
      <c r="G465" s="7">
        <v>56056</v>
      </c>
      <c r="H465" s="9">
        <v>23327021.11599176</v>
      </c>
      <c r="I465" s="5" t="s">
        <v>1594</v>
      </c>
    </row>
    <row r="466" spans="1:9" x14ac:dyDescent="0.25">
      <c r="A466" s="6">
        <v>45992.84375</v>
      </c>
      <c r="B466" s="5" t="s">
        <v>28</v>
      </c>
      <c r="C466" s="8">
        <v>416.15681354275671</v>
      </c>
      <c r="D466" s="8">
        <v>416.40760468001491</v>
      </c>
      <c r="E466" s="8">
        <v>415.68527311468648</v>
      </c>
      <c r="F466" s="8">
        <v>415.88877971335432</v>
      </c>
      <c r="G466" s="7">
        <v>34030</v>
      </c>
      <c r="H466" s="9">
        <v>14152695.17364545</v>
      </c>
      <c r="I466" s="5" t="s">
        <v>1595</v>
      </c>
    </row>
    <row r="467" spans="1:9" x14ac:dyDescent="0.25">
      <c r="A467" s="6">
        <v>45992.847222222219</v>
      </c>
      <c r="B467" s="5" t="s">
        <v>28</v>
      </c>
      <c r="C467" s="8">
        <v>415.96723681928552</v>
      </c>
      <c r="D467" s="8">
        <v>416.08344753510079</v>
      </c>
      <c r="E467" s="8">
        <v>415.76642455055918</v>
      </c>
      <c r="F467" s="8">
        <v>415.8079192586124</v>
      </c>
      <c r="G467" s="7">
        <v>51816</v>
      </c>
      <c r="H467" s="9">
        <v>21545503.144304261</v>
      </c>
      <c r="I467" s="5" t="s">
        <v>1596</v>
      </c>
    </row>
    <row r="468" spans="1:9" x14ac:dyDescent="0.25">
      <c r="A468" s="6">
        <v>45992.850694444453</v>
      </c>
      <c r="B468" s="5" t="s">
        <v>28</v>
      </c>
      <c r="C468" s="8">
        <v>416.2657793923704</v>
      </c>
      <c r="D468" s="8">
        <v>416.56010951832548</v>
      </c>
      <c r="E468" s="8">
        <v>416.02983772087919</v>
      </c>
      <c r="F468" s="8">
        <v>416.08156292210458</v>
      </c>
      <c r="G468" s="7">
        <v>57445</v>
      </c>
      <c r="H468" s="9">
        <v>23901805.382060301</v>
      </c>
      <c r="I468" s="5" t="s">
        <v>1597</v>
      </c>
    </row>
    <row r="469" spans="1:9" x14ac:dyDescent="0.25">
      <c r="A469" s="6">
        <v>45992.854166666657</v>
      </c>
      <c r="B469" s="5" t="s">
        <v>28</v>
      </c>
      <c r="C469" s="8">
        <v>415.73996452075551</v>
      </c>
      <c r="D469" s="8">
        <v>416.10446738986991</v>
      </c>
      <c r="E469" s="8">
        <v>415.68038763501528</v>
      </c>
      <c r="F469" s="8">
        <v>415.87896524647169</v>
      </c>
      <c r="G469" s="7">
        <v>79319</v>
      </c>
      <c r="H469" s="9">
        <v>32987103.644384891</v>
      </c>
      <c r="I469" s="5" t="s">
        <v>1598</v>
      </c>
    </row>
    <row r="470" spans="1:9" x14ac:dyDescent="0.25">
      <c r="A470" s="6">
        <v>45992.857638888891</v>
      </c>
      <c r="B470" s="5" t="s">
        <v>28</v>
      </c>
      <c r="C470" s="8">
        <v>416.44249577148531</v>
      </c>
      <c r="D470" s="8">
        <v>416.63408713159521</v>
      </c>
      <c r="E470" s="8">
        <v>416.36293807221648</v>
      </c>
      <c r="F470" s="8">
        <v>416.47761354253089</v>
      </c>
      <c r="G470" s="7">
        <v>59802</v>
      </c>
      <c r="H470" s="9">
        <v>24906194.245070439</v>
      </c>
      <c r="I470" s="5" t="s">
        <v>1599</v>
      </c>
    </row>
    <row r="471" spans="1:9" x14ac:dyDescent="0.25">
      <c r="A471" s="6">
        <v>45992.861111111109</v>
      </c>
      <c r="B471" s="5" t="s">
        <v>28</v>
      </c>
      <c r="C471" s="8">
        <v>416.62487004387123</v>
      </c>
      <c r="D471" s="8">
        <v>416.99071653048071</v>
      </c>
      <c r="E471" s="8">
        <v>416.22613651822633</v>
      </c>
      <c r="F471" s="8">
        <v>416.63453229185927</v>
      </c>
      <c r="G471" s="7">
        <v>65072</v>
      </c>
      <c r="H471" s="9">
        <v>27111242.28529587</v>
      </c>
      <c r="I471" s="5" t="s">
        <v>1600</v>
      </c>
    </row>
    <row r="472" spans="1:9" x14ac:dyDescent="0.25">
      <c r="A472" s="6">
        <v>45992.864583333343</v>
      </c>
      <c r="B472" s="5" t="s">
        <v>28</v>
      </c>
      <c r="C472" s="8">
        <v>415.97237924548472</v>
      </c>
      <c r="D472" s="8">
        <v>416.25324359816778</v>
      </c>
      <c r="E472" s="8">
        <v>415.78727112622289</v>
      </c>
      <c r="F472" s="8">
        <v>416.23742861405719</v>
      </c>
      <c r="G472" s="7">
        <v>87944</v>
      </c>
      <c r="H472" s="9">
        <v>36605584.422034644</v>
      </c>
      <c r="I472" s="5" t="s">
        <v>1601</v>
      </c>
    </row>
    <row r="473" spans="1:9" x14ac:dyDescent="0.25">
      <c r="A473" s="6">
        <v>45992.868055555547</v>
      </c>
      <c r="B473" s="5" t="s">
        <v>28</v>
      </c>
      <c r="C473" s="8">
        <v>416.65288323024402</v>
      </c>
      <c r="D473" s="8">
        <v>416.87301423712597</v>
      </c>
      <c r="E473" s="8">
        <v>416.28907627468118</v>
      </c>
      <c r="F473" s="8">
        <v>416.68950258939623</v>
      </c>
      <c r="G473" s="7">
        <v>65114</v>
      </c>
      <c r="H473" s="9">
        <v>27132320.27160595</v>
      </c>
      <c r="I473" s="5" t="s">
        <v>1602</v>
      </c>
    </row>
    <row r="474" spans="1:9" x14ac:dyDescent="0.25">
      <c r="A474" s="6">
        <v>45992.871527777781</v>
      </c>
      <c r="B474" s="5" t="s">
        <v>28</v>
      </c>
      <c r="C474" s="8">
        <v>417.00128190614691</v>
      </c>
      <c r="D474" s="8">
        <v>417.08476173536349</v>
      </c>
      <c r="E474" s="8">
        <v>416.95247164576767</v>
      </c>
      <c r="F474" s="8">
        <v>417.06664688066007</v>
      </c>
      <c r="G474" s="7">
        <v>64828</v>
      </c>
      <c r="H474" s="9">
        <v>27037596.583979439</v>
      </c>
      <c r="I474" s="5" t="s">
        <v>1603</v>
      </c>
    </row>
    <row r="475" spans="1:9" x14ac:dyDescent="0.25">
      <c r="A475" s="6">
        <v>45992.875</v>
      </c>
      <c r="B475" s="5" t="s">
        <v>28</v>
      </c>
      <c r="C475" s="8">
        <v>417.53546359233673</v>
      </c>
      <c r="D475" s="8">
        <v>418.01821389660051</v>
      </c>
      <c r="E475" s="8">
        <v>417.24470722910138</v>
      </c>
      <c r="F475" s="8">
        <v>417.65979419181502</v>
      </c>
      <c r="G475" s="7">
        <v>48886</v>
      </c>
      <c r="H475" s="9">
        <v>20417716.69886107</v>
      </c>
      <c r="I475" s="5" t="s">
        <v>1604</v>
      </c>
    </row>
    <row r="476" spans="1:9" x14ac:dyDescent="0.25">
      <c r="A476" s="6">
        <v>45993.604166666657</v>
      </c>
      <c r="B476" s="5" t="s">
        <v>28</v>
      </c>
      <c r="C476" s="8">
        <v>417.40150054733749</v>
      </c>
      <c r="D476" s="8">
        <v>417.50336609341139</v>
      </c>
      <c r="E476" s="8">
        <v>417.25783427368958</v>
      </c>
      <c r="F476" s="8">
        <v>417.40121895404218</v>
      </c>
      <c r="G476" s="7">
        <v>62031</v>
      </c>
      <c r="H476" s="9">
        <v>25891815.01293819</v>
      </c>
      <c r="I476" s="5" t="s">
        <v>1605</v>
      </c>
    </row>
    <row r="477" spans="1:9" x14ac:dyDescent="0.25">
      <c r="A477" s="6">
        <v>45993.607638888891</v>
      </c>
      <c r="B477" s="5" t="s">
        <v>28</v>
      </c>
      <c r="C477" s="8">
        <v>418.322522528197</v>
      </c>
      <c r="D477" s="8">
        <v>418.36358854885498</v>
      </c>
      <c r="E477" s="8">
        <v>418.14634340643943</v>
      </c>
      <c r="F477" s="8">
        <v>418.26280472750409</v>
      </c>
      <c r="G477" s="7">
        <v>76177</v>
      </c>
      <c r="H477" s="9">
        <v>31862005.675727081</v>
      </c>
      <c r="I477" s="5" t="s">
        <v>1606</v>
      </c>
    </row>
    <row r="478" spans="1:9" x14ac:dyDescent="0.25">
      <c r="A478" s="6">
        <v>45993.611111111109</v>
      </c>
      <c r="B478" s="5" t="s">
        <v>28</v>
      </c>
      <c r="C478" s="8">
        <v>418.09613053303258</v>
      </c>
      <c r="D478" s="8">
        <v>418.40464622943858</v>
      </c>
      <c r="E478" s="8">
        <v>418.02897898128748</v>
      </c>
      <c r="F478" s="8">
        <v>418.2247440066522</v>
      </c>
      <c r="G478" s="7">
        <v>82746</v>
      </c>
      <c r="H478" s="9">
        <v>34606424.667574443</v>
      </c>
      <c r="I478" s="5" t="s">
        <v>1607</v>
      </c>
    </row>
    <row r="479" spans="1:9" x14ac:dyDescent="0.25">
      <c r="A479" s="6">
        <v>45993.614583333343</v>
      </c>
      <c r="B479" s="5" t="s">
        <v>28</v>
      </c>
      <c r="C479" s="8">
        <v>418.4404167286927</v>
      </c>
      <c r="D479" s="8">
        <v>418.60476668175232</v>
      </c>
      <c r="E479" s="8">
        <v>418.33887562863868</v>
      </c>
      <c r="F479" s="8">
        <v>418.44004166870081</v>
      </c>
      <c r="G479" s="7">
        <v>67672</v>
      </c>
      <c r="H479" s="9">
        <v>28316674.499804322</v>
      </c>
      <c r="I479" s="5" t="s">
        <v>1608</v>
      </c>
    </row>
    <row r="480" spans="1:9" x14ac:dyDescent="0.25">
      <c r="A480" s="6">
        <v>45993.618055555547</v>
      </c>
      <c r="B480" s="5" t="s">
        <v>28</v>
      </c>
      <c r="C480" s="8">
        <v>419.16140025045053</v>
      </c>
      <c r="D480" s="8">
        <v>419.52520592776818</v>
      </c>
      <c r="E480" s="8">
        <v>418.9389057187289</v>
      </c>
      <c r="F480" s="8">
        <v>419.00962951511218</v>
      </c>
      <c r="G480" s="7">
        <v>66348</v>
      </c>
      <c r="H480" s="9">
        <v>27800450.899068668</v>
      </c>
      <c r="I480" s="5" t="s">
        <v>1609</v>
      </c>
    </row>
    <row r="481" spans="1:9" x14ac:dyDescent="0.25">
      <c r="A481" s="6">
        <v>45993.621527777781</v>
      </c>
      <c r="B481" s="5" t="s">
        <v>28</v>
      </c>
      <c r="C481" s="8">
        <v>418.78879750800462</v>
      </c>
      <c r="D481" s="8">
        <v>418.87346741481377</v>
      </c>
      <c r="E481" s="8">
        <v>418.35269547234509</v>
      </c>
      <c r="F481" s="8">
        <v>418.66219165490912</v>
      </c>
      <c r="G481" s="7">
        <v>51857</v>
      </c>
      <c r="H481" s="9">
        <v>21710565.272648621</v>
      </c>
      <c r="I481" s="5" t="s">
        <v>1610</v>
      </c>
    </row>
    <row r="482" spans="1:9" x14ac:dyDescent="0.25">
      <c r="A482" s="6">
        <v>45993.625</v>
      </c>
      <c r="B482" s="5" t="s">
        <v>28</v>
      </c>
      <c r="C482" s="8">
        <v>418.52394617457742</v>
      </c>
      <c r="D482" s="8">
        <v>419.12489347467528</v>
      </c>
      <c r="E482" s="8">
        <v>418.25415284545443</v>
      </c>
      <c r="F482" s="8">
        <v>418.79058542346701</v>
      </c>
      <c r="G482" s="7">
        <v>63823</v>
      </c>
      <c r="H482" s="9">
        <v>26728471.533481929</v>
      </c>
      <c r="I482" s="5" t="s">
        <v>1611</v>
      </c>
    </row>
    <row r="483" spans="1:9" x14ac:dyDescent="0.25">
      <c r="A483" s="6">
        <v>45993.628472222219</v>
      </c>
      <c r="B483" s="5" t="s">
        <v>28</v>
      </c>
      <c r="C483" s="8">
        <v>418.61446443727192</v>
      </c>
      <c r="D483" s="8">
        <v>419.22598220053732</v>
      </c>
      <c r="E483" s="8">
        <v>418.33482878655121</v>
      </c>
      <c r="F483" s="8">
        <v>418.8059564553696</v>
      </c>
      <c r="G483" s="7">
        <v>78897</v>
      </c>
      <c r="H483" s="9">
        <v>33042533.546459291</v>
      </c>
      <c r="I483" s="5" t="s">
        <v>1612</v>
      </c>
    </row>
    <row r="484" spans="1:9" x14ac:dyDescent="0.25">
      <c r="A484" s="6">
        <v>45993.631944444453</v>
      </c>
      <c r="B484" s="5" t="s">
        <v>28</v>
      </c>
      <c r="C484" s="8">
        <v>418.50200870944059</v>
      </c>
      <c r="D484" s="8">
        <v>418.81068347184782</v>
      </c>
      <c r="E484" s="8">
        <v>418.3578720330903</v>
      </c>
      <c r="F484" s="8">
        <v>418.41869028182577</v>
      </c>
      <c r="G484" s="7">
        <v>56528</v>
      </c>
      <c r="H484" s="9">
        <v>23652371.724251051</v>
      </c>
      <c r="I484" s="5" t="s">
        <v>1613</v>
      </c>
    </row>
    <row r="485" spans="1:9" x14ac:dyDescent="0.25">
      <c r="A485" s="6">
        <v>45993.635416666657</v>
      </c>
      <c r="B485" s="5" t="s">
        <v>28</v>
      </c>
      <c r="C485" s="8">
        <v>418.35806654799131</v>
      </c>
      <c r="D485" s="8">
        <v>418.39623592976892</v>
      </c>
      <c r="E485" s="8">
        <v>418.2136593458938</v>
      </c>
      <c r="F485" s="8">
        <v>418.27223105689222</v>
      </c>
      <c r="G485" s="7">
        <v>37062</v>
      </c>
      <c r="H485" s="9">
        <v>15502005.42743054</v>
      </c>
      <c r="I485" s="5" t="s">
        <v>1614</v>
      </c>
    </row>
    <row r="486" spans="1:9" x14ac:dyDescent="0.25">
      <c r="A486" s="6">
        <v>45993.638888888891</v>
      </c>
      <c r="B486" s="5" t="s">
        <v>28</v>
      </c>
      <c r="C486" s="8">
        <v>417.80577343323893</v>
      </c>
      <c r="D486" s="8">
        <v>418.22137584250379</v>
      </c>
      <c r="E486" s="8">
        <v>417.44032187994418</v>
      </c>
      <c r="F486" s="8">
        <v>417.67781449547522</v>
      </c>
      <c r="G486" s="7">
        <v>101258</v>
      </c>
      <c r="H486" s="9">
        <v>42293220.14018283</v>
      </c>
      <c r="I486" s="5" t="s">
        <v>1615</v>
      </c>
    </row>
    <row r="487" spans="1:9" x14ac:dyDescent="0.25">
      <c r="A487" s="6">
        <v>45993.642361111109</v>
      </c>
      <c r="B487" s="5" t="s">
        <v>28</v>
      </c>
      <c r="C487" s="8">
        <v>417.50983714913599</v>
      </c>
      <c r="D487" s="8">
        <v>417.62370970198771</v>
      </c>
      <c r="E487" s="8">
        <v>417.48468054189289</v>
      </c>
      <c r="F487" s="8">
        <v>417.50577530417979</v>
      </c>
      <c r="G487" s="7">
        <v>110513</v>
      </c>
      <c r="H487" s="9">
        <v>46139815.746190824</v>
      </c>
      <c r="I487" s="5" t="s">
        <v>1616</v>
      </c>
    </row>
    <row r="488" spans="1:9" x14ac:dyDescent="0.25">
      <c r="A488" s="6">
        <v>45993.645833333343</v>
      </c>
      <c r="B488" s="5" t="s">
        <v>28</v>
      </c>
      <c r="C488" s="8">
        <v>416.97557370883351</v>
      </c>
      <c r="D488" s="8">
        <v>417.10475434734383</v>
      </c>
      <c r="E488" s="8">
        <v>416.8184426052465</v>
      </c>
      <c r="F488" s="8">
        <v>417.03728743904679</v>
      </c>
      <c r="G488" s="7">
        <v>82714</v>
      </c>
      <c r="H488" s="9">
        <v>34494822.193233319</v>
      </c>
      <c r="I488" s="5" t="s">
        <v>1617</v>
      </c>
    </row>
    <row r="489" spans="1:9" x14ac:dyDescent="0.25">
      <c r="A489" s="6">
        <v>45993.649305555547</v>
      </c>
      <c r="B489" s="5" t="s">
        <v>28</v>
      </c>
      <c r="C489" s="8">
        <v>416.46980017375961</v>
      </c>
      <c r="D489" s="8">
        <v>416.71570834603938</v>
      </c>
      <c r="E489" s="8">
        <v>416.21881927230402</v>
      </c>
      <c r="F489" s="8">
        <v>416.3178714832049</v>
      </c>
      <c r="G489" s="7">
        <v>100394</v>
      </c>
      <c r="H489" s="9">
        <v>41795816.389684871</v>
      </c>
      <c r="I489" s="5" t="s">
        <v>1618</v>
      </c>
    </row>
    <row r="490" spans="1:9" x14ac:dyDescent="0.25">
      <c r="A490" s="6">
        <v>45993.652777777781</v>
      </c>
      <c r="B490" s="5" t="s">
        <v>28</v>
      </c>
      <c r="C490" s="8">
        <v>417.26117711626529</v>
      </c>
      <c r="D490" s="8">
        <v>417.46462229153218</v>
      </c>
      <c r="E490" s="8">
        <v>417.10886896572111</v>
      </c>
      <c r="F490" s="8">
        <v>417.22809633181203</v>
      </c>
      <c r="G490" s="7">
        <v>74039</v>
      </c>
      <c r="H490" s="9">
        <v>30891151.024311021</v>
      </c>
      <c r="I490" s="5" t="s">
        <v>1619</v>
      </c>
    </row>
    <row r="491" spans="1:9" x14ac:dyDescent="0.25">
      <c r="A491" s="6">
        <v>45993.65625</v>
      </c>
      <c r="B491" s="5" t="s">
        <v>28</v>
      </c>
      <c r="C491" s="8">
        <v>416.99149245158878</v>
      </c>
      <c r="D491" s="8">
        <v>417.24508181972368</v>
      </c>
      <c r="E491" s="8">
        <v>416.88333300413478</v>
      </c>
      <c r="F491" s="8">
        <v>417.07064835322922</v>
      </c>
      <c r="G491" s="7">
        <v>85609</v>
      </c>
      <c r="H491" s="9">
        <v>35705001.134871587</v>
      </c>
      <c r="I491" s="5" t="s">
        <v>1620</v>
      </c>
    </row>
    <row r="492" spans="1:9" x14ac:dyDescent="0.25">
      <c r="A492" s="6">
        <v>45993.659722222219</v>
      </c>
      <c r="B492" s="5" t="s">
        <v>28</v>
      </c>
      <c r="C492" s="8">
        <v>417.35969684413851</v>
      </c>
      <c r="D492" s="8">
        <v>417.51850846131538</v>
      </c>
      <c r="E492" s="8">
        <v>417.31638231244852</v>
      </c>
      <c r="F492" s="8">
        <v>417.40394957405471</v>
      </c>
      <c r="G492" s="7">
        <v>58999</v>
      </c>
      <c r="H492" s="9">
        <v>24626415.620919649</v>
      </c>
      <c r="I492" s="5" t="s">
        <v>1621</v>
      </c>
    </row>
    <row r="493" spans="1:9" x14ac:dyDescent="0.25">
      <c r="A493" s="6">
        <v>45993.663194444453</v>
      </c>
      <c r="B493" s="5" t="s">
        <v>28</v>
      </c>
      <c r="C493" s="8">
        <v>417.88294647237348</v>
      </c>
      <c r="D493" s="8">
        <v>417.96599957542929</v>
      </c>
      <c r="E493" s="8">
        <v>417.40432237568319</v>
      </c>
      <c r="F493" s="8">
        <v>417.86569756595497</v>
      </c>
      <c r="G493" s="7">
        <v>76396</v>
      </c>
      <c r="H493" s="9">
        <v>31923267.831248701</v>
      </c>
      <c r="I493" s="5" t="s">
        <v>1622</v>
      </c>
    </row>
    <row r="494" spans="1:9" x14ac:dyDescent="0.25">
      <c r="A494" s="6">
        <v>45993.666666666657</v>
      </c>
      <c r="B494" s="5" t="s">
        <v>28</v>
      </c>
      <c r="C494" s="8">
        <v>417.32637026267508</v>
      </c>
      <c r="D494" s="8">
        <v>417.79000843060612</v>
      </c>
      <c r="E494" s="8">
        <v>416.85463332672828</v>
      </c>
      <c r="F494" s="8">
        <v>417.36222656217632</v>
      </c>
      <c r="G494" s="7">
        <v>54114</v>
      </c>
      <c r="H494" s="9">
        <v>22585139.52818561</v>
      </c>
      <c r="I494" s="5" t="s">
        <v>1623</v>
      </c>
    </row>
    <row r="495" spans="1:9" x14ac:dyDescent="0.25">
      <c r="A495" s="6">
        <v>45993.670138888891</v>
      </c>
      <c r="B495" s="5" t="s">
        <v>28</v>
      </c>
      <c r="C495" s="8">
        <v>416.99113422537079</v>
      </c>
      <c r="D495" s="8">
        <v>417.06516302620292</v>
      </c>
      <c r="E495" s="8">
        <v>416.81815601835802</v>
      </c>
      <c r="F495" s="8">
        <v>416.92849512210438</v>
      </c>
      <c r="G495" s="7">
        <v>38763</v>
      </c>
      <c r="H495" s="9">
        <v>16161399.256418129</v>
      </c>
      <c r="I495" s="5" t="s">
        <v>1624</v>
      </c>
    </row>
    <row r="496" spans="1:9" x14ac:dyDescent="0.25">
      <c r="A496" s="6">
        <v>45993.673611111109</v>
      </c>
      <c r="B496" s="5" t="s">
        <v>28</v>
      </c>
      <c r="C496" s="8">
        <v>417.5933316147383</v>
      </c>
      <c r="D496" s="8">
        <v>417.92960811467668</v>
      </c>
      <c r="E496" s="8">
        <v>417.21967890492851</v>
      </c>
      <c r="F496" s="8">
        <v>417.38668487796201</v>
      </c>
      <c r="G496" s="7">
        <v>48680</v>
      </c>
      <c r="H496" s="9">
        <v>20318383.819859192</v>
      </c>
      <c r="I496" s="5" t="s">
        <v>1625</v>
      </c>
    </row>
    <row r="497" spans="1:9" x14ac:dyDescent="0.25">
      <c r="A497" s="6">
        <v>45993.677083333343</v>
      </c>
      <c r="B497" s="5" t="s">
        <v>28</v>
      </c>
      <c r="C497" s="8">
        <v>417.46774939217812</v>
      </c>
      <c r="D497" s="8">
        <v>417.77919983676941</v>
      </c>
      <c r="E497" s="8">
        <v>417.43677038569552</v>
      </c>
      <c r="F497" s="8">
        <v>417.70093822525888</v>
      </c>
      <c r="G497" s="7">
        <v>47090</v>
      </c>
      <c r="H497" s="9">
        <v>19669537.181027438</v>
      </c>
      <c r="I497" s="5" t="s">
        <v>1626</v>
      </c>
    </row>
    <row r="498" spans="1:9" x14ac:dyDescent="0.25">
      <c r="A498" s="6">
        <v>45993.680555555547</v>
      </c>
      <c r="B498" s="5" t="s">
        <v>28</v>
      </c>
      <c r="C498" s="8">
        <v>417.77367713043918</v>
      </c>
      <c r="D498" s="8">
        <v>418.32131760428808</v>
      </c>
      <c r="E498" s="8">
        <v>417.60414282596491</v>
      </c>
      <c r="F498" s="8">
        <v>418.00475851121843</v>
      </c>
      <c r="G498" s="7">
        <v>79646</v>
      </c>
      <c r="H498" s="9">
        <v>33292406.996384501</v>
      </c>
      <c r="I498" s="5" t="s">
        <v>1627</v>
      </c>
    </row>
    <row r="499" spans="1:9" x14ac:dyDescent="0.25">
      <c r="A499" s="6">
        <v>45993.684027777781</v>
      </c>
      <c r="B499" s="5" t="s">
        <v>28</v>
      </c>
      <c r="C499" s="8">
        <v>417.82361006749301</v>
      </c>
      <c r="D499" s="8">
        <v>418.06136254437769</v>
      </c>
      <c r="E499" s="8">
        <v>417.73027697910197</v>
      </c>
      <c r="F499" s="8">
        <v>417.91410777085588</v>
      </c>
      <c r="G499" s="7">
        <v>49640</v>
      </c>
      <c r="H499" s="9">
        <v>20745256.309745289</v>
      </c>
      <c r="I499" s="5" t="s">
        <v>1628</v>
      </c>
    </row>
    <row r="500" spans="1:9" x14ac:dyDescent="0.25">
      <c r="A500" s="6">
        <v>45993.6875</v>
      </c>
      <c r="B500" s="5" t="s">
        <v>28</v>
      </c>
      <c r="C500" s="8">
        <v>417.8977586507645</v>
      </c>
      <c r="D500" s="8">
        <v>418.60079287484911</v>
      </c>
      <c r="E500" s="8">
        <v>417.59694215580072</v>
      </c>
      <c r="F500" s="8">
        <v>417.8415172128997</v>
      </c>
      <c r="G500" s="7">
        <v>68625</v>
      </c>
      <c r="H500" s="9">
        <v>28674374.118735239</v>
      </c>
      <c r="I500" s="5" t="s">
        <v>1629</v>
      </c>
    </row>
    <row r="501" spans="1:9" x14ac:dyDescent="0.25">
      <c r="A501" s="6">
        <v>45993.690972222219</v>
      </c>
      <c r="B501" s="5" t="s">
        <v>28</v>
      </c>
      <c r="C501" s="8">
        <v>417.80786301402969</v>
      </c>
      <c r="D501" s="8">
        <v>418.23562515079851</v>
      </c>
      <c r="E501" s="8">
        <v>417.58448257389222</v>
      </c>
      <c r="F501" s="8">
        <v>417.82599686838972</v>
      </c>
      <c r="G501" s="7">
        <v>78938</v>
      </c>
      <c r="H501" s="9">
        <v>32982348.54079695</v>
      </c>
      <c r="I501" s="5" t="s">
        <v>1630</v>
      </c>
    </row>
    <row r="502" spans="1:9" x14ac:dyDescent="0.25">
      <c r="A502" s="6">
        <v>45993.694444444453</v>
      </c>
      <c r="B502" s="5" t="s">
        <v>28</v>
      </c>
      <c r="C502" s="8">
        <v>417.61030706424827</v>
      </c>
      <c r="D502" s="8">
        <v>417.80555594341132</v>
      </c>
      <c r="E502" s="8">
        <v>417.56968895069451</v>
      </c>
      <c r="F502" s="8">
        <v>417.70114182775808</v>
      </c>
      <c r="G502" s="7">
        <v>51173</v>
      </c>
      <c r="H502" s="9">
        <v>21375020.530751869</v>
      </c>
      <c r="I502" s="5" t="s">
        <v>1631</v>
      </c>
    </row>
    <row r="503" spans="1:9" x14ac:dyDescent="0.25">
      <c r="A503" s="6">
        <v>45993.697916666657</v>
      </c>
      <c r="B503" s="5" t="s">
        <v>28</v>
      </c>
      <c r="C503" s="8">
        <v>417.86492036575828</v>
      </c>
      <c r="D503" s="8">
        <v>418.150405634484</v>
      </c>
      <c r="E503" s="8">
        <v>417.6355610451464</v>
      </c>
      <c r="F503" s="8">
        <v>418.00014501735137</v>
      </c>
      <c r="G503" s="7">
        <v>60862</v>
      </c>
      <c r="H503" s="9">
        <v>25440324.826046038</v>
      </c>
      <c r="I503" s="5" t="s">
        <v>1632</v>
      </c>
    </row>
    <row r="504" spans="1:9" x14ac:dyDescent="0.25">
      <c r="A504" s="6">
        <v>45993.701388888891</v>
      </c>
      <c r="B504" s="5" t="s">
        <v>28</v>
      </c>
      <c r="C504" s="8">
        <v>418.20908739930229</v>
      </c>
      <c r="D504" s="8">
        <v>418.50905461219338</v>
      </c>
      <c r="E504" s="8">
        <v>418.06435811660151</v>
      </c>
      <c r="F504" s="8">
        <v>418.29962577471389</v>
      </c>
      <c r="G504" s="7">
        <v>100771</v>
      </c>
      <c r="H504" s="9">
        <v>42152471.58894369</v>
      </c>
      <c r="I504" s="5" t="s">
        <v>1633</v>
      </c>
    </row>
    <row r="505" spans="1:9" x14ac:dyDescent="0.25">
      <c r="A505" s="6">
        <v>45993.704861111109</v>
      </c>
      <c r="B505" s="5" t="s">
        <v>28</v>
      </c>
      <c r="C505" s="8">
        <v>418.72306364308338</v>
      </c>
      <c r="D505" s="8">
        <v>419.14265904924213</v>
      </c>
      <c r="E505" s="8">
        <v>418.52561393534131</v>
      </c>
      <c r="F505" s="8">
        <v>418.64782109622149</v>
      </c>
      <c r="G505" s="7">
        <v>50392</v>
      </c>
      <c r="H505" s="9">
        <v>21096501.000680789</v>
      </c>
      <c r="I505" s="5" t="s">
        <v>1634</v>
      </c>
    </row>
    <row r="506" spans="1:9" x14ac:dyDescent="0.25">
      <c r="A506" s="6">
        <v>45993.708333333343</v>
      </c>
      <c r="B506" s="5" t="s">
        <v>28</v>
      </c>
      <c r="C506" s="8">
        <v>419.34602096046251</v>
      </c>
      <c r="D506" s="8">
        <v>419.68796418738867</v>
      </c>
      <c r="E506" s="8">
        <v>419.21074299800932</v>
      </c>
      <c r="F506" s="8">
        <v>419.28485838756239</v>
      </c>
      <c r="G506" s="7">
        <v>94529</v>
      </c>
      <c r="H506" s="9">
        <v>39634578.378517888</v>
      </c>
      <c r="I506" s="5" t="s">
        <v>1635</v>
      </c>
    </row>
    <row r="507" spans="1:9" x14ac:dyDescent="0.25">
      <c r="A507" s="6">
        <v>45993.711805555547</v>
      </c>
      <c r="B507" s="5" t="s">
        <v>28</v>
      </c>
      <c r="C507" s="8">
        <v>418.87272237203882</v>
      </c>
      <c r="D507" s="8">
        <v>419.32913483203248</v>
      </c>
      <c r="E507" s="8">
        <v>418.64486904676829</v>
      </c>
      <c r="F507" s="8">
        <v>419.01319363437949</v>
      </c>
      <c r="G507" s="7">
        <v>31723</v>
      </c>
      <c r="H507" s="9">
        <v>13292355.541663419</v>
      </c>
      <c r="I507" s="5" t="s">
        <v>1636</v>
      </c>
    </row>
    <row r="508" spans="1:9" x14ac:dyDescent="0.25">
      <c r="A508" s="6">
        <v>45993.715277777781</v>
      </c>
      <c r="B508" s="5" t="s">
        <v>28</v>
      </c>
      <c r="C508" s="8">
        <v>418.23884945373612</v>
      </c>
      <c r="D508" s="8">
        <v>418.49390156011981</v>
      </c>
      <c r="E508" s="8">
        <v>418.09132381873587</v>
      </c>
      <c r="F508" s="8">
        <v>418.3979169146333</v>
      </c>
      <c r="G508" s="7">
        <v>47486</v>
      </c>
      <c r="H508" s="9">
        <v>19868043.482608281</v>
      </c>
      <c r="I508" s="5" t="s">
        <v>1637</v>
      </c>
    </row>
    <row r="509" spans="1:9" x14ac:dyDescent="0.25">
      <c r="A509" s="6">
        <v>45993.71875</v>
      </c>
      <c r="B509" s="5" t="s">
        <v>28</v>
      </c>
      <c r="C509" s="8">
        <v>418.81091998010652</v>
      </c>
      <c r="D509" s="8">
        <v>419.15343520290662</v>
      </c>
      <c r="E509" s="8">
        <v>418.47576567649679</v>
      </c>
      <c r="F509" s="8">
        <v>418.75156515481962</v>
      </c>
      <c r="G509" s="7">
        <v>49679</v>
      </c>
      <c r="H509" s="9">
        <v>20803159.005326279</v>
      </c>
      <c r="I509" s="5" t="s">
        <v>1638</v>
      </c>
    </row>
    <row r="510" spans="1:9" x14ac:dyDescent="0.25">
      <c r="A510" s="6">
        <v>45993.722222222219</v>
      </c>
      <c r="B510" s="5" t="s">
        <v>28</v>
      </c>
      <c r="C510" s="8">
        <v>418.88454247484248</v>
      </c>
      <c r="D510" s="8">
        <v>419.04103195392008</v>
      </c>
      <c r="E510" s="8">
        <v>418.79376868485002</v>
      </c>
      <c r="F510" s="8">
        <v>418.88550869776259</v>
      </c>
      <c r="G510" s="7">
        <v>63861</v>
      </c>
      <c r="H510" s="9">
        <v>26750447.470947821</v>
      </c>
      <c r="I510" s="5" t="s">
        <v>1639</v>
      </c>
    </row>
    <row r="511" spans="1:9" x14ac:dyDescent="0.25">
      <c r="A511" s="6">
        <v>45993.725694444453</v>
      </c>
      <c r="B511" s="5" t="s">
        <v>28</v>
      </c>
      <c r="C511" s="8">
        <v>419.2414130399373</v>
      </c>
      <c r="D511" s="8">
        <v>419.46614320742941</v>
      </c>
      <c r="E511" s="8">
        <v>419.16409385872078</v>
      </c>
      <c r="F511" s="8">
        <v>419.2135245513262</v>
      </c>
      <c r="G511" s="7">
        <v>59969</v>
      </c>
      <c r="H511" s="9">
        <v>25139815.85381848</v>
      </c>
      <c r="I511" s="5" t="s">
        <v>1640</v>
      </c>
    </row>
    <row r="512" spans="1:9" x14ac:dyDescent="0.25">
      <c r="A512" s="6">
        <v>45993.729166666657</v>
      </c>
      <c r="B512" s="5" t="s">
        <v>28</v>
      </c>
      <c r="C512" s="8">
        <v>419.76236954370307</v>
      </c>
      <c r="D512" s="8">
        <v>420.11520390844748</v>
      </c>
      <c r="E512" s="8">
        <v>419.42265085076627</v>
      </c>
      <c r="F512" s="8">
        <v>419.62212583067799</v>
      </c>
      <c r="G512" s="7">
        <v>58882</v>
      </c>
      <c r="H512" s="9">
        <v>24708190.01316198</v>
      </c>
      <c r="I512" s="5" t="s">
        <v>1641</v>
      </c>
    </row>
    <row r="513" spans="1:9" x14ac:dyDescent="0.25">
      <c r="A513" s="6">
        <v>45993.732638888891</v>
      </c>
      <c r="B513" s="5" t="s">
        <v>28</v>
      </c>
      <c r="C513" s="8">
        <v>419.79616551182698</v>
      </c>
      <c r="D513" s="8">
        <v>420.19674665048092</v>
      </c>
      <c r="E513" s="8">
        <v>419.51477756757379</v>
      </c>
      <c r="F513" s="8">
        <v>419.75570438313991</v>
      </c>
      <c r="G513" s="7">
        <v>108031</v>
      </c>
      <c r="H513" s="9">
        <v>45346628.500214987</v>
      </c>
      <c r="I513" s="5" t="s">
        <v>1642</v>
      </c>
    </row>
    <row r="514" spans="1:9" x14ac:dyDescent="0.25">
      <c r="A514" s="6">
        <v>45993.736111111109</v>
      </c>
      <c r="B514" s="5" t="s">
        <v>28</v>
      </c>
      <c r="C514" s="8">
        <v>419.45760419281442</v>
      </c>
      <c r="D514" s="8">
        <v>419.80678699397367</v>
      </c>
      <c r="E514" s="8">
        <v>419.3760374352691</v>
      </c>
      <c r="F514" s="8">
        <v>419.79535562477361</v>
      </c>
      <c r="G514" s="7">
        <v>41278</v>
      </c>
      <c r="H514" s="9">
        <v>17328312.689479399</v>
      </c>
      <c r="I514" s="5" t="s">
        <v>1643</v>
      </c>
    </row>
    <row r="515" spans="1:9" x14ac:dyDescent="0.25">
      <c r="A515" s="6">
        <v>45993.739583333343</v>
      </c>
      <c r="B515" s="5" t="s">
        <v>28</v>
      </c>
      <c r="C515" s="8">
        <v>420.87730559322711</v>
      </c>
      <c r="D515" s="8">
        <v>421.12292857102699</v>
      </c>
      <c r="E515" s="8">
        <v>420.70834217773091</v>
      </c>
      <c r="F515" s="8">
        <v>420.71497518413571</v>
      </c>
      <c r="G515" s="7">
        <v>74981</v>
      </c>
      <c r="H515" s="9">
        <v>31545629.554281682</v>
      </c>
      <c r="I515" s="5" t="s">
        <v>1644</v>
      </c>
    </row>
    <row r="516" spans="1:9" x14ac:dyDescent="0.25">
      <c r="A516" s="6">
        <v>45993.743055555547</v>
      </c>
      <c r="B516" s="5" t="s">
        <v>28</v>
      </c>
      <c r="C516" s="8">
        <v>421.17516243591848</v>
      </c>
      <c r="D516" s="8">
        <v>421.30322657177999</v>
      </c>
      <c r="E516" s="8">
        <v>421.00634569335142</v>
      </c>
      <c r="F516" s="8">
        <v>421.09474029930738</v>
      </c>
      <c r="G516" s="7">
        <v>66309</v>
      </c>
      <c r="H516" s="9">
        <v>27922371.134506769</v>
      </c>
      <c r="I516" s="5" t="s">
        <v>1645</v>
      </c>
    </row>
    <row r="517" spans="1:9" x14ac:dyDescent="0.25">
      <c r="A517" s="6">
        <v>45993.746527777781</v>
      </c>
      <c r="B517" s="5" t="s">
        <v>28</v>
      </c>
      <c r="C517" s="8">
        <v>421.15404695874292</v>
      </c>
      <c r="D517" s="8">
        <v>421.37123219111669</v>
      </c>
      <c r="E517" s="8">
        <v>421.11408959524442</v>
      </c>
      <c r="F517" s="8">
        <v>421.26530973580913</v>
      </c>
      <c r="G517" s="7">
        <v>68620</v>
      </c>
      <c r="H517" s="9">
        <v>28907225.554071222</v>
      </c>
      <c r="I517" s="5" t="s">
        <v>1646</v>
      </c>
    </row>
    <row r="518" spans="1:9" x14ac:dyDescent="0.25">
      <c r="A518" s="6">
        <v>45993.75</v>
      </c>
      <c r="B518" s="5" t="s">
        <v>28</v>
      </c>
      <c r="C518" s="8">
        <v>421.23728966058638</v>
      </c>
      <c r="D518" s="8">
        <v>421.65335001754352</v>
      </c>
      <c r="E518" s="8">
        <v>421.01091143693878</v>
      </c>
      <c r="F518" s="8">
        <v>421.39947538232582</v>
      </c>
      <c r="G518" s="7">
        <v>39472</v>
      </c>
      <c r="H518" s="9">
        <v>16633480.092291171</v>
      </c>
      <c r="I518" s="5" t="s">
        <v>1647</v>
      </c>
    </row>
    <row r="519" spans="1:9" x14ac:dyDescent="0.25">
      <c r="A519" s="6">
        <v>45993.753472222219</v>
      </c>
      <c r="B519" s="5" t="s">
        <v>28</v>
      </c>
      <c r="C519" s="8">
        <v>421.3303633570186</v>
      </c>
      <c r="D519" s="8">
        <v>421.49715151776502</v>
      </c>
      <c r="E519" s="8">
        <v>421.04170055263558</v>
      </c>
      <c r="F519" s="8">
        <v>421.41927820505441</v>
      </c>
      <c r="G519" s="7">
        <v>75681</v>
      </c>
      <c r="H519" s="9">
        <v>31893432.393836722</v>
      </c>
      <c r="I519" s="5" t="s">
        <v>1648</v>
      </c>
    </row>
    <row r="520" spans="1:9" x14ac:dyDescent="0.25">
      <c r="A520" s="6">
        <v>45993.756944444453</v>
      </c>
      <c r="B520" s="5" t="s">
        <v>28</v>
      </c>
      <c r="C520" s="8">
        <v>422.24984064258581</v>
      </c>
      <c r="D520" s="8">
        <v>422.49848057854842</v>
      </c>
      <c r="E520" s="8">
        <v>422.15859319580147</v>
      </c>
      <c r="F520" s="8">
        <v>422.22095019791078</v>
      </c>
      <c r="G520" s="7">
        <v>26721</v>
      </c>
      <c r="H520" s="9">
        <v>11282166.01023837</v>
      </c>
      <c r="I520" s="5" t="s">
        <v>1649</v>
      </c>
    </row>
    <row r="521" spans="1:9" x14ac:dyDescent="0.25">
      <c r="A521" s="6">
        <v>45993.760416666657</v>
      </c>
      <c r="B521" s="5" t="s">
        <v>28</v>
      </c>
      <c r="C521" s="8">
        <v>422.99283959009841</v>
      </c>
      <c r="D521" s="8">
        <v>423.1365549143913</v>
      </c>
      <c r="E521" s="8">
        <v>422.87566554199941</v>
      </c>
      <c r="F521" s="8">
        <v>422.94409467164451</v>
      </c>
      <c r="G521" s="7">
        <v>46314</v>
      </c>
      <c r="H521" s="9">
        <v>19588232.800622541</v>
      </c>
      <c r="I521" s="5" t="s">
        <v>1650</v>
      </c>
    </row>
    <row r="522" spans="1:9" x14ac:dyDescent="0.25">
      <c r="A522" s="6">
        <v>45993.763888888891</v>
      </c>
      <c r="B522" s="5" t="s">
        <v>28</v>
      </c>
      <c r="C522" s="8">
        <v>422.85647172812179</v>
      </c>
      <c r="D522" s="8">
        <v>423.04372213617461</v>
      </c>
      <c r="E522" s="8">
        <v>422.74656011037501</v>
      </c>
      <c r="F522" s="8">
        <v>422.94169601009253</v>
      </c>
      <c r="G522" s="7">
        <v>40720</v>
      </c>
      <c r="H522" s="9">
        <v>17222185.861530971</v>
      </c>
      <c r="I522" s="5" t="s">
        <v>1651</v>
      </c>
    </row>
    <row r="523" spans="1:9" x14ac:dyDescent="0.25">
      <c r="A523" s="6">
        <v>45993.767361111109</v>
      </c>
      <c r="B523" s="5" t="s">
        <v>28</v>
      </c>
      <c r="C523" s="8">
        <v>423.47712776224802</v>
      </c>
      <c r="D523" s="8">
        <v>423.83339510309708</v>
      </c>
      <c r="E523" s="8">
        <v>423.33693069969229</v>
      </c>
      <c r="F523" s="8">
        <v>423.60055087300151</v>
      </c>
      <c r="G523" s="7">
        <v>39922</v>
      </c>
      <c r="H523" s="9">
        <v>16910981.191951972</v>
      </c>
      <c r="I523" s="5" t="s">
        <v>1652</v>
      </c>
    </row>
    <row r="524" spans="1:9" x14ac:dyDescent="0.25">
      <c r="A524" s="6">
        <v>45993.770833333343</v>
      </c>
      <c r="B524" s="5" t="s">
        <v>28</v>
      </c>
      <c r="C524" s="8">
        <v>423.80595134536048</v>
      </c>
      <c r="D524" s="8">
        <v>423.84595206753039</v>
      </c>
      <c r="E524" s="8">
        <v>423.77454454087109</v>
      </c>
      <c r="F524" s="8">
        <v>423.77577389480928</v>
      </c>
      <c r="G524" s="7">
        <v>49194</v>
      </c>
      <c r="H524" s="9">
        <v>20847225.420981251</v>
      </c>
      <c r="I524" s="5" t="s">
        <v>1653</v>
      </c>
    </row>
    <row r="525" spans="1:9" x14ac:dyDescent="0.25">
      <c r="A525" s="6">
        <v>45993.774305555547</v>
      </c>
      <c r="B525" s="5" t="s">
        <v>28</v>
      </c>
      <c r="C525" s="8">
        <v>423.90412515920548</v>
      </c>
      <c r="D525" s="8">
        <v>423.97609228790168</v>
      </c>
      <c r="E525" s="8">
        <v>423.61133471133837</v>
      </c>
      <c r="F525" s="8">
        <v>423.9584895623442</v>
      </c>
      <c r="G525" s="7">
        <v>38324</v>
      </c>
      <c r="H525" s="9">
        <v>16247785.153987279</v>
      </c>
      <c r="I525" s="5" t="s">
        <v>1654</v>
      </c>
    </row>
    <row r="526" spans="1:9" x14ac:dyDescent="0.25">
      <c r="A526" s="6">
        <v>45993.777777777781</v>
      </c>
      <c r="B526" s="5" t="s">
        <v>28</v>
      </c>
      <c r="C526" s="8">
        <v>423.67602422542097</v>
      </c>
      <c r="D526" s="8">
        <v>423.94997449650339</v>
      </c>
      <c r="E526" s="8">
        <v>423.3429639849378</v>
      </c>
      <c r="F526" s="8">
        <v>423.75688811788211</v>
      </c>
      <c r="G526" s="7">
        <v>54959</v>
      </c>
      <c r="H526" s="9">
        <v>23289254.814070679</v>
      </c>
      <c r="I526" s="5" t="s">
        <v>1655</v>
      </c>
    </row>
    <row r="527" spans="1:9" x14ac:dyDescent="0.25">
      <c r="A527" s="6">
        <v>45993.78125</v>
      </c>
      <c r="B527" s="5" t="s">
        <v>28</v>
      </c>
      <c r="C527" s="8">
        <v>423.81281539403358</v>
      </c>
      <c r="D527" s="8">
        <v>424.22280224742849</v>
      </c>
      <c r="E527" s="8">
        <v>423.63615012601798</v>
      </c>
      <c r="F527" s="8">
        <v>423.82418872211241</v>
      </c>
      <c r="G527" s="7">
        <v>76995</v>
      </c>
      <c r="H527" s="9">
        <v>32632343.410659041</v>
      </c>
      <c r="I527" s="5" t="s">
        <v>1656</v>
      </c>
    </row>
    <row r="528" spans="1:9" x14ac:dyDescent="0.25">
      <c r="A528" s="6">
        <v>45993.784722222219</v>
      </c>
      <c r="B528" s="5" t="s">
        <v>28</v>
      </c>
      <c r="C528" s="8">
        <v>423.73305551164299</v>
      </c>
      <c r="D528" s="8">
        <v>424.07057324510532</v>
      </c>
      <c r="E528" s="8">
        <v>423.23773157228402</v>
      </c>
      <c r="F528" s="8">
        <v>423.85751599845253</v>
      </c>
      <c r="G528" s="7">
        <v>109430</v>
      </c>
      <c r="H528" s="9">
        <v>46382727.97571066</v>
      </c>
      <c r="I528" s="5" t="s">
        <v>1657</v>
      </c>
    </row>
    <row r="529" spans="1:9" x14ac:dyDescent="0.25">
      <c r="A529" s="6">
        <v>45993.788194444453</v>
      </c>
      <c r="B529" s="5" t="s">
        <v>28</v>
      </c>
      <c r="C529" s="8">
        <v>423.9272535013161</v>
      </c>
      <c r="D529" s="8">
        <v>424.36257038715019</v>
      </c>
      <c r="E529" s="8">
        <v>423.88068233225448</v>
      </c>
      <c r="F529" s="8">
        <v>424.04148795107608</v>
      </c>
      <c r="G529" s="7">
        <v>107461</v>
      </c>
      <c r="H529" s="9">
        <v>45567922.336710587</v>
      </c>
      <c r="I529" s="5" t="s">
        <v>1658</v>
      </c>
    </row>
    <row r="530" spans="1:9" x14ac:dyDescent="0.25">
      <c r="A530" s="6">
        <v>45993.791666666657</v>
      </c>
      <c r="B530" s="5" t="s">
        <v>28</v>
      </c>
      <c r="C530" s="8">
        <v>423.88612782584141</v>
      </c>
      <c r="D530" s="8">
        <v>423.93790928345783</v>
      </c>
      <c r="E530" s="8">
        <v>423.63497620728378</v>
      </c>
      <c r="F530" s="8">
        <v>423.82621981288293</v>
      </c>
      <c r="G530" s="7">
        <v>48096</v>
      </c>
      <c r="H530" s="9">
        <v>20384345.868120421</v>
      </c>
      <c r="I530" s="5" t="s">
        <v>1659</v>
      </c>
    </row>
    <row r="531" spans="1:9" x14ac:dyDescent="0.25">
      <c r="A531" s="6">
        <v>45993.795138888891</v>
      </c>
      <c r="B531" s="5" t="s">
        <v>28</v>
      </c>
      <c r="C531" s="8">
        <v>424.12752624865539</v>
      </c>
      <c r="D531" s="8">
        <v>424.39998741965138</v>
      </c>
      <c r="E531" s="8">
        <v>423.98285411344659</v>
      </c>
      <c r="F531" s="8">
        <v>424.17574999110292</v>
      </c>
      <c r="G531" s="7">
        <v>65042</v>
      </c>
      <c r="H531" s="9">
        <v>27589239.130921312</v>
      </c>
      <c r="I531" s="5" t="s">
        <v>1660</v>
      </c>
    </row>
    <row r="532" spans="1:9" x14ac:dyDescent="0.25">
      <c r="A532" s="6">
        <v>45993.798611111109</v>
      </c>
      <c r="B532" s="5" t="s">
        <v>28</v>
      </c>
      <c r="C532" s="8">
        <v>423.36996797909092</v>
      </c>
      <c r="D532" s="8">
        <v>423.40133657608749</v>
      </c>
      <c r="E532" s="8">
        <v>423.322370465586</v>
      </c>
      <c r="F532" s="8">
        <v>423.37483478682572</v>
      </c>
      <c r="G532" s="7">
        <v>122149</v>
      </c>
      <c r="H532" s="9">
        <v>51714812.694375977</v>
      </c>
      <c r="I532" s="5" t="s">
        <v>1661</v>
      </c>
    </row>
    <row r="533" spans="1:9" x14ac:dyDescent="0.25">
      <c r="A533" s="6">
        <v>45993.802083333343</v>
      </c>
      <c r="B533" s="5" t="s">
        <v>28</v>
      </c>
      <c r="C533" s="8">
        <v>423.13005439728943</v>
      </c>
      <c r="D533" s="8">
        <v>423.5603670554666</v>
      </c>
      <c r="E533" s="8">
        <v>422.76256279843437</v>
      </c>
      <c r="F533" s="8">
        <v>423.1318926179365</v>
      </c>
      <c r="G533" s="7">
        <v>49079</v>
      </c>
      <c r="H533" s="9">
        <v>20766890.157795701</v>
      </c>
      <c r="I533" s="5" t="s">
        <v>1662</v>
      </c>
    </row>
    <row r="534" spans="1:9" x14ac:dyDescent="0.25">
      <c r="A534" s="6">
        <v>45993.805555555547</v>
      </c>
      <c r="B534" s="5" t="s">
        <v>28</v>
      </c>
      <c r="C534" s="8">
        <v>423.05781385362991</v>
      </c>
      <c r="D534" s="8">
        <v>423.24337467507422</v>
      </c>
      <c r="E534" s="8">
        <v>422.87290865071492</v>
      </c>
      <c r="F534" s="8">
        <v>423.08265962456898</v>
      </c>
      <c r="G534" s="7">
        <v>85100</v>
      </c>
      <c r="H534" s="9">
        <v>36004334.334050827</v>
      </c>
      <c r="I534" s="5" t="s">
        <v>1663</v>
      </c>
    </row>
    <row r="535" spans="1:9" x14ac:dyDescent="0.25">
      <c r="A535" s="6">
        <v>45993.809027777781</v>
      </c>
      <c r="B535" s="5" t="s">
        <v>28</v>
      </c>
      <c r="C535" s="8">
        <v>423.08270767861518</v>
      </c>
      <c r="D535" s="8">
        <v>423.26405412178838</v>
      </c>
      <c r="E535" s="8">
        <v>422.92941429196321</v>
      </c>
      <c r="F535" s="8">
        <v>423.02059039283898</v>
      </c>
      <c r="G535" s="7">
        <v>70807</v>
      </c>
      <c r="H535" s="9">
        <v>29952818.943945751</v>
      </c>
      <c r="I535" s="5" t="s">
        <v>1664</v>
      </c>
    </row>
    <row r="536" spans="1:9" x14ac:dyDescent="0.25">
      <c r="A536" s="6">
        <v>45993.8125</v>
      </c>
      <c r="B536" s="5" t="s">
        <v>28</v>
      </c>
      <c r="C536" s="8">
        <v>422.4235438396712</v>
      </c>
      <c r="D536" s="8">
        <v>422.99526150826489</v>
      </c>
      <c r="E536" s="8">
        <v>421.77347464950549</v>
      </c>
      <c r="F536" s="8">
        <v>422.83021794701529</v>
      </c>
      <c r="G536" s="7">
        <v>57845</v>
      </c>
      <c r="H536" s="9">
        <v>24458613.957145099</v>
      </c>
      <c r="I536" s="5" t="s">
        <v>1665</v>
      </c>
    </row>
    <row r="537" spans="1:9" x14ac:dyDescent="0.25">
      <c r="A537" s="6">
        <v>45993.815972222219</v>
      </c>
      <c r="B537" s="5" t="s">
        <v>28</v>
      </c>
      <c r="C537" s="8">
        <v>422.60104284977251</v>
      </c>
      <c r="D537" s="8">
        <v>422.88237247920461</v>
      </c>
      <c r="E537" s="8">
        <v>422.50380626544569</v>
      </c>
      <c r="F537" s="8">
        <v>422.58776893967217</v>
      </c>
      <c r="G537" s="7">
        <v>55684</v>
      </c>
      <c r="H537" s="9">
        <v>23531377.3256367</v>
      </c>
      <c r="I537" s="5" t="s">
        <v>1666</v>
      </c>
    </row>
    <row r="538" spans="1:9" x14ac:dyDescent="0.25">
      <c r="A538" s="6">
        <v>45993.819444444453</v>
      </c>
      <c r="B538" s="5" t="s">
        <v>28</v>
      </c>
      <c r="C538" s="8">
        <v>422.06276156049381</v>
      </c>
      <c r="D538" s="8">
        <v>422.4029065203481</v>
      </c>
      <c r="E538" s="8">
        <v>421.97416024237612</v>
      </c>
      <c r="F538" s="8">
        <v>422.10050755143521</v>
      </c>
      <c r="G538" s="7">
        <v>101233</v>
      </c>
      <c r="H538" s="9">
        <v>42730500.680954427</v>
      </c>
      <c r="I538" s="5" t="s">
        <v>1667</v>
      </c>
    </row>
    <row r="539" spans="1:9" x14ac:dyDescent="0.25">
      <c r="A539" s="6">
        <v>45993.822916666657</v>
      </c>
      <c r="B539" s="5" t="s">
        <v>28</v>
      </c>
      <c r="C539" s="8">
        <v>422.42347027893749</v>
      </c>
      <c r="D539" s="8">
        <v>422.74859051555518</v>
      </c>
      <c r="E539" s="8">
        <v>422.07050209730897</v>
      </c>
      <c r="F539" s="8">
        <v>422.4987962034624</v>
      </c>
      <c r="G539" s="7">
        <v>69783</v>
      </c>
      <c r="H539" s="9">
        <v>29483233.495466221</v>
      </c>
      <c r="I539" s="5" t="s">
        <v>1668</v>
      </c>
    </row>
    <row r="540" spans="1:9" x14ac:dyDescent="0.25">
      <c r="A540" s="6">
        <v>45993.826388888891</v>
      </c>
      <c r="B540" s="5" t="s">
        <v>28</v>
      </c>
      <c r="C540" s="8">
        <v>422.81237816515312</v>
      </c>
      <c r="D540" s="8">
        <v>422.89684218790552</v>
      </c>
      <c r="E540" s="8">
        <v>422.40537548240701</v>
      </c>
      <c r="F540" s="8">
        <v>422.71305157729432</v>
      </c>
      <c r="G540" s="7">
        <v>30528</v>
      </c>
      <c r="H540" s="9">
        <v>12904584.03855164</v>
      </c>
      <c r="I540" s="5" t="s">
        <v>1669</v>
      </c>
    </row>
    <row r="541" spans="1:9" x14ac:dyDescent="0.25">
      <c r="A541" s="6">
        <v>45993.829861111109</v>
      </c>
      <c r="B541" s="5" t="s">
        <v>28</v>
      </c>
      <c r="C541" s="8">
        <v>423.02620916603951</v>
      </c>
      <c r="D541" s="8">
        <v>423.61196936102709</v>
      </c>
      <c r="E541" s="8">
        <v>422.48899081295212</v>
      </c>
      <c r="F541" s="8">
        <v>423.13349044039188</v>
      </c>
      <c r="G541" s="7">
        <v>40535</v>
      </c>
      <c r="H541" s="9">
        <v>17151716.035001289</v>
      </c>
      <c r="I541" s="5" t="s">
        <v>1670</v>
      </c>
    </row>
    <row r="542" spans="1:9" x14ac:dyDescent="0.25">
      <c r="A542" s="6">
        <v>45993.833333333343</v>
      </c>
      <c r="B542" s="5" t="s">
        <v>28</v>
      </c>
      <c r="C542" s="8">
        <v>422.80503196735401</v>
      </c>
      <c r="D542" s="8">
        <v>422.96982553397498</v>
      </c>
      <c r="E542" s="8">
        <v>422.62967728829699</v>
      </c>
      <c r="F542" s="8">
        <v>422.77318452747699</v>
      </c>
      <c r="G542" s="7">
        <v>73361</v>
      </c>
      <c r="H542" s="9">
        <v>31015063.590120241</v>
      </c>
      <c r="I542" s="5" t="s">
        <v>1671</v>
      </c>
    </row>
    <row r="543" spans="1:9" x14ac:dyDescent="0.25">
      <c r="A543" s="6">
        <v>45993.836805555547</v>
      </c>
      <c r="B543" s="5" t="s">
        <v>28</v>
      </c>
      <c r="C543" s="8">
        <v>422.20743232234167</v>
      </c>
      <c r="D543" s="8">
        <v>422.5838202361399</v>
      </c>
      <c r="E543" s="8">
        <v>422.06215326947847</v>
      </c>
      <c r="F543" s="8">
        <v>422.27280656960107</v>
      </c>
      <c r="G543" s="7">
        <v>47549</v>
      </c>
      <c r="H543" s="9">
        <v>20078649.679577962</v>
      </c>
      <c r="I543" s="5" t="s">
        <v>1672</v>
      </c>
    </row>
    <row r="544" spans="1:9" x14ac:dyDescent="0.25">
      <c r="A544" s="6">
        <v>45993.840277777781</v>
      </c>
      <c r="B544" s="5" t="s">
        <v>28</v>
      </c>
      <c r="C544" s="8">
        <v>422.81384843090791</v>
      </c>
      <c r="D544" s="8">
        <v>423.16607368394028</v>
      </c>
      <c r="E544" s="8">
        <v>422.32464562875577</v>
      </c>
      <c r="F544" s="8">
        <v>422.3810266503333</v>
      </c>
      <c r="G544" s="7">
        <v>75497</v>
      </c>
      <c r="H544" s="9">
        <v>31888500.369020209</v>
      </c>
      <c r="I544" s="5" t="s">
        <v>1673</v>
      </c>
    </row>
    <row r="545" spans="1:9" x14ac:dyDescent="0.25">
      <c r="A545" s="6">
        <v>45993.84375</v>
      </c>
      <c r="B545" s="5" t="s">
        <v>28</v>
      </c>
      <c r="C545" s="8">
        <v>422.57673573948938</v>
      </c>
      <c r="D545" s="8">
        <v>422.84119553020952</v>
      </c>
      <c r="E545" s="8">
        <v>422.20902904204638</v>
      </c>
      <c r="F545" s="8">
        <v>422.39988930011708</v>
      </c>
      <c r="G545" s="7">
        <v>45192</v>
      </c>
      <c r="H545" s="9">
        <v>19089095.797250889</v>
      </c>
      <c r="I545" s="5" t="s">
        <v>1674</v>
      </c>
    </row>
    <row r="546" spans="1:9" x14ac:dyDescent="0.25">
      <c r="A546" s="6">
        <v>45993.847222222219</v>
      </c>
      <c r="B546" s="5" t="s">
        <v>28</v>
      </c>
      <c r="C546" s="8">
        <v>422.72095812002709</v>
      </c>
      <c r="D546" s="8">
        <v>422.77815063035382</v>
      </c>
      <c r="E546" s="8">
        <v>422.54840889538082</v>
      </c>
      <c r="F546" s="8">
        <v>422.70256748876687</v>
      </c>
      <c r="G546" s="7">
        <v>31137</v>
      </c>
      <c r="H546" s="9">
        <v>13161689.84389773</v>
      </c>
      <c r="I546" s="5" t="s">
        <v>1675</v>
      </c>
    </row>
    <row r="547" spans="1:9" x14ac:dyDescent="0.25">
      <c r="A547" s="6">
        <v>45993.850694444453</v>
      </c>
      <c r="B547" s="5" t="s">
        <v>28</v>
      </c>
      <c r="C547" s="8">
        <v>422.36164673334531</v>
      </c>
      <c r="D547" s="8">
        <v>422.43369985039709</v>
      </c>
      <c r="E547" s="8">
        <v>422.09374837768252</v>
      </c>
      <c r="F547" s="8">
        <v>422.27479159860781</v>
      </c>
      <c r="G547" s="7">
        <v>37409</v>
      </c>
      <c r="H547" s="9">
        <v>15796877.678912319</v>
      </c>
      <c r="I547" s="5" t="s">
        <v>1676</v>
      </c>
    </row>
    <row r="548" spans="1:9" x14ac:dyDescent="0.25">
      <c r="A548" s="6">
        <v>45993.854166666657</v>
      </c>
      <c r="B548" s="5" t="s">
        <v>28</v>
      </c>
      <c r="C548" s="8">
        <v>422.63459087332518</v>
      </c>
      <c r="D548" s="8">
        <v>423.19972368235511</v>
      </c>
      <c r="E548" s="8">
        <v>422.43374875291522</v>
      </c>
      <c r="F548" s="8">
        <v>422.50972659615093</v>
      </c>
      <c r="G548" s="7">
        <v>117122</v>
      </c>
      <c r="H548" s="9">
        <v>49485184.198394381</v>
      </c>
      <c r="I548" s="5" t="s">
        <v>1677</v>
      </c>
    </row>
    <row r="549" spans="1:9" x14ac:dyDescent="0.25">
      <c r="A549" s="6">
        <v>45993.857638888891</v>
      </c>
      <c r="B549" s="5" t="s">
        <v>28</v>
      </c>
      <c r="C549" s="8">
        <v>422.33914667778049</v>
      </c>
      <c r="D549" s="8">
        <v>422.34464672853949</v>
      </c>
      <c r="E549" s="8">
        <v>422.00366627654591</v>
      </c>
      <c r="F549" s="8">
        <v>422.21529810030353</v>
      </c>
      <c r="G549" s="7">
        <v>51998</v>
      </c>
      <c r="H549" s="9">
        <v>21954351.070619579</v>
      </c>
      <c r="I549" s="5" t="s">
        <v>1678</v>
      </c>
    </row>
    <row r="550" spans="1:9" x14ac:dyDescent="0.25">
      <c r="A550" s="6">
        <v>45993.861111111109</v>
      </c>
      <c r="B550" s="5" t="s">
        <v>28</v>
      </c>
      <c r="C550" s="8">
        <v>421.85845963787091</v>
      </c>
      <c r="D550" s="8">
        <v>422.01072565171859</v>
      </c>
      <c r="E550" s="8">
        <v>421.70559729122101</v>
      </c>
      <c r="F550" s="8">
        <v>421.91463208287769</v>
      </c>
      <c r="G550" s="7">
        <v>43788</v>
      </c>
      <c r="H550" s="9">
        <v>18474797.909645051</v>
      </c>
      <c r="I550" s="5" t="s">
        <v>1679</v>
      </c>
    </row>
    <row r="551" spans="1:9" x14ac:dyDescent="0.25">
      <c r="A551" s="6">
        <v>45993.864583333343</v>
      </c>
      <c r="B551" s="5" t="s">
        <v>28</v>
      </c>
      <c r="C551" s="8">
        <v>422.25205075478738</v>
      </c>
      <c r="D551" s="8">
        <v>422.63666268748449</v>
      </c>
      <c r="E551" s="8">
        <v>422.0112510145126</v>
      </c>
      <c r="F551" s="8">
        <v>422.32747873315333</v>
      </c>
      <c r="G551" s="7">
        <v>70656</v>
      </c>
      <c r="H551" s="9">
        <v>29839970.33736968</v>
      </c>
      <c r="I551" s="5" t="s">
        <v>1680</v>
      </c>
    </row>
    <row r="552" spans="1:9" x14ac:dyDescent="0.25">
      <c r="A552" s="6">
        <v>45993.868055555547</v>
      </c>
      <c r="B552" s="5" t="s">
        <v>28</v>
      </c>
      <c r="C552" s="8">
        <v>421.53688692087161</v>
      </c>
      <c r="D552" s="8">
        <v>421.71390916867898</v>
      </c>
      <c r="E552" s="8">
        <v>421.15642426443162</v>
      </c>
      <c r="F552" s="8">
        <v>421.47566427510742</v>
      </c>
      <c r="G552" s="7">
        <v>51088</v>
      </c>
      <c r="H552" s="9">
        <v>21532348.736486688</v>
      </c>
      <c r="I552" s="5" t="s">
        <v>1681</v>
      </c>
    </row>
    <row r="553" spans="1:9" x14ac:dyDescent="0.25">
      <c r="A553" s="6">
        <v>45993.871527777781</v>
      </c>
      <c r="B553" s="5" t="s">
        <v>28</v>
      </c>
      <c r="C553" s="8">
        <v>421.18037455545931</v>
      </c>
      <c r="D553" s="8">
        <v>421.21296654658732</v>
      </c>
      <c r="E553" s="8">
        <v>420.83111151510792</v>
      </c>
      <c r="F553" s="8">
        <v>421.15988751447799</v>
      </c>
      <c r="G553" s="7">
        <v>60804</v>
      </c>
      <c r="H553" s="9">
        <v>25608205.80043032</v>
      </c>
      <c r="I553" s="5" t="s">
        <v>1682</v>
      </c>
    </row>
    <row r="554" spans="1:9" x14ac:dyDescent="0.25">
      <c r="A554" s="6">
        <v>45993.875</v>
      </c>
      <c r="B554" s="5" t="s">
        <v>28</v>
      </c>
      <c r="C554" s="8">
        <v>420.82558614226832</v>
      </c>
      <c r="D554" s="8">
        <v>421.04994352556417</v>
      </c>
      <c r="E554" s="8">
        <v>420.80887640888392</v>
      </c>
      <c r="F554" s="8">
        <v>420.99491389993932</v>
      </c>
      <c r="G554" s="7">
        <v>90213</v>
      </c>
      <c r="H554" s="9">
        <v>37979214.167655222</v>
      </c>
      <c r="I554" s="5" t="s">
        <v>1683</v>
      </c>
    </row>
    <row r="555" spans="1:9" x14ac:dyDescent="0.25">
      <c r="A555" s="6">
        <v>45994.604166666657</v>
      </c>
      <c r="B555" s="5" t="s">
        <v>28</v>
      </c>
      <c r="C555" s="8">
        <v>421.20145517038293</v>
      </c>
      <c r="D555" s="8">
        <v>421.5130030017101</v>
      </c>
      <c r="E555" s="8">
        <v>420.83703420942891</v>
      </c>
      <c r="F555" s="8">
        <v>421.03210721768522</v>
      </c>
      <c r="G555" s="7">
        <v>40107</v>
      </c>
      <c r="H555" s="9">
        <v>16886334.7241797</v>
      </c>
      <c r="I555" s="5" t="s">
        <v>1684</v>
      </c>
    </row>
    <row r="556" spans="1:9" x14ac:dyDescent="0.25">
      <c r="A556" s="6">
        <v>45994.607638888891</v>
      </c>
      <c r="B556" s="5" t="s">
        <v>28</v>
      </c>
      <c r="C556" s="8">
        <v>420.75937020953279</v>
      </c>
      <c r="D556" s="8">
        <v>420.99476569739238</v>
      </c>
      <c r="E556" s="8">
        <v>420.58403511018628</v>
      </c>
      <c r="F556" s="8">
        <v>420.78961408280401</v>
      </c>
      <c r="G556" s="7">
        <v>75697</v>
      </c>
      <c r="H556" s="9">
        <v>31852511.41722602</v>
      </c>
      <c r="I556" s="5" t="s">
        <v>1685</v>
      </c>
    </row>
    <row r="557" spans="1:9" x14ac:dyDescent="0.25">
      <c r="A557" s="6">
        <v>45994.611111111109</v>
      </c>
      <c r="B557" s="5" t="s">
        <v>28</v>
      </c>
      <c r="C557" s="8">
        <v>421.28009581369508</v>
      </c>
      <c r="D557" s="8">
        <v>421.39125286684549</v>
      </c>
      <c r="E557" s="8">
        <v>421.14290634231628</v>
      </c>
      <c r="F557" s="8">
        <v>421.24532217233718</v>
      </c>
      <c r="G557" s="7">
        <v>43512</v>
      </c>
      <c r="H557" s="9">
        <v>18329226.45836274</v>
      </c>
      <c r="I557" s="5" t="s">
        <v>1686</v>
      </c>
    </row>
    <row r="558" spans="1:9" x14ac:dyDescent="0.25">
      <c r="A558" s="6">
        <v>45994.614583333343</v>
      </c>
      <c r="B558" s="5" t="s">
        <v>28</v>
      </c>
      <c r="C558" s="8">
        <v>421.20414521720153</v>
      </c>
      <c r="D558" s="8">
        <v>421.5921693409245</v>
      </c>
      <c r="E558" s="8">
        <v>420.53080557125679</v>
      </c>
      <c r="F558" s="8">
        <v>421.30054894386052</v>
      </c>
      <c r="G558" s="7">
        <v>80480</v>
      </c>
      <c r="H558" s="9">
        <v>33906268.17900189</v>
      </c>
      <c r="I558" s="5" t="s">
        <v>1687</v>
      </c>
    </row>
    <row r="559" spans="1:9" x14ac:dyDescent="0.25">
      <c r="A559" s="6">
        <v>45994.618055555547</v>
      </c>
      <c r="B559" s="5" t="s">
        <v>28</v>
      </c>
      <c r="C559" s="8">
        <v>421.62950044226119</v>
      </c>
      <c r="D559" s="8">
        <v>421.7200171596694</v>
      </c>
      <c r="E559" s="8">
        <v>421.57790962202932</v>
      </c>
      <c r="F559" s="8">
        <v>421.63486044463298</v>
      </c>
      <c r="G559" s="7">
        <v>94164</v>
      </c>
      <c r="H559" s="9">
        <v>39702824.998908423</v>
      </c>
      <c r="I559" s="5" t="s">
        <v>1688</v>
      </c>
    </row>
    <row r="560" spans="1:9" x14ac:dyDescent="0.25">
      <c r="A560" s="6">
        <v>45994.621527777781</v>
      </c>
      <c r="B560" s="5" t="s">
        <v>28</v>
      </c>
      <c r="C560" s="8">
        <v>422.26370373955649</v>
      </c>
      <c r="D560" s="8">
        <v>422.67763129070312</v>
      </c>
      <c r="E560" s="8">
        <v>422.09946355608969</v>
      </c>
      <c r="F560" s="8">
        <v>422.26239246289617</v>
      </c>
      <c r="G560" s="7">
        <v>69246</v>
      </c>
      <c r="H560" s="9">
        <v>29239981.628485709</v>
      </c>
      <c r="I560" s="5" t="s">
        <v>1689</v>
      </c>
    </row>
    <row r="561" spans="1:9" x14ac:dyDescent="0.25">
      <c r="A561" s="6">
        <v>45994.625</v>
      </c>
      <c r="B561" s="5" t="s">
        <v>28</v>
      </c>
      <c r="C561" s="8">
        <v>422.26889886880463</v>
      </c>
      <c r="D561" s="8">
        <v>422.51169733788828</v>
      </c>
      <c r="E561" s="8">
        <v>422.09993265916921</v>
      </c>
      <c r="F561" s="8">
        <v>422.42868589310621</v>
      </c>
      <c r="G561" s="7">
        <v>79068</v>
      </c>
      <c r="H561" s="9">
        <v>33400591.336196121</v>
      </c>
      <c r="I561" s="5" t="s">
        <v>1690</v>
      </c>
    </row>
    <row r="562" spans="1:9" x14ac:dyDescent="0.25">
      <c r="A562" s="6">
        <v>45994.628472222219</v>
      </c>
      <c r="B562" s="5" t="s">
        <v>28</v>
      </c>
      <c r="C562" s="8">
        <v>421.86641335831791</v>
      </c>
      <c r="D562" s="8">
        <v>422.42028655294911</v>
      </c>
      <c r="E562" s="8">
        <v>421.8609713571999</v>
      </c>
      <c r="F562" s="8">
        <v>422.09101462529941</v>
      </c>
      <c r="G562" s="7">
        <v>66758</v>
      </c>
      <c r="H562" s="9">
        <v>28177951.954355739</v>
      </c>
      <c r="I562" s="5" t="s">
        <v>1691</v>
      </c>
    </row>
    <row r="563" spans="1:9" x14ac:dyDescent="0.25">
      <c r="A563" s="6">
        <v>45994.631944444453</v>
      </c>
      <c r="B563" s="5" t="s">
        <v>28</v>
      </c>
      <c r="C563" s="8">
        <v>422.12369686855038</v>
      </c>
      <c r="D563" s="8">
        <v>422.41988047777772</v>
      </c>
      <c r="E563" s="8">
        <v>421.98462514012272</v>
      </c>
      <c r="F563" s="8">
        <v>422.22028026990341</v>
      </c>
      <c r="G563" s="7">
        <v>55418</v>
      </c>
      <c r="H563" s="9">
        <v>23398603.49199751</v>
      </c>
      <c r="I563" s="5" t="s">
        <v>1692</v>
      </c>
    </row>
    <row r="564" spans="1:9" x14ac:dyDescent="0.25">
      <c r="A564" s="6">
        <v>45994.635416666657</v>
      </c>
      <c r="B564" s="5" t="s">
        <v>28</v>
      </c>
      <c r="C564" s="8">
        <v>422.57225742046148</v>
      </c>
      <c r="D564" s="8">
        <v>423.06903638156598</v>
      </c>
      <c r="E564" s="8">
        <v>422.39153751440449</v>
      </c>
      <c r="F564" s="8">
        <v>422.59268786608112</v>
      </c>
      <c r="G564" s="7">
        <v>59869</v>
      </c>
      <c r="H564" s="9">
        <v>25300201.629854411</v>
      </c>
      <c r="I564" s="5" t="s">
        <v>1693</v>
      </c>
    </row>
    <row r="565" spans="1:9" x14ac:dyDescent="0.25">
      <c r="A565" s="6">
        <v>45994.638888888891</v>
      </c>
      <c r="B565" s="5" t="s">
        <v>28</v>
      </c>
      <c r="C565" s="8">
        <v>422.6087540508363</v>
      </c>
      <c r="D565" s="8">
        <v>422.76835562489782</v>
      </c>
      <c r="E565" s="8">
        <v>422.28053442992177</v>
      </c>
      <c r="F565" s="8">
        <v>422.44559884232473</v>
      </c>
      <c r="G565" s="7">
        <v>62752</v>
      </c>
      <c r="H565" s="9">
        <v>26509306.218553562</v>
      </c>
      <c r="I565" s="5" t="s">
        <v>1694</v>
      </c>
    </row>
    <row r="566" spans="1:9" x14ac:dyDescent="0.25">
      <c r="A566" s="6">
        <v>45994.642361111109</v>
      </c>
      <c r="B566" s="5" t="s">
        <v>28</v>
      </c>
      <c r="C566" s="8">
        <v>423.20386901510932</v>
      </c>
      <c r="D566" s="8">
        <v>423.48195971775812</v>
      </c>
      <c r="E566" s="8">
        <v>423.11627603200378</v>
      </c>
      <c r="F566" s="8">
        <v>423.43257758905742</v>
      </c>
      <c r="G566" s="7">
        <v>87894</v>
      </c>
      <c r="H566" s="9">
        <v>37217182.974612623</v>
      </c>
      <c r="I566" s="5" t="s">
        <v>1695</v>
      </c>
    </row>
    <row r="567" spans="1:9" x14ac:dyDescent="0.25">
      <c r="A567" s="6">
        <v>45994.645833333343</v>
      </c>
      <c r="B567" s="5" t="s">
        <v>28</v>
      </c>
      <c r="C567" s="8">
        <v>423.19079056581887</v>
      </c>
      <c r="D567" s="8">
        <v>423.62408781547032</v>
      </c>
      <c r="E567" s="8">
        <v>423.08224209926459</v>
      </c>
      <c r="F567" s="8">
        <v>423.27157171195711</v>
      </c>
      <c r="G567" s="7">
        <v>65978</v>
      </c>
      <c r="H567" s="9">
        <v>27926611.758411501</v>
      </c>
      <c r="I567" s="5" t="s">
        <v>1696</v>
      </c>
    </row>
    <row r="568" spans="1:9" x14ac:dyDescent="0.25">
      <c r="A568" s="6">
        <v>45994.649305555547</v>
      </c>
      <c r="B568" s="5" t="s">
        <v>28</v>
      </c>
      <c r="C568" s="8">
        <v>423.29946878365189</v>
      </c>
      <c r="D568" s="8">
        <v>423.64202684764848</v>
      </c>
      <c r="E568" s="8">
        <v>423.11295988222992</v>
      </c>
      <c r="F568" s="8">
        <v>423.25114515533647</v>
      </c>
      <c r="G568" s="7">
        <v>58677</v>
      </c>
      <c r="H568" s="9">
        <v>24835107.444279678</v>
      </c>
      <c r="I568" s="5" t="s">
        <v>1697</v>
      </c>
    </row>
    <row r="569" spans="1:9" x14ac:dyDescent="0.25">
      <c r="A569" s="6">
        <v>45994.652777777781</v>
      </c>
      <c r="B569" s="5" t="s">
        <v>28</v>
      </c>
      <c r="C569" s="8">
        <v>423.43007643855861</v>
      </c>
      <c r="D569" s="8">
        <v>423.55867707898972</v>
      </c>
      <c r="E569" s="8">
        <v>423.14577848056717</v>
      </c>
      <c r="F569" s="8">
        <v>423.29119011242392</v>
      </c>
      <c r="G569" s="7">
        <v>58653</v>
      </c>
      <c r="H569" s="9">
        <v>24827298.173664</v>
      </c>
      <c r="I569" s="5" t="s">
        <v>1698</v>
      </c>
    </row>
    <row r="570" spans="1:9" x14ac:dyDescent="0.25">
      <c r="A570" s="6">
        <v>45994.65625</v>
      </c>
      <c r="B570" s="5" t="s">
        <v>28</v>
      </c>
      <c r="C570" s="8">
        <v>423.69159325341462</v>
      </c>
      <c r="D570" s="8">
        <v>423.79415274550018</v>
      </c>
      <c r="E570" s="8">
        <v>423.31287603190049</v>
      </c>
      <c r="F570" s="8">
        <v>423.76907774539478</v>
      </c>
      <c r="G570" s="7">
        <v>41435</v>
      </c>
      <c r="H570" s="9">
        <v>17558871.736380439</v>
      </c>
      <c r="I570" s="5" t="s">
        <v>1699</v>
      </c>
    </row>
    <row r="571" spans="1:9" x14ac:dyDescent="0.25">
      <c r="A571" s="6">
        <v>45994.659722222219</v>
      </c>
      <c r="B571" s="5" t="s">
        <v>28</v>
      </c>
      <c r="C571" s="8">
        <v>424.0850632020813</v>
      </c>
      <c r="D571" s="8">
        <v>424.56413902109898</v>
      </c>
      <c r="E571" s="8">
        <v>424.07294308872611</v>
      </c>
      <c r="F571" s="8">
        <v>424.09159014783859</v>
      </c>
      <c r="G571" s="7">
        <v>55039</v>
      </c>
      <c r="H571" s="9">
        <v>23341577.030146889</v>
      </c>
      <c r="I571" s="5" t="s">
        <v>1700</v>
      </c>
    </row>
    <row r="572" spans="1:9" x14ac:dyDescent="0.25">
      <c r="A572" s="6">
        <v>45994.663194444453</v>
      </c>
      <c r="B572" s="5" t="s">
        <v>28</v>
      </c>
      <c r="C572" s="8">
        <v>423.69859900309427</v>
      </c>
      <c r="D572" s="8">
        <v>423.76854534311678</v>
      </c>
      <c r="E572" s="8">
        <v>423.65602520189418</v>
      </c>
      <c r="F572" s="8">
        <v>423.65687147465752</v>
      </c>
      <c r="G572" s="7">
        <v>83083</v>
      </c>
      <c r="H572" s="9">
        <v>35198683.852728963</v>
      </c>
      <c r="I572" s="5" t="s">
        <v>1701</v>
      </c>
    </row>
    <row r="573" spans="1:9" x14ac:dyDescent="0.25">
      <c r="A573" s="6">
        <v>45994.666666666657</v>
      </c>
      <c r="B573" s="5" t="s">
        <v>28</v>
      </c>
      <c r="C573" s="8">
        <v>423.55547049852709</v>
      </c>
      <c r="D573" s="8">
        <v>423.62547868325362</v>
      </c>
      <c r="E573" s="8">
        <v>423.35257057302698</v>
      </c>
      <c r="F573" s="8">
        <v>423.41961811399682</v>
      </c>
      <c r="G573" s="7">
        <v>93724</v>
      </c>
      <c r="H573" s="9">
        <v>39684580.288116239</v>
      </c>
      <c r="I573" s="5" t="s">
        <v>1702</v>
      </c>
    </row>
    <row r="574" spans="1:9" x14ac:dyDescent="0.25">
      <c r="A574" s="6">
        <v>45994.670138888891</v>
      </c>
      <c r="B574" s="5" t="s">
        <v>28</v>
      </c>
      <c r="C574" s="8">
        <v>423.50868685336332</v>
      </c>
      <c r="D574" s="8">
        <v>423.5931327850974</v>
      </c>
      <c r="E574" s="8">
        <v>423.45610107370061</v>
      </c>
      <c r="F574" s="8">
        <v>423.56112569557621</v>
      </c>
      <c r="G574" s="7">
        <v>35925</v>
      </c>
      <c r="H574" s="9">
        <v>15216433.440613581</v>
      </c>
      <c r="I574" s="5" t="s">
        <v>1703</v>
      </c>
    </row>
    <row r="575" spans="1:9" x14ac:dyDescent="0.25">
      <c r="A575" s="6">
        <v>45994.673611111109</v>
      </c>
      <c r="B575" s="5" t="s">
        <v>28</v>
      </c>
      <c r="C575" s="8">
        <v>423.81032528374169</v>
      </c>
      <c r="D575" s="8">
        <v>424.1424632327097</v>
      </c>
      <c r="E575" s="8">
        <v>423.5686402635817</v>
      </c>
      <c r="F575" s="8">
        <v>423.81185823432293</v>
      </c>
      <c r="G575" s="7">
        <v>80774</v>
      </c>
      <c r="H575" s="9">
        <v>34232979.037019201</v>
      </c>
      <c r="I575" s="5" t="s">
        <v>1704</v>
      </c>
    </row>
    <row r="576" spans="1:9" x14ac:dyDescent="0.25">
      <c r="A576" s="6">
        <v>45994.677083333343</v>
      </c>
      <c r="B576" s="5" t="s">
        <v>28</v>
      </c>
      <c r="C576" s="8">
        <v>423.59818567716559</v>
      </c>
      <c r="D576" s="8">
        <v>423.87159972039149</v>
      </c>
      <c r="E576" s="8">
        <v>423.27718186190629</v>
      </c>
      <c r="F576" s="8">
        <v>423.32692505141682</v>
      </c>
      <c r="G576" s="7">
        <v>24430</v>
      </c>
      <c r="H576" s="9">
        <v>10341876.779006111</v>
      </c>
      <c r="I576" s="5" t="s">
        <v>1705</v>
      </c>
    </row>
    <row r="577" spans="1:9" x14ac:dyDescent="0.25">
      <c r="A577" s="6">
        <v>45994.680555555547</v>
      </c>
      <c r="B577" s="5" t="s">
        <v>28</v>
      </c>
      <c r="C577" s="8">
        <v>423.22721335569031</v>
      </c>
      <c r="D577" s="8">
        <v>423.41393944844822</v>
      </c>
      <c r="E577" s="8">
        <v>423.18233290143507</v>
      </c>
      <c r="F577" s="8">
        <v>423.29513432008861</v>
      </c>
      <c r="G577" s="7">
        <v>52948</v>
      </c>
      <c r="H577" s="9">
        <v>22412630.771980051</v>
      </c>
      <c r="I577" s="5" t="s">
        <v>1706</v>
      </c>
    </row>
    <row r="578" spans="1:9" x14ac:dyDescent="0.25">
      <c r="A578" s="6">
        <v>45994.684027777781</v>
      </c>
      <c r="B578" s="5" t="s">
        <v>28</v>
      </c>
      <c r="C578" s="8">
        <v>424.20169595106421</v>
      </c>
      <c r="D578" s="8">
        <v>424.39343479545641</v>
      </c>
      <c r="E578" s="8">
        <v>424.02352311768448</v>
      </c>
      <c r="F578" s="8">
        <v>424.10629689900281</v>
      </c>
      <c r="G578" s="7">
        <v>21639</v>
      </c>
      <c r="H578" s="9">
        <v>9177236.1585975215</v>
      </c>
      <c r="I578" s="5" t="s">
        <v>1707</v>
      </c>
    </row>
    <row r="579" spans="1:9" x14ac:dyDescent="0.25">
      <c r="A579" s="6">
        <v>45994.6875</v>
      </c>
      <c r="B579" s="5" t="s">
        <v>28</v>
      </c>
      <c r="C579" s="8">
        <v>424.02757611967002</v>
      </c>
      <c r="D579" s="8">
        <v>424.17671424193611</v>
      </c>
      <c r="E579" s="8">
        <v>423.84474635610172</v>
      </c>
      <c r="F579" s="8">
        <v>423.87326159913363</v>
      </c>
      <c r="G579" s="7">
        <v>39533</v>
      </c>
      <c r="H579" s="9">
        <v>16756981.65079855</v>
      </c>
      <c r="I579" s="5" t="s">
        <v>1708</v>
      </c>
    </row>
    <row r="580" spans="1:9" x14ac:dyDescent="0.25">
      <c r="A580" s="6">
        <v>45994.690972222219</v>
      </c>
      <c r="B580" s="5" t="s">
        <v>28</v>
      </c>
      <c r="C580" s="8">
        <v>424.16968843963292</v>
      </c>
      <c r="D580" s="8">
        <v>424.1793571073303</v>
      </c>
      <c r="E580" s="8">
        <v>423.93134741816039</v>
      </c>
      <c r="F580" s="8">
        <v>424.15937444974162</v>
      </c>
      <c r="G580" s="7">
        <v>104711</v>
      </c>
      <c r="H580" s="9">
        <v>44414152.258006893</v>
      </c>
      <c r="I580" s="5" t="s">
        <v>1709</v>
      </c>
    </row>
    <row r="581" spans="1:9" x14ac:dyDescent="0.25">
      <c r="A581" s="6">
        <v>45994.694444444453</v>
      </c>
      <c r="B581" s="5" t="s">
        <v>28</v>
      </c>
      <c r="C581" s="8">
        <v>424.22282056337502</v>
      </c>
      <c r="D581" s="8">
        <v>424.53866568667718</v>
      </c>
      <c r="E581" s="8">
        <v>424.1670203704669</v>
      </c>
      <c r="F581" s="8">
        <v>424.44852833747768</v>
      </c>
      <c r="G581" s="7">
        <v>39474</v>
      </c>
      <c r="H581" s="9">
        <v>16754681.20759359</v>
      </c>
      <c r="I581" s="5" t="s">
        <v>1710</v>
      </c>
    </row>
    <row r="582" spans="1:9" x14ac:dyDescent="0.25">
      <c r="A582" s="6">
        <v>45994.697916666657</v>
      </c>
      <c r="B582" s="5" t="s">
        <v>28</v>
      </c>
      <c r="C582" s="8">
        <v>423.75603869219009</v>
      </c>
      <c r="D582" s="8">
        <v>423.90305401091911</v>
      </c>
      <c r="E582" s="8">
        <v>423.72582752989462</v>
      </c>
      <c r="F582" s="8">
        <v>423.81411164185641</v>
      </c>
      <c r="G582" s="7">
        <v>45470</v>
      </c>
      <c r="H582" s="9">
        <v>19270827.65635521</v>
      </c>
      <c r="I582" s="5" t="s">
        <v>1711</v>
      </c>
    </row>
    <row r="583" spans="1:9" x14ac:dyDescent="0.25">
      <c r="A583" s="6">
        <v>45994.701388888891</v>
      </c>
      <c r="B583" s="5" t="s">
        <v>28</v>
      </c>
      <c r="C583" s="8">
        <v>423.88342700378672</v>
      </c>
      <c r="D583" s="8">
        <v>423.97122972129102</v>
      </c>
      <c r="E583" s="8">
        <v>423.76991880935032</v>
      </c>
      <c r="F583" s="8">
        <v>423.85307609999143</v>
      </c>
      <c r="G583" s="7">
        <v>47782</v>
      </c>
      <c r="H583" s="9">
        <v>20252547.68220979</v>
      </c>
      <c r="I583" s="5" t="s">
        <v>1712</v>
      </c>
    </row>
    <row r="584" spans="1:9" x14ac:dyDescent="0.25">
      <c r="A584" s="6">
        <v>45994.704861111109</v>
      </c>
      <c r="B584" s="5" t="s">
        <v>28</v>
      </c>
      <c r="C584" s="8">
        <v>423.22278872151787</v>
      </c>
      <c r="D584" s="8">
        <v>423.43947842846302</v>
      </c>
      <c r="E584" s="8">
        <v>422.55308236415618</v>
      </c>
      <c r="F584" s="8">
        <v>423.23120338464611</v>
      </c>
      <c r="G584" s="7">
        <v>27856</v>
      </c>
      <c r="H584" s="9">
        <v>11789528.401482699</v>
      </c>
      <c r="I584" s="5" t="s">
        <v>1713</v>
      </c>
    </row>
    <row r="585" spans="1:9" x14ac:dyDescent="0.25">
      <c r="A585" s="6">
        <v>45994.708333333343</v>
      </c>
      <c r="B585" s="5" t="s">
        <v>28</v>
      </c>
      <c r="C585" s="8">
        <v>422.89687515239518</v>
      </c>
      <c r="D585" s="8">
        <v>423.06857993639159</v>
      </c>
      <c r="E585" s="8">
        <v>422.6589901855582</v>
      </c>
      <c r="F585" s="8">
        <v>423.01572072783529</v>
      </c>
      <c r="G585" s="7">
        <v>61254</v>
      </c>
      <c r="H585" s="9">
        <v>25911404.957462821</v>
      </c>
      <c r="I585" s="5" t="s">
        <v>1714</v>
      </c>
    </row>
    <row r="586" spans="1:9" x14ac:dyDescent="0.25">
      <c r="A586" s="6">
        <v>45994.711805555547</v>
      </c>
      <c r="B586" s="5" t="s">
        <v>28</v>
      </c>
      <c r="C586" s="8">
        <v>423.26649418239009</v>
      </c>
      <c r="D586" s="8">
        <v>423.40272948926662</v>
      </c>
      <c r="E586" s="8">
        <v>422.8707753999156</v>
      </c>
      <c r="F586" s="8">
        <v>423.36920557289358</v>
      </c>
      <c r="G586" s="7">
        <v>79982</v>
      </c>
      <c r="H586" s="9">
        <v>33861915.800131179</v>
      </c>
      <c r="I586" s="5" t="s">
        <v>1715</v>
      </c>
    </row>
    <row r="587" spans="1:9" x14ac:dyDescent="0.25">
      <c r="A587" s="6">
        <v>45994.715277777781</v>
      </c>
      <c r="B587" s="5" t="s">
        <v>28</v>
      </c>
      <c r="C587" s="8">
        <v>422.98658243621912</v>
      </c>
      <c r="D587" s="8">
        <v>423.17345891002913</v>
      </c>
      <c r="E587" s="8">
        <v>422.66762410339152</v>
      </c>
      <c r="F587" s="8">
        <v>422.73077341065851</v>
      </c>
      <c r="G587" s="7">
        <v>50841</v>
      </c>
      <c r="H587" s="9">
        <v>21492055.250971291</v>
      </c>
      <c r="I587" s="5" t="s">
        <v>1716</v>
      </c>
    </row>
    <row r="588" spans="1:9" x14ac:dyDescent="0.25">
      <c r="A588" s="6">
        <v>45994.71875</v>
      </c>
      <c r="B588" s="5" t="s">
        <v>28</v>
      </c>
      <c r="C588" s="8">
        <v>422.44296118880669</v>
      </c>
      <c r="D588" s="8">
        <v>422.68158013617477</v>
      </c>
      <c r="E588" s="8">
        <v>422.23358627015682</v>
      </c>
      <c r="F588" s="8">
        <v>422.5375027754464</v>
      </c>
      <c r="G588" s="7">
        <v>37853</v>
      </c>
      <c r="H588" s="9">
        <v>15994312.092558971</v>
      </c>
      <c r="I588" s="5" t="s">
        <v>1717</v>
      </c>
    </row>
    <row r="589" spans="1:9" x14ac:dyDescent="0.25">
      <c r="A589" s="6">
        <v>45994.722222222219</v>
      </c>
      <c r="B589" s="5" t="s">
        <v>28</v>
      </c>
      <c r="C589" s="8">
        <v>422.29536875310282</v>
      </c>
      <c r="D589" s="8">
        <v>422.82262272494751</v>
      </c>
      <c r="E589" s="8">
        <v>422.10698670935778</v>
      </c>
      <c r="F589" s="8">
        <v>422.30181367994157</v>
      </c>
      <c r="G589" s="7">
        <v>45785</v>
      </c>
      <c r="H589" s="9">
        <v>19335088.53933613</v>
      </c>
      <c r="I589" s="5" t="s">
        <v>1718</v>
      </c>
    </row>
    <row r="590" spans="1:9" x14ac:dyDescent="0.25">
      <c r="A590" s="6">
        <v>45994.725694444453</v>
      </c>
      <c r="B590" s="5" t="s">
        <v>28</v>
      </c>
      <c r="C590" s="8">
        <v>422.72714289009002</v>
      </c>
      <c r="D590" s="8">
        <v>422.79475600955192</v>
      </c>
      <c r="E590" s="8">
        <v>422.43458655456641</v>
      </c>
      <c r="F590" s="8">
        <v>422.55809437203771</v>
      </c>
      <c r="G590" s="7">
        <v>50307</v>
      </c>
      <c r="H590" s="9">
        <v>21257630.0535741</v>
      </c>
      <c r="I590" s="5" t="s">
        <v>1719</v>
      </c>
    </row>
    <row r="591" spans="1:9" x14ac:dyDescent="0.25">
      <c r="A591" s="6">
        <v>45994.729166666657</v>
      </c>
      <c r="B591" s="5" t="s">
        <v>28</v>
      </c>
      <c r="C591" s="8">
        <v>422.03943437091579</v>
      </c>
      <c r="D591" s="8">
        <v>422.34598606953318</v>
      </c>
      <c r="E591" s="8">
        <v>421.88953962497112</v>
      </c>
      <c r="F591" s="8">
        <v>422.28539157951519</v>
      </c>
      <c r="G591" s="7">
        <v>25729</v>
      </c>
      <c r="H591" s="9">
        <v>10864980.839949351</v>
      </c>
      <c r="I591" s="5" t="s">
        <v>1720</v>
      </c>
    </row>
    <row r="592" spans="1:9" x14ac:dyDescent="0.25">
      <c r="A592" s="6">
        <v>45994.732638888891</v>
      </c>
      <c r="B592" s="5" t="s">
        <v>28</v>
      </c>
      <c r="C592" s="8">
        <v>422.55828962185808</v>
      </c>
      <c r="D592" s="8">
        <v>422.64883967217429</v>
      </c>
      <c r="E592" s="8">
        <v>422.08873534188342</v>
      </c>
      <c r="F592" s="8">
        <v>422.37174829320531</v>
      </c>
      <c r="G592" s="7">
        <v>53651</v>
      </c>
      <c r="H592" s="9">
        <v>22660666.667678759</v>
      </c>
      <c r="I592" s="5" t="s">
        <v>1721</v>
      </c>
    </row>
    <row r="593" spans="1:9" x14ac:dyDescent="0.25">
      <c r="A593" s="6">
        <v>45994.736111111109</v>
      </c>
      <c r="B593" s="5" t="s">
        <v>28</v>
      </c>
      <c r="C593" s="8">
        <v>421.97117032463018</v>
      </c>
      <c r="D593" s="8">
        <v>422.06996082115188</v>
      </c>
      <c r="E593" s="8">
        <v>421.67007483480398</v>
      </c>
      <c r="F593" s="8">
        <v>421.96860360136509</v>
      </c>
      <c r="G593" s="7">
        <v>84601</v>
      </c>
      <c r="H593" s="9">
        <v>35698965.833279103</v>
      </c>
      <c r="I593" s="5" t="s">
        <v>1722</v>
      </c>
    </row>
    <row r="594" spans="1:9" x14ac:dyDescent="0.25">
      <c r="A594" s="6">
        <v>45994.739583333343</v>
      </c>
      <c r="B594" s="5" t="s">
        <v>28</v>
      </c>
      <c r="C594" s="8">
        <v>421.92783596865871</v>
      </c>
      <c r="D594" s="8">
        <v>422.05500484273063</v>
      </c>
      <c r="E594" s="8">
        <v>421.8794646286504</v>
      </c>
      <c r="F594" s="8">
        <v>422.01629916879222</v>
      </c>
      <c r="G594" s="7">
        <v>73237</v>
      </c>
      <c r="H594" s="9">
        <v>30907207.702224839</v>
      </c>
      <c r="I594" s="5" t="s">
        <v>1723</v>
      </c>
    </row>
    <row r="595" spans="1:9" x14ac:dyDescent="0.25">
      <c r="A595" s="6">
        <v>45994.743055555547</v>
      </c>
      <c r="B595" s="5" t="s">
        <v>28</v>
      </c>
      <c r="C595" s="8">
        <v>422.52279148219992</v>
      </c>
      <c r="D595" s="8">
        <v>422.91922885772442</v>
      </c>
      <c r="E595" s="8">
        <v>422.18355167771011</v>
      </c>
      <c r="F595" s="8">
        <v>422.60639065393269</v>
      </c>
      <c r="G595" s="7">
        <v>136522</v>
      </c>
      <c r="H595" s="9">
        <v>57695069.664856203</v>
      </c>
      <c r="I595" s="5" t="s">
        <v>1724</v>
      </c>
    </row>
    <row r="596" spans="1:9" x14ac:dyDescent="0.25">
      <c r="A596" s="6">
        <v>45994.746527777781</v>
      </c>
      <c r="B596" s="5" t="s">
        <v>28</v>
      </c>
      <c r="C596" s="8">
        <v>422.23958936467687</v>
      </c>
      <c r="D596" s="8">
        <v>422.67338736543178</v>
      </c>
      <c r="E596" s="8">
        <v>422.22805049889263</v>
      </c>
      <c r="F596" s="8">
        <v>422.35988083359518</v>
      </c>
      <c r="G596" s="7">
        <v>61363</v>
      </c>
      <c r="H596" s="9">
        <v>25917269.36759191</v>
      </c>
      <c r="I596" s="5" t="s">
        <v>1725</v>
      </c>
    </row>
    <row r="597" spans="1:9" x14ac:dyDescent="0.25">
      <c r="A597" s="6">
        <v>45994.75</v>
      </c>
      <c r="B597" s="5" t="s">
        <v>28</v>
      </c>
      <c r="C597" s="8">
        <v>422.34819444447561</v>
      </c>
      <c r="D597" s="8">
        <v>422.56424528549218</v>
      </c>
      <c r="E597" s="8">
        <v>422.08729302649988</v>
      </c>
      <c r="F597" s="8">
        <v>422.24674930143459</v>
      </c>
      <c r="G597" s="7">
        <v>38137</v>
      </c>
      <c r="H597" s="9">
        <v>16103224.278108809</v>
      </c>
      <c r="I597" s="5" t="s">
        <v>1726</v>
      </c>
    </row>
    <row r="598" spans="1:9" x14ac:dyDescent="0.25">
      <c r="A598" s="6">
        <v>45994.753472222219</v>
      </c>
      <c r="B598" s="5" t="s">
        <v>28</v>
      </c>
      <c r="C598" s="8">
        <v>422.89212839113202</v>
      </c>
      <c r="D598" s="8">
        <v>423.21498273271771</v>
      </c>
      <c r="E598" s="8">
        <v>422.53827422907199</v>
      </c>
      <c r="F598" s="8">
        <v>422.76015760344097</v>
      </c>
      <c r="G598" s="7">
        <v>94532</v>
      </c>
      <c r="H598" s="9">
        <v>39964363.218568489</v>
      </c>
      <c r="I598" s="5" t="s">
        <v>1727</v>
      </c>
    </row>
    <row r="599" spans="1:9" x14ac:dyDescent="0.25">
      <c r="A599" s="6">
        <v>45994.756944444453</v>
      </c>
      <c r="B599" s="5" t="s">
        <v>28</v>
      </c>
      <c r="C599" s="8">
        <v>422.94604721977458</v>
      </c>
      <c r="D599" s="8">
        <v>423.0856345851625</v>
      </c>
      <c r="E599" s="8">
        <v>422.77053682681998</v>
      </c>
      <c r="F599" s="8">
        <v>422.85885376963768</v>
      </c>
      <c r="G599" s="7">
        <v>55907</v>
      </c>
      <c r="H599" s="9">
        <v>23640769.937699139</v>
      </c>
      <c r="I599" s="5" t="s">
        <v>1728</v>
      </c>
    </row>
    <row r="600" spans="1:9" x14ac:dyDescent="0.25">
      <c r="A600" s="6">
        <v>45994.760416666657</v>
      </c>
      <c r="B600" s="5" t="s">
        <v>28</v>
      </c>
      <c r="C600" s="8">
        <v>422.19109234636619</v>
      </c>
      <c r="D600" s="8">
        <v>422.3277427510227</v>
      </c>
      <c r="E600" s="8">
        <v>421.89237179046643</v>
      </c>
      <c r="F600" s="8">
        <v>422.26377043270008</v>
      </c>
      <c r="G600" s="7">
        <v>61431</v>
      </c>
      <c r="H600" s="9">
        <v>25940085.681451201</v>
      </c>
      <c r="I600" s="5" t="s">
        <v>1729</v>
      </c>
    </row>
    <row r="601" spans="1:9" x14ac:dyDescent="0.25">
      <c r="A601" s="6">
        <v>45994.763888888891</v>
      </c>
      <c r="B601" s="5" t="s">
        <v>28</v>
      </c>
      <c r="C601" s="8">
        <v>422.6738933276888</v>
      </c>
      <c r="D601" s="8">
        <v>422.98968419498169</v>
      </c>
      <c r="E601" s="8">
        <v>422.45207860488978</v>
      </c>
      <c r="F601" s="8">
        <v>422.73937075200769</v>
      </c>
      <c r="G601" s="7">
        <v>63433</v>
      </c>
      <c r="H601" s="9">
        <v>26815626.504912101</v>
      </c>
      <c r="I601" s="5" t="s">
        <v>1730</v>
      </c>
    </row>
    <row r="602" spans="1:9" x14ac:dyDescent="0.25">
      <c r="A602" s="6">
        <v>45994.767361111109</v>
      </c>
      <c r="B602" s="5" t="s">
        <v>28</v>
      </c>
      <c r="C602" s="8">
        <v>423.41195082026678</v>
      </c>
      <c r="D602" s="8">
        <v>423.42045838918239</v>
      </c>
      <c r="E602" s="8">
        <v>423.07369744050322</v>
      </c>
      <c r="F602" s="8">
        <v>423.39388122653543</v>
      </c>
      <c r="G602" s="7">
        <v>66743</v>
      </c>
      <c r="H602" s="9">
        <v>28258577.814702649</v>
      </c>
      <c r="I602" s="5" t="s">
        <v>1731</v>
      </c>
    </row>
    <row r="603" spans="1:9" x14ac:dyDescent="0.25">
      <c r="A603" s="6">
        <v>45994.770833333343</v>
      </c>
      <c r="B603" s="5" t="s">
        <v>28</v>
      </c>
      <c r="C603" s="8">
        <v>423.57000917440149</v>
      </c>
      <c r="D603" s="8">
        <v>423.63610422110543</v>
      </c>
      <c r="E603" s="8">
        <v>423.39727486297687</v>
      </c>
      <c r="F603" s="8">
        <v>423.62405898331548</v>
      </c>
      <c r="G603" s="7">
        <v>76842</v>
      </c>
      <c r="H603" s="9">
        <v>32552119.940395929</v>
      </c>
      <c r="I603" s="5" t="s">
        <v>1732</v>
      </c>
    </row>
    <row r="604" spans="1:9" x14ac:dyDescent="0.25">
      <c r="A604" s="6">
        <v>45994.774305555547</v>
      </c>
      <c r="B604" s="5" t="s">
        <v>28</v>
      </c>
      <c r="C604" s="8">
        <v>424.16968225121008</v>
      </c>
      <c r="D604" s="8">
        <v>424.29353842075568</v>
      </c>
      <c r="E604" s="8">
        <v>424.11602653249412</v>
      </c>
      <c r="F604" s="8">
        <v>424.12428336391832</v>
      </c>
      <c r="G604" s="7">
        <v>47523</v>
      </c>
      <c r="H604" s="9">
        <v>20155658.318303488</v>
      </c>
      <c r="I604" s="5" t="s">
        <v>1733</v>
      </c>
    </row>
    <row r="605" spans="1:9" x14ac:dyDescent="0.25">
      <c r="A605" s="6">
        <v>45994.777777777781</v>
      </c>
      <c r="B605" s="5" t="s">
        <v>28</v>
      </c>
      <c r="C605" s="8">
        <v>423.7687883454397</v>
      </c>
      <c r="D605" s="8">
        <v>423.84692697252473</v>
      </c>
      <c r="E605" s="8">
        <v>423.76223423137429</v>
      </c>
      <c r="F605" s="8">
        <v>423.8225941915901</v>
      </c>
      <c r="G605" s="7">
        <v>84681</v>
      </c>
      <c r="H605" s="9">
        <v>35889721.098738037</v>
      </c>
      <c r="I605" s="5" t="s">
        <v>1734</v>
      </c>
    </row>
    <row r="606" spans="1:9" x14ac:dyDescent="0.25">
      <c r="A606" s="6">
        <v>45994.78125</v>
      </c>
      <c r="B606" s="5" t="s">
        <v>28</v>
      </c>
      <c r="C606" s="8">
        <v>424.28286844662051</v>
      </c>
      <c r="D606" s="8">
        <v>424.47508795919481</v>
      </c>
      <c r="E606" s="8">
        <v>424.03041196437829</v>
      </c>
      <c r="F606" s="8">
        <v>424.0967497514639</v>
      </c>
      <c r="G606" s="7">
        <v>61544</v>
      </c>
      <c r="H606" s="9">
        <v>26100610.366704099</v>
      </c>
      <c r="I606" s="5" t="s">
        <v>1735</v>
      </c>
    </row>
    <row r="607" spans="1:9" x14ac:dyDescent="0.25">
      <c r="A607" s="6">
        <v>45994.784722222219</v>
      </c>
      <c r="B607" s="5" t="s">
        <v>28</v>
      </c>
      <c r="C607" s="8">
        <v>423.68166116243998</v>
      </c>
      <c r="D607" s="8">
        <v>423.83349530120222</v>
      </c>
      <c r="E607" s="8">
        <v>423.36504434010919</v>
      </c>
      <c r="F607" s="8">
        <v>423.47258792506778</v>
      </c>
      <c r="G607" s="7">
        <v>112356</v>
      </c>
      <c r="H607" s="9">
        <v>47579686.088908933</v>
      </c>
      <c r="I607" s="5" t="s">
        <v>1736</v>
      </c>
    </row>
    <row r="608" spans="1:9" x14ac:dyDescent="0.25">
      <c r="A608" s="6">
        <v>45994.788194444453</v>
      </c>
      <c r="B608" s="5" t="s">
        <v>28</v>
      </c>
      <c r="C608" s="8">
        <v>422.9788535177907</v>
      </c>
      <c r="D608" s="8">
        <v>423.07889284993138</v>
      </c>
      <c r="E608" s="8">
        <v>422.82818934944748</v>
      </c>
      <c r="F608" s="8">
        <v>423.05897391614872</v>
      </c>
      <c r="G608" s="7">
        <v>61467</v>
      </c>
      <c r="H608" s="9">
        <v>26004165.949703909</v>
      </c>
      <c r="I608" s="5" t="s">
        <v>1737</v>
      </c>
    </row>
    <row r="609" spans="1:9" x14ac:dyDescent="0.25">
      <c r="A609" s="6">
        <v>45994.791666666657</v>
      </c>
      <c r="B609" s="5" t="s">
        <v>28</v>
      </c>
      <c r="C609" s="8">
        <v>423.22530960695309</v>
      </c>
      <c r="D609" s="8">
        <v>423.25580448487989</v>
      </c>
      <c r="E609" s="8">
        <v>422.97454891115058</v>
      </c>
      <c r="F609" s="8">
        <v>423.14675175689348</v>
      </c>
      <c r="G609" s="7">
        <v>53080</v>
      </c>
      <c r="H609" s="9">
        <v>22460629.583255909</v>
      </c>
      <c r="I609" s="5" t="s">
        <v>1738</v>
      </c>
    </row>
    <row r="610" spans="1:9" x14ac:dyDescent="0.25">
      <c r="A610" s="6">
        <v>45994.795138888891</v>
      </c>
      <c r="B610" s="5" t="s">
        <v>28</v>
      </c>
      <c r="C610" s="8">
        <v>423.52067429131102</v>
      </c>
      <c r="D610" s="8">
        <v>423.96121099182841</v>
      </c>
      <c r="E610" s="8">
        <v>423.31380221593031</v>
      </c>
      <c r="F610" s="8">
        <v>423.37340029526382</v>
      </c>
      <c r="G610" s="7">
        <v>63513</v>
      </c>
      <c r="H610" s="9">
        <v>26889714.772953089</v>
      </c>
      <c r="I610" s="5" t="s">
        <v>1739</v>
      </c>
    </row>
    <row r="611" spans="1:9" x14ac:dyDescent="0.25">
      <c r="A611" s="6">
        <v>45994.798611111109</v>
      </c>
      <c r="B611" s="5" t="s">
        <v>28</v>
      </c>
      <c r="C611" s="8">
        <v>422.2660334408875</v>
      </c>
      <c r="D611" s="8">
        <v>422.72908329597288</v>
      </c>
      <c r="E611" s="8">
        <v>422.10054786716762</v>
      </c>
      <c r="F611" s="8">
        <v>422.65281875278691</v>
      </c>
      <c r="G611" s="7">
        <v>78401</v>
      </c>
      <c r="H611" s="9">
        <v>33136403.643037241</v>
      </c>
      <c r="I611" s="5" t="s">
        <v>1740</v>
      </c>
    </row>
    <row r="612" spans="1:9" x14ac:dyDescent="0.25">
      <c r="A612" s="6">
        <v>45994.802083333343</v>
      </c>
      <c r="B612" s="5" t="s">
        <v>28</v>
      </c>
      <c r="C612" s="8">
        <v>422.6422910198537</v>
      </c>
      <c r="D612" s="8">
        <v>422.73614042628259</v>
      </c>
      <c r="E612" s="8">
        <v>422.61898276494611</v>
      </c>
      <c r="F612" s="8">
        <v>422.64520182628462</v>
      </c>
      <c r="G612" s="7">
        <v>43511</v>
      </c>
      <c r="H612" s="9">
        <v>18389715.376663469</v>
      </c>
      <c r="I612" s="5" t="s">
        <v>1741</v>
      </c>
    </row>
    <row r="613" spans="1:9" x14ac:dyDescent="0.25">
      <c r="A613" s="6">
        <v>45994.805555555547</v>
      </c>
      <c r="B613" s="5" t="s">
        <v>28</v>
      </c>
      <c r="C613" s="8">
        <v>422.54478234019939</v>
      </c>
      <c r="D613" s="8">
        <v>422.61119127672907</v>
      </c>
      <c r="E613" s="8">
        <v>422.32186525419041</v>
      </c>
      <c r="F613" s="8">
        <v>422.44692831638139</v>
      </c>
      <c r="G613" s="7">
        <v>59469</v>
      </c>
      <c r="H613" s="9">
        <v>25122496.380046889</v>
      </c>
      <c r="I613" s="5" t="s">
        <v>1742</v>
      </c>
    </row>
    <row r="614" spans="1:9" x14ac:dyDescent="0.25">
      <c r="A614" s="6">
        <v>45994.809027777781</v>
      </c>
      <c r="B614" s="5" t="s">
        <v>28</v>
      </c>
      <c r="C614" s="8">
        <v>422.19198204758658</v>
      </c>
      <c r="D614" s="8">
        <v>422.52475902238149</v>
      </c>
      <c r="E614" s="8">
        <v>421.98029032356561</v>
      </c>
      <c r="F614" s="8">
        <v>422.31506047849831</v>
      </c>
      <c r="G614" s="7">
        <v>67954</v>
      </c>
      <c r="H614" s="9">
        <v>28697997.619755872</v>
      </c>
      <c r="I614" s="5" t="s">
        <v>1743</v>
      </c>
    </row>
    <row r="615" spans="1:9" x14ac:dyDescent="0.25">
      <c r="A615" s="6">
        <v>45994.8125</v>
      </c>
      <c r="B615" s="5" t="s">
        <v>28</v>
      </c>
      <c r="C615" s="8">
        <v>421.7557078755213</v>
      </c>
      <c r="D615" s="8">
        <v>421.84988621076798</v>
      </c>
      <c r="E615" s="8">
        <v>421.55950828823939</v>
      </c>
      <c r="F615" s="8">
        <v>421.7228859760491</v>
      </c>
      <c r="G615" s="7">
        <v>33971</v>
      </c>
      <c r="H615" s="9">
        <v>14326348.15949236</v>
      </c>
      <c r="I615" s="5" t="s">
        <v>1744</v>
      </c>
    </row>
    <row r="616" spans="1:9" x14ac:dyDescent="0.25">
      <c r="A616" s="6">
        <v>45994.815972222219</v>
      </c>
      <c r="B616" s="5" t="s">
        <v>28</v>
      </c>
      <c r="C616" s="8">
        <v>421.67117089718562</v>
      </c>
      <c r="D616" s="8">
        <v>421.80543885030153</v>
      </c>
      <c r="E616" s="8">
        <v>421.48658029110442</v>
      </c>
      <c r="F616" s="8">
        <v>421.65957567797398</v>
      </c>
      <c r="G616" s="7">
        <v>81848</v>
      </c>
      <c r="H616" s="9">
        <v>34511992.950090811</v>
      </c>
      <c r="I616" s="5" t="s">
        <v>1745</v>
      </c>
    </row>
    <row r="617" spans="1:9" x14ac:dyDescent="0.25">
      <c r="A617" s="6">
        <v>45994.819444444453</v>
      </c>
      <c r="B617" s="5" t="s">
        <v>28</v>
      </c>
      <c r="C617" s="8">
        <v>421.55949974380809</v>
      </c>
      <c r="D617" s="8">
        <v>421.82289717533092</v>
      </c>
      <c r="E617" s="8">
        <v>421.55182206750652</v>
      </c>
      <c r="F617" s="8">
        <v>421.61324583034792</v>
      </c>
      <c r="G617" s="7">
        <v>46778</v>
      </c>
      <c r="H617" s="9">
        <v>19722224.413452011</v>
      </c>
      <c r="I617" s="5" t="s">
        <v>1746</v>
      </c>
    </row>
    <row r="618" spans="1:9" x14ac:dyDescent="0.25">
      <c r="A618" s="6">
        <v>45994.822916666657</v>
      </c>
      <c r="B618" s="5" t="s">
        <v>28</v>
      </c>
      <c r="C618" s="8">
        <v>421.89056846055871</v>
      </c>
      <c r="D618" s="8">
        <v>422.16692062226582</v>
      </c>
      <c r="E618" s="8">
        <v>421.71849007965062</v>
      </c>
      <c r="F618" s="8">
        <v>421.93725436052938</v>
      </c>
      <c r="G618" s="7">
        <v>66726</v>
      </c>
      <c r="H618" s="9">
        <v>28154185.234460682</v>
      </c>
      <c r="I618" s="5" t="s">
        <v>1747</v>
      </c>
    </row>
    <row r="619" spans="1:9" x14ac:dyDescent="0.25">
      <c r="A619" s="6">
        <v>45994.826388888891</v>
      </c>
      <c r="B619" s="5" t="s">
        <v>28</v>
      </c>
      <c r="C619" s="8">
        <v>422.45499750204431</v>
      </c>
      <c r="D619" s="8">
        <v>422.57829251002102</v>
      </c>
      <c r="E619" s="8">
        <v>422.28876684218562</v>
      </c>
      <c r="F619" s="8">
        <v>422.39900695304038</v>
      </c>
      <c r="G619" s="7">
        <v>80362</v>
      </c>
      <c r="H619" s="9">
        <v>33944828.996760227</v>
      </c>
      <c r="I619" s="5" t="s">
        <v>1748</v>
      </c>
    </row>
    <row r="620" spans="1:9" x14ac:dyDescent="0.25">
      <c r="A620" s="6">
        <v>45994.829861111109</v>
      </c>
      <c r="B620" s="5" t="s">
        <v>28</v>
      </c>
      <c r="C620" s="8">
        <v>422.481313996491</v>
      </c>
      <c r="D620" s="8">
        <v>422.54113097288609</v>
      </c>
      <c r="E620" s="8">
        <v>421.94362636248883</v>
      </c>
      <c r="F620" s="8">
        <v>422.42623813553701</v>
      </c>
      <c r="G620" s="7">
        <v>44046</v>
      </c>
      <c r="H620" s="9">
        <v>18606186.084917858</v>
      </c>
      <c r="I620" s="5" t="s">
        <v>1749</v>
      </c>
    </row>
    <row r="621" spans="1:9" x14ac:dyDescent="0.25">
      <c r="A621" s="6">
        <v>45994.833333333343</v>
      </c>
      <c r="B621" s="5" t="s">
        <v>28</v>
      </c>
      <c r="C621" s="8">
        <v>422.60932796190741</v>
      </c>
      <c r="D621" s="8">
        <v>422.86666475598571</v>
      </c>
      <c r="E621" s="8">
        <v>422.2814552608603</v>
      </c>
      <c r="F621" s="8">
        <v>422.73361540721368</v>
      </c>
      <c r="G621" s="7">
        <v>40866</v>
      </c>
      <c r="H621" s="9">
        <v>17275431.927231189</v>
      </c>
      <c r="I621" s="5" t="s">
        <v>1750</v>
      </c>
    </row>
    <row r="622" spans="1:9" x14ac:dyDescent="0.25">
      <c r="A622" s="6">
        <v>45994.836805555547</v>
      </c>
      <c r="B622" s="5" t="s">
        <v>28</v>
      </c>
      <c r="C622" s="8">
        <v>423.27001560943143</v>
      </c>
      <c r="D622" s="8">
        <v>423.60028765251718</v>
      </c>
      <c r="E622" s="8">
        <v>423.19112135154933</v>
      </c>
      <c r="F622" s="8">
        <v>423.39184042246359</v>
      </c>
      <c r="G622" s="7">
        <v>40798</v>
      </c>
      <c r="H622" s="9">
        <v>17273540.305555671</v>
      </c>
      <c r="I622" s="5" t="s">
        <v>1751</v>
      </c>
    </row>
    <row r="623" spans="1:9" x14ac:dyDescent="0.25">
      <c r="A623" s="6">
        <v>45994.840277777781</v>
      </c>
      <c r="B623" s="5" t="s">
        <v>28</v>
      </c>
      <c r="C623" s="8">
        <v>423.81802023107491</v>
      </c>
      <c r="D623" s="8">
        <v>424.50447801785458</v>
      </c>
      <c r="E623" s="8">
        <v>423.39671605167803</v>
      </c>
      <c r="F623" s="8">
        <v>423.75746513147749</v>
      </c>
      <c r="G623" s="7">
        <v>46464</v>
      </c>
      <c r="H623" s="9">
        <v>19689466.85986897</v>
      </c>
      <c r="I623" s="5" t="s">
        <v>1752</v>
      </c>
    </row>
    <row r="624" spans="1:9" x14ac:dyDescent="0.25">
      <c r="A624" s="6">
        <v>45994.84375</v>
      </c>
      <c r="B624" s="5" t="s">
        <v>28</v>
      </c>
      <c r="C624" s="8">
        <v>423.77448642777802</v>
      </c>
      <c r="D624" s="8">
        <v>424.09514185942407</v>
      </c>
      <c r="E624" s="8">
        <v>423.62198626966739</v>
      </c>
      <c r="F624" s="8">
        <v>423.91055630383448</v>
      </c>
      <c r="G624" s="7">
        <v>42271</v>
      </c>
      <c r="H624" s="9">
        <v>17919123.125519391</v>
      </c>
      <c r="I624" s="5" t="s">
        <v>1753</v>
      </c>
    </row>
    <row r="625" spans="1:9" x14ac:dyDescent="0.25">
      <c r="A625" s="6">
        <v>45994.847222222219</v>
      </c>
      <c r="B625" s="5" t="s">
        <v>28</v>
      </c>
      <c r="C625" s="8">
        <v>423.84365395236239</v>
      </c>
      <c r="D625" s="8">
        <v>424.26503257143378</v>
      </c>
      <c r="E625" s="8">
        <v>423.49056036419921</v>
      </c>
      <c r="F625" s="8">
        <v>424.01703583624482</v>
      </c>
      <c r="G625" s="7">
        <v>40047</v>
      </c>
      <c r="H625" s="9">
        <v>16980610.2341341</v>
      </c>
      <c r="I625" s="5" t="s">
        <v>1754</v>
      </c>
    </row>
    <row r="626" spans="1:9" x14ac:dyDescent="0.25">
      <c r="A626" s="6">
        <v>45994.850694444453</v>
      </c>
      <c r="B626" s="5" t="s">
        <v>28</v>
      </c>
      <c r="C626" s="8">
        <v>422.90671935842749</v>
      </c>
      <c r="D626" s="8">
        <v>423.3560707263776</v>
      </c>
      <c r="E626" s="8">
        <v>422.75850557444772</v>
      </c>
      <c r="F626" s="8">
        <v>423.1198109060802</v>
      </c>
      <c r="G626" s="7">
        <v>85434</v>
      </c>
      <c r="H626" s="9">
        <v>36148817.924950063</v>
      </c>
      <c r="I626" s="5" t="s">
        <v>1755</v>
      </c>
    </row>
    <row r="627" spans="1:9" x14ac:dyDescent="0.25">
      <c r="A627" s="6">
        <v>45994.854166666657</v>
      </c>
      <c r="B627" s="5" t="s">
        <v>28</v>
      </c>
      <c r="C627" s="8">
        <v>422.48768006494078</v>
      </c>
      <c r="D627" s="8">
        <v>422.64450117189023</v>
      </c>
      <c r="E627" s="8">
        <v>422.22671225097253</v>
      </c>
      <c r="F627" s="8">
        <v>422.60836684128668</v>
      </c>
      <c r="G627" s="7">
        <v>55032</v>
      </c>
      <c r="H627" s="9">
        <v>23256983.644009691</v>
      </c>
      <c r="I627" s="5" t="s">
        <v>1756</v>
      </c>
    </row>
    <row r="628" spans="1:9" x14ac:dyDescent="0.25">
      <c r="A628" s="6">
        <v>45994.857638888891</v>
      </c>
      <c r="B628" s="5" t="s">
        <v>28</v>
      </c>
      <c r="C628" s="8">
        <v>422.24630063732798</v>
      </c>
      <c r="D628" s="8">
        <v>422.26078948201632</v>
      </c>
      <c r="E628" s="8">
        <v>422.09374582589152</v>
      </c>
      <c r="F628" s="8">
        <v>422.21223332804891</v>
      </c>
      <c r="G628" s="7">
        <v>55770</v>
      </c>
      <c r="H628" s="9">
        <v>23546776.252705291</v>
      </c>
      <c r="I628" s="5" t="s">
        <v>1757</v>
      </c>
    </row>
    <row r="629" spans="1:9" x14ac:dyDescent="0.25">
      <c r="A629" s="6">
        <v>45994.861111111109</v>
      </c>
      <c r="B629" s="5" t="s">
        <v>28</v>
      </c>
      <c r="C629" s="8">
        <v>421.96717403910571</v>
      </c>
      <c r="D629" s="8">
        <v>422.59408910390152</v>
      </c>
      <c r="E629" s="8">
        <v>421.90747071576368</v>
      </c>
      <c r="F629" s="8">
        <v>421.96808780129669</v>
      </c>
      <c r="G629" s="7">
        <v>90668</v>
      </c>
      <c r="H629" s="9">
        <v>38259002.584767967</v>
      </c>
      <c r="I629" s="5" t="s">
        <v>1758</v>
      </c>
    </row>
    <row r="630" spans="1:9" x14ac:dyDescent="0.25">
      <c r="A630" s="6">
        <v>45994.864583333343</v>
      </c>
      <c r="B630" s="5" t="s">
        <v>28</v>
      </c>
      <c r="C630" s="8">
        <v>422.04207331400471</v>
      </c>
      <c r="D630" s="8">
        <v>422.55482862602099</v>
      </c>
      <c r="E630" s="8">
        <v>421.72029419404919</v>
      </c>
      <c r="F630" s="8">
        <v>422.1645363330735</v>
      </c>
      <c r="G630" s="7">
        <v>49725</v>
      </c>
      <c r="H630" s="9">
        <v>20992131.569162078</v>
      </c>
      <c r="I630" s="5" t="s">
        <v>1759</v>
      </c>
    </row>
    <row r="631" spans="1:9" x14ac:dyDescent="0.25">
      <c r="A631" s="6">
        <v>45994.868055555547</v>
      </c>
      <c r="B631" s="5" t="s">
        <v>28</v>
      </c>
      <c r="C631" s="8">
        <v>422.09912278504248</v>
      </c>
      <c r="D631" s="8">
        <v>422.25426646074709</v>
      </c>
      <c r="E631" s="8">
        <v>422.07191688728398</v>
      </c>
      <c r="F631" s="8">
        <v>422.07477639873679</v>
      </c>
      <c r="G631" s="7">
        <v>99530</v>
      </c>
      <c r="H631" s="9">
        <v>42009102.494966283</v>
      </c>
      <c r="I631" s="5" t="s">
        <v>1760</v>
      </c>
    </row>
    <row r="632" spans="1:9" x14ac:dyDescent="0.25">
      <c r="A632" s="6">
        <v>45994.871527777781</v>
      </c>
      <c r="B632" s="5" t="s">
        <v>28</v>
      </c>
      <c r="C632" s="8">
        <v>422.1138244056657</v>
      </c>
      <c r="D632" s="8">
        <v>422.20254128778572</v>
      </c>
      <c r="E632" s="8">
        <v>421.80498986063219</v>
      </c>
      <c r="F632" s="8">
        <v>421.87777413456342</v>
      </c>
      <c r="G632" s="7">
        <v>82237</v>
      </c>
      <c r="H632" s="9">
        <v>34693962.511504091</v>
      </c>
      <c r="I632" s="5" t="s">
        <v>1761</v>
      </c>
    </row>
    <row r="633" spans="1:9" x14ac:dyDescent="0.25">
      <c r="A633" s="6">
        <v>45994.875</v>
      </c>
      <c r="B633" s="5" t="s">
        <v>28</v>
      </c>
      <c r="C633" s="8">
        <v>422.34128031433403</v>
      </c>
      <c r="D633" s="8">
        <v>422.47403682861938</v>
      </c>
      <c r="E633" s="8">
        <v>422.06053800708571</v>
      </c>
      <c r="F633" s="8">
        <v>422.21276151794041</v>
      </c>
      <c r="G633" s="7">
        <v>104198</v>
      </c>
      <c r="H633" s="9">
        <v>43993725.324646354</v>
      </c>
      <c r="I633" s="5" t="s">
        <v>1762</v>
      </c>
    </row>
    <row r="634" spans="1:9" x14ac:dyDescent="0.25">
      <c r="A634" s="6">
        <v>45995.604166666657</v>
      </c>
      <c r="B634" s="5" t="s">
        <v>28</v>
      </c>
      <c r="C634" s="8">
        <v>422.03930537779758</v>
      </c>
      <c r="D634" s="8">
        <v>422.36468263362099</v>
      </c>
      <c r="E634" s="8">
        <v>421.88301196687871</v>
      </c>
      <c r="F634" s="8">
        <v>422.14674868182078</v>
      </c>
      <c r="G634" s="7">
        <v>58750</v>
      </c>
      <c r="H634" s="9">
        <v>24801121.48505697</v>
      </c>
      <c r="I634" s="5" t="s">
        <v>1763</v>
      </c>
    </row>
    <row r="635" spans="1:9" x14ac:dyDescent="0.25">
      <c r="A635" s="6">
        <v>45995.607638888891</v>
      </c>
      <c r="B635" s="5" t="s">
        <v>28</v>
      </c>
      <c r="C635" s="8">
        <v>422.23552872136418</v>
      </c>
      <c r="D635" s="8">
        <v>422.71130511039388</v>
      </c>
      <c r="E635" s="8">
        <v>422.14090752385988</v>
      </c>
      <c r="F635" s="8">
        <v>422.16556639196631</v>
      </c>
      <c r="G635" s="7">
        <v>38423</v>
      </c>
      <c r="H635" s="9">
        <v>16220867.557478519</v>
      </c>
      <c r="I635" s="5" t="s">
        <v>1764</v>
      </c>
    </row>
    <row r="636" spans="1:9" x14ac:dyDescent="0.25">
      <c r="A636" s="6">
        <v>45995.611111111109</v>
      </c>
      <c r="B636" s="5" t="s">
        <v>28</v>
      </c>
      <c r="C636" s="8">
        <v>422.00429961398657</v>
      </c>
      <c r="D636" s="8">
        <v>422.0605282409951</v>
      </c>
      <c r="E636" s="8">
        <v>421.77146646785542</v>
      </c>
      <c r="F636" s="8">
        <v>421.94350128445109</v>
      </c>
      <c r="G636" s="7">
        <v>76389</v>
      </c>
      <c r="H636" s="9">
        <v>32231842.119617939</v>
      </c>
      <c r="I636" s="5" t="s">
        <v>1765</v>
      </c>
    </row>
    <row r="637" spans="1:9" x14ac:dyDescent="0.25">
      <c r="A637" s="6">
        <v>45995.614583333343</v>
      </c>
      <c r="B637" s="5" t="s">
        <v>28</v>
      </c>
      <c r="C637" s="8">
        <v>422.18235135970002</v>
      </c>
      <c r="D637" s="8">
        <v>422.27586540876661</v>
      </c>
      <c r="E637" s="8">
        <v>422.01694356709999</v>
      </c>
      <c r="F637" s="8">
        <v>422.2108786616061</v>
      </c>
      <c r="G637" s="7">
        <v>48089</v>
      </c>
      <c r="H637" s="9">
        <v>20303698.943957981</v>
      </c>
      <c r="I637" s="5" t="s">
        <v>1766</v>
      </c>
    </row>
    <row r="638" spans="1:9" x14ac:dyDescent="0.25">
      <c r="A638" s="6">
        <v>45995.618055555547</v>
      </c>
      <c r="B638" s="5" t="s">
        <v>28</v>
      </c>
      <c r="C638" s="8">
        <v>421.89988517691103</v>
      </c>
      <c r="D638" s="8">
        <v>422.15081948865787</v>
      </c>
      <c r="E638" s="8">
        <v>421.87292216658028</v>
      </c>
      <c r="F638" s="8">
        <v>422.07325785634288</v>
      </c>
      <c r="G638" s="7">
        <v>49725</v>
      </c>
      <c r="H638" s="9">
        <v>20987592.746906649</v>
      </c>
      <c r="I638" s="5" t="s">
        <v>1767</v>
      </c>
    </row>
    <row r="639" spans="1:9" x14ac:dyDescent="0.25">
      <c r="A639" s="6">
        <v>45995.621527777781</v>
      </c>
      <c r="B639" s="5" t="s">
        <v>28</v>
      </c>
      <c r="C639" s="8">
        <v>422.11285786306979</v>
      </c>
      <c r="D639" s="8">
        <v>422.30802356439779</v>
      </c>
      <c r="E639" s="8">
        <v>421.94302500113253</v>
      </c>
      <c r="F639" s="8">
        <v>422.10050110572843</v>
      </c>
      <c r="G639" s="7">
        <v>44881</v>
      </c>
      <c r="H639" s="9">
        <v>18944292.59012619</v>
      </c>
      <c r="I639" s="5" t="s">
        <v>1768</v>
      </c>
    </row>
    <row r="640" spans="1:9" x14ac:dyDescent="0.25">
      <c r="A640" s="6">
        <v>45995.625</v>
      </c>
      <c r="B640" s="5" t="s">
        <v>28</v>
      </c>
      <c r="C640" s="8">
        <v>422.37497681898031</v>
      </c>
      <c r="D640" s="8">
        <v>422.6231579000526</v>
      </c>
      <c r="E640" s="8">
        <v>422.17890929876512</v>
      </c>
      <c r="F640" s="8">
        <v>422.59079833986328</v>
      </c>
      <c r="G640" s="7">
        <v>40427</v>
      </c>
      <c r="H640" s="9">
        <v>17084078.204485651</v>
      </c>
      <c r="I640" s="5" t="s">
        <v>1769</v>
      </c>
    </row>
    <row r="641" spans="1:9" x14ac:dyDescent="0.25">
      <c r="A641" s="6">
        <v>45995.628472222219</v>
      </c>
      <c r="B641" s="5" t="s">
        <v>28</v>
      </c>
      <c r="C641" s="8">
        <v>422.07882546154963</v>
      </c>
      <c r="D641" s="8">
        <v>422.67639731316319</v>
      </c>
      <c r="E641" s="8">
        <v>421.80281958951338</v>
      </c>
      <c r="F641" s="8">
        <v>422.20887150816702</v>
      </c>
      <c r="G641" s="7">
        <v>53418</v>
      </c>
      <c r="H641" s="9">
        <v>22553553.49822326</v>
      </c>
      <c r="I641" s="5" t="s">
        <v>1770</v>
      </c>
    </row>
    <row r="642" spans="1:9" x14ac:dyDescent="0.25">
      <c r="A642" s="6">
        <v>45995.631944444453</v>
      </c>
      <c r="B642" s="5" t="s">
        <v>28</v>
      </c>
      <c r="C642" s="8">
        <v>421.66275942719147</v>
      </c>
      <c r="D642" s="8">
        <v>421.76942620554911</v>
      </c>
      <c r="E642" s="8">
        <v>421.54889431893707</v>
      </c>
      <c r="F642" s="8">
        <v>421.75601291920572</v>
      </c>
      <c r="G642" s="7">
        <v>41986</v>
      </c>
      <c r="H642" s="9">
        <v>17707847.958425771</v>
      </c>
      <c r="I642" s="5" t="s">
        <v>1771</v>
      </c>
    </row>
    <row r="643" spans="1:9" x14ac:dyDescent="0.25">
      <c r="A643" s="6">
        <v>45995.635416666657</v>
      </c>
      <c r="B643" s="5" t="s">
        <v>28</v>
      </c>
      <c r="C643" s="8">
        <v>421.76620910636558</v>
      </c>
      <c r="D643" s="8">
        <v>422.02905934895409</v>
      </c>
      <c r="E643" s="8">
        <v>421.75971530168181</v>
      </c>
      <c r="F643" s="8">
        <v>421.89457394001232</v>
      </c>
      <c r="G643" s="7">
        <v>44255</v>
      </c>
      <c r="H643" s="9">
        <v>18670944.36971524</v>
      </c>
      <c r="I643" s="5" t="s">
        <v>1772</v>
      </c>
    </row>
    <row r="644" spans="1:9" x14ac:dyDescent="0.25">
      <c r="A644" s="6">
        <v>45995.638888888891</v>
      </c>
      <c r="B644" s="5" t="s">
        <v>28</v>
      </c>
      <c r="C644" s="8">
        <v>421.76815376322548</v>
      </c>
      <c r="D644" s="8">
        <v>422.49537077064957</v>
      </c>
      <c r="E644" s="8">
        <v>421.62684132649372</v>
      </c>
      <c r="F644" s="8">
        <v>421.86734154363819</v>
      </c>
      <c r="G644" s="7">
        <v>71914</v>
      </c>
      <c r="H644" s="9">
        <v>30338167.9997692</v>
      </c>
      <c r="I644" s="5" t="s">
        <v>1773</v>
      </c>
    </row>
    <row r="645" spans="1:9" x14ac:dyDescent="0.25">
      <c r="A645" s="6">
        <v>45995.642361111109</v>
      </c>
      <c r="B645" s="5" t="s">
        <v>28</v>
      </c>
      <c r="C645" s="8">
        <v>421.32608527304473</v>
      </c>
      <c r="D645" s="8">
        <v>421.55820393768948</v>
      </c>
      <c r="E645" s="8">
        <v>421.1982695690636</v>
      </c>
      <c r="F645" s="8">
        <v>421.48610768608648</v>
      </c>
      <c r="G645" s="7">
        <v>50228</v>
      </c>
      <c r="H645" s="9">
        <v>21170404.216856752</v>
      </c>
      <c r="I645" s="5" t="s">
        <v>1774</v>
      </c>
    </row>
    <row r="646" spans="1:9" x14ac:dyDescent="0.25">
      <c r="A646" s="6">
        <v>45995.645833333343</v>
      </c>
      <c r="B646" s="5" t="s">
        <v>28</v>
      </c>
      <c r="C646" s="8">
        <v>421.499492553094</v>
      </c>
      <c r="D646" s="8">
        <v>421.93433530170103</v>
      </c>
      <c r="E646" s="8">
        <v>420.94984646896887</v>
      </c>
      <c r="F646" s="8">
        <v>421.41044163407503</v>
      </c>
      <c r="G646" s="7">
        <v>57500</v>
      </c>
      <c r="H646" s="9">
        <v>24231100.39395931</v>
      </c>
      <c r="I646" s="5" t="s">
        <v>1775</v>
      </c>
    </row>
    <row r="647" spans="1:9" x14ac:dyDescent="0.25">
      <c r="A647" s="6">
        <v>45995.649305555547</v>
      </c>
      <c r="B647" s="5" t="s">
        <v>28</v>
      </c>
      <c r="C647" s="8">
        <v>422.22022240022409</v>
      </c>
      <c r="D647" s="8">
        <v>422.42339480814542</v>
      </c>
      <c r="E647" s="8">
        <v>421.86140221906118</v>
      </c>
      <c r="F647" s="8">
        <v>422.02996407104598</v>
      </c>
      <c r="G647" s="7">
        <v>54097</v>
      </c>
      <c r="H647" s="9">
        <v>22830554.966351371</v>
      </c>
      <c r="I647" s="5" t="s">
        <v>1776</v>
      </c>
    </row>
    <row r="648" spans="1:9" x14ac:dyDescent="0.25">
      <c r="A648" s="6">
        <v>45995.652777777781</v>
      </c>
      <c r="B648" s="5" t="s">
        <v>28</v>
      </c>
      <c r="C648" s="8">
        <v>422.64990494222531</v>
      </c>
      <c r="D648" s="8">
        <v>422.80415307942962</v>
      </c>
      <c r="E648" s="8">
        <v>422.35368401038289</v>
      </c>
      <c r="F648" s="8">
        <v>422.69282447741529</v>
      </c>
      <c r="G648" s="7">
        <v>52338</v>
      </c>
      <c r="H648" s="9">
        <v>22122897.04749896</v>
      </c>
      <c r="I648" s="5" t="s">
        <v>1777</v>
      </c>
    </row>
    <row r="649" spans="1:9" x14ac:dyDescent="0.25">
      <c r="A649" s="6">
        <v>45995.65625</v>
      </c>
      <c r="B649" s="5" t="s">
        <v>28</v>
      </c>
      <c r="C649" s="8">
        <v>422.60418411923109</v>
      </c>
      <c r="D649" s="8">
        <v>422.61449548328051</v>
      </c>
      <c r="E649" s="8">
        <v>421.8955613039526</v>
      </c>
      <c r="F649" s="8">
        <v>422.55592351103093</v>
      </c>
      <c r="G649" s="7">
        <v>36017</v>
      </c>
      <c r="H649" s="9">
        <v>15219196.6970968</v>
      </c>
      <c r="I649" s="5" t="s">
        <v>1778</v>
      </c>
    </row>
    <row r="650" spans="1:9" x14ac:dyDescent="0.25">
      <c r="A650" s="6">
        <v>45995.659722222219</v>
      </c>
      <c r="B650" s="5" t="s">
        <v>28</v>
      </c>
      <c r="C650" s="8">
        <v>422.52973984187031</v>
      </c>
      <c r="D650" s="8">
        <v>422.98863546250487</v>
      </c>
      <c r="E650" s="8">
        <v>422.45497868893978</v>
      </c>
      <c r="F650" s="8">
        <v>422.73771699308259</v>
      </c>
      <c r="G650" s="7">
        <v>60392</v>
      </c>
      <c r="H650" s="9">
        <v>25529976.204646248</v>
      </c>
      <c r="I650" s="5" t="s">
        <v>1779</v>
      </c>
    </row>
    <row r="651" spans="1:9" x14ac:dyDescent="0.25">
      <c r="A651" s="6">
        <v>45995.663194444453</v>
      </c>
      <c r="B651" s="5" t="s">
        <v>28</v>
      </c>
      <c r="C651" s="8">
        <v>422.50365145890288</v>
      </c>
      <c r="D651" s="8">
        <v>422.99380599309592</v>
      </c>
      <c r="E651" s="8">
        <v>422.18245035256791</v>
      </c>
      <c r="F651" s="8">
        <v>422.75756898706851</v>
      </c>
      <c r="G651" s="7">
        <v>60068</v>
      </c>
      <c r="H651" s="9">
        <v>25394201.65391523</v>
      </c>
      <c r="I651" s="5" t="s">
        <v>1780</v>
      </c>
    </row>
    <row r="652" spans="1:9" x14ac:dyDescent="0.25">
      <c r="A652" s="6">
        <v>45995.666666666657</v>
      </c>
      <c r="B652" s="5" t="s">
        <v>28</v>
      </c>
      <c r="C652" s="8">
        <v>423.18865757498031</v>
      </c>
      <c r="D652" s="8">
        <v>423.28532708446107</v>
      </c>
      <c r="E652" s="8">
        <v>422.64073472868438</v>
      </c>
      <c r="F652" s="8">
        <v>423.24572978743907</v>
      </c>
      <c r="G652" s="7">
        <v>48604</v>
      </c>
      <c r="H652" s="9">
        <v>20571435.450588688</v>
      </c>
      <c r="I652" s="5" t="s">
        <v>1781</v>
      </c>
    </row>
    <row r="653" spans="1:9" x14ac:dyDescent="0.25">
      <c r="A653" s="6">
        <v>45995.670138888891</v>
      </c>
      <c r="B653" s="5" t="s">
        <v>28</v>
      </c>
      <c r="C653" s="8">
        <v>423.01649458828638</v>
      </c>
      <c r="D653" s="8">
        <v>423.16205781010939</v>
      </c>
      <c r="E653" s="8">
        <v>422.72096675131593</v>
      </c>
      <c r="F653" s="8">
        <v>423.06854671214478</v>
      </c>
      <c r="G653" s="7">
        <v>55082</v>
      </c>
      <c r="H653" s="9">
        <v>23303461.689998358</v>
      </c>
      <c r="I653" s="5" t="s">
        <v>1782</v>
      </c>
    </row>
    <row r="654" spans="1:9" x14ac:dyDescent="0.25">
      <c r="A654" s="6">
        <v>45995.673611111109</v>
      </c>
      <c r="B654" s="5" t="s">
        <v>28</v>
      </c>
      <c r="C654" s="8">
        <v>422.90798157670702</v>
      </c>
      <c r="D654" s="8">
        <v>423.22834126602152</v>
      </c>
      <c r="E654" s="8">
        <v>422.86054082411607</v>
      </c>
      <c r="F654" s="8">
        <v>423.13206710913778</v>
      </c>
      <c r="G654" s="7">
        <v>30247</v>
      </c>
      <c r="H654" s="9">
        <v>12798475.63385009</v>
      </c>
      <c r="I654" s="5" t="s">
        <v>1783</v>
      </c>
    </row>
    <row r="655" spans="1:9" x14ac:dyDescent="0.25">
      <c r="A655" s="6">
        <v>45995.677083333343</v>
      </c>
      <c r="B655" s="5" t="s">
        <v>28</v>
      </c>
      <c r="C655" s="8">
        <v>423.065069313251</v>
      </c>
      <c r="D655" s="8">
        <v>423.37416508261362</v>
      </c>
      <c r="E655" s="8">
        <v>423.00500712201898</v>
      </c>
      <c r="F655" s="8">
        <v>423.17557643620222</v>
      </c>
      <c r="G655" s="7">
        <v>57099</v>
      </c>
      <c r="H655" s="9">
        <v>24162902.23893071</v>
      </c>
      <c r="I655" s="5" t="s">
        <v>1784</v>
      </c>
    </row>
    <row r="656" spans="1:9" x14ac:dyDescent="0.25">
      <c r="A656" s="6">
        <v>45995.680555555547</v>
      </c>
      <c r="B656" s="5" t="s">
        <v>28</v>
      </c>
      <c r="C656" s="8">
        <v>423.69256368711848</v>
      </c>
      <c r="D656" s="8">
        <v>423.87253981135342</v>
      </c>
      <c r="E656" s="8">
        <v>423.64691803371062</v>
      </c>
      <c r="F656" s="8">
        <v>423.74011114463389</v>
      </c>
      <c r="G656" s="7">
        <v>57905</v>
      </c>
      <c r="H656" s="9">
        <v>24536671.13583003</v>
      </c>
      <c r="I656" s="5" t="s">
        <v>1785</v>
      </c>
    </row>
    <row r="657" spans="1:9" x14ac:dyDescent="0.25">
      <c r="A657" s="6">
        <v>45995.684027777781</v>
      </c>
      <c r="B657" s="5" t="s">
        <v>28</v>
      </c>
      <c r="C657" s="8">
        <v>423.38399140271707</v>
      </c>
      <c r="D657" s="8">
        <v>423.43784401331209</v>
      </c>
      <c r="E657" s="8">
        <v>423.15479470662137</v>
      </c>
      <c r="F657" s="8">
        <v>423.33859638765699</v>
      </c>
      <c r="G657" s="7">
        <v>32517</v>
      </c>
      <c r="H657" s="9">
        <v>13765701.13873744</v>
      </c>
      <c r="I657" s="5" t="s">
        <v>1786</v>
      </c>
    </row>
    <row r="658" spans="1:9" x14ac:dyDescent="0.25">
      <c r="A658" s="6">
        <v>45995.6875</v>
      </c>
      <c r="B658" s="5" t="s">
        <v>28</v>
      </c>
      <c r="C658" s="8">
        <v>423.86038434388951</v>
      </c>
      <c r="D658" s="8">
        <v>424.04080264225752</v>
      </c>
      <c r="E658" s="8">
        <v>423.51465427033861</v>
      </c>
      <c r="F658" s="8">
        <v>423.7189337977801</v>
      </c>
      <c r="G658" s="7">
        <v>105392</v>
      </c>
      <c r="H658" s="9">
        <v>44656585.870815642</v>
      </c>
      <c r="I658" s="5" t="s">
        <v>1787</v>
      </c>
    </row>
    <row r="659" spans="1:9" x14ac:dyDescent="0.25">
      <c r="A659" s="6">
        <v>45995.690972222219</v>
      </c>
      <c r="B659" s="5" t="s">
        <v>28</v>
      </c>
      <c r="C659" s="8">
        <v>423.97362162892313</v>
      </c>
      <c r="D659" s="8">
        <v>424.04441242062359</v>
      </c>
      <c r="E659" s="8">
        <v>423.53570168570928</v>
      </c>
      <c r="F659" s="8">
        <v>423.7863093390522</v>
      </c>
      <c r="G659" s="7">
        <v>57798</v>
      </c>
      <c r="H659" s="9">
        <v>24494001.107178539</v>
      </c>
      <c r="I659" s="5" t="s">
        <v>1788</v>
      </c>
    </row>
    <row r="660" spans="1:9" x14ac:dyDescent="0.25">
      <c r="A660" s="6">
        <v>45995.694444444453</v>
      </c>
      <c r="B660" s="5" t="s">
        <v>28</v>
      </c>
      <c r="C660" s="8">
        <v>423.67411795397152</v>
      </c>
      <c r="D660" s="8">
        <v>424.10552627435482</v>
      </c>
      <c r="E660" s="8">
        <v>423.54449825594889</v>
      </c>
      <c r="F660" s="8">
        <v>423.62562985511829</v>
      </c>
      <c r="G660" s="7">
        <v>83360</v>
      </c>
      <c r="H660" s="9">
        <v>35313432.504722662</v>
      </c>
      <c r="I660" s="5" t="s">
        <v>1789</v>
      </c>
    </row>
    <row r="661" spans="1:9" x14ac:dyDescent="0.25">
      <c r="A661" s="6">
        <v>45995.697916666657</v>
      </c>
      <c r="B661" s="5" t="s">
        <v>28</v>
      </c>
      <c r="C661" s="8">
        <v>424.61319186578822</v>
      </c>
      <c r="D661" s="8">
        <v>424.61525643170842</v>
      </c>
      <c r="E661" s="8">
        <v>424.20681134885172</v>
      </c>
      <c r="F661" s="8">
        <v>424.39698012348629</v>
      </c>
      <c r="G661" s="7">
        <v>121998</v>
      </c>
      <c r="H661" s="9">
        <v>51775582.781105079</v>
      </c>
      <c r="I661" s="5" t="s">
        <v>1790</v>
      </c>
    </row>
    <row r="662" spans="1:9" x14ac:dyDescent="0.25">
      <c r="A662" s="6">
        <v>45995.701388888891</v>
      </c>
      <c r="B662" s="5" t="s">
        <v>28</v>
      </c>
      <c r="C662" s="8">
        <v>423.72077400128262</v>
      </c>
      <c r="D662" s="8">
        <v>424.48355233264141</v>
      </c>
      <c r="E662" s="8">
        <v>423.44321737385479</v>
      </c>
      <c r="F662" s="8">
        <v>423.96035624581441</v>
      </c>
      <c r="G662" s="7">
        <v>34988</v>
      </c>
      <c r="H662" s="9">
        <v>14833524.94432855</v>
      </c>
      <c r="I662" s="5" t="s">
        <v>1791</v>
      </c>
    </row>
    <row r="663" spans="1:9" x14ac:dyDescent="0.25">
      <c r="A663" s="6">
        <v>45995.704861111109</v>
      </c>
      <c r="B663" s="5" t="s">
        <v>28</v>
      </c>
      <c r="C663" s="8">
        <v>423.81136573188462</v>
      </c>
      <c r="D663" s="8">
        <v>424.14914775901673</v>
      </c>
      <c r="E663" s="8">
        <v>423.44670333972891</v>
      </c>
      <c r="F663" s="8">
        <v>423.83678036847527</v>
      </c>
      <c r="G663" s="7">
        <v>59526</v>
      </c>
      <c r="H663" s="9">
        <v>25229308.188213859</v>
      </c>
      <c r="I663" s="5" t="s">
        <v>1792</v>
      </c>
    </row>
    <row r="664" spans="1:9" x14ac:dyDescent="0.25">
      <c r="A664" s="6">
        <v>45995.708333333343</v>
      </c>
      <c r="B664" s="5" t="s">
        <v>28</v>
      </c>
      <c r="C664" s="8">
        <v>424.09532707163078</v>
      </c>
      <c r="D664" s="8">
        <v>424.17291004428739</v>
      </c>
      <c r="E664" s="8">
        <v>423.87317766586472</v>
      </c>
      <c r="F664" s="8">
        <v>423.92543933912992</v>
      </c>
      <c r="G664" s="7">
        <v>53110</v>
      </c>
      <c r="H664" s="9">
        <v>22514680.08330119</v>
      </c>
      <c r="I664" s="5" t="s">
        <v>1793</v>
      </c>
    </row>
    <row r="665" spans="1:9" x14ac:dyDescent="0.25">
      <c r="A665" s="6">
        <v>45995.711805555547</v>
      </c>
      <c r="B665" s="5" t="s">
        <v>28</v>
      </c>
      <c r="C665" s="8">
        <v>424.42770731625762</v>
      </c>
      <c r="D665" s="8">
        <v>424.54162446389518</v>
      </c>
      <c r="E665" s="8">
        <v>424.19248486660342</v>
      </c>
      <c r="F665" s="8">
        <v>424.3161395193336</v>
      </c>
      <c r="G665" s="7">
        <v>34992</v>
      </c>
      <c r="H665" s="9">
        <v>14847670.354060519</v>
      </c>
      <c r="I665" s="5" t="s">
        <v>1794</v>
      </c>
    </row>
    <row r="666" spans="1:9" x14ac:dyDescent="0.25">
      <c r="A666" s="6">
        <v>45995.715277777781</v>
      </c>
      <c r="B666" s="5" t="s">
        <v>28</v>
      </c>
      <c r="C666" s="8">
        <v>424.20039575458873</v>
      </c>
      <c r="D666" s="8">
        <v>424.43958600867097</v>
      </c>
      <c r="E666" s="8">
        <v>423.95828857257919</v>
      </c>
      <c r="F666" s="8">
        <v>424.31990459336771</v>
      </c>
      <c r="G666" s="7">
        <v>124442</v>
      </c>
      <c r="H666" s="9">
        <v>52803217.567407846</v>
      </c>
      <c r="I666" s="5" t="s">
        <v>1795</v>
      </c>
    </row>
    <row r="667" spans="1:9" x14ac:dyDescent="0.25">
      <c r="A667" s="6">
        <v>45995.71875</v>
      </c>
      <c r="B667" s="5" t="s">
        <v>28</v>
      </c>
      <c r="C667" s="8">
        <v>424.35558068331102</v>
      </c>
      <c r="D667" s="8">
        <v>424.47637240396688</v>
      </c>
      <c r="E667" s="8">
        <v>424.17695182866782</v>
      </c>
      <c r="F667" s="8">
        <v>424.37951396349217</v>
      </c>
      <c r="G667" s="7">
        <v>55360</v>
      </c>
      <c r="H667" s="9">
        <v>23493649.893018931</v>
      </c>
      <c r="I667" s="5" t="s">
        <v>1796</v>
      </c>
    </row>
    <row r="668" spans="1:9" x14ac:dyDescent="0.25">
      <c r="A668" s="6">
        <v>45995.722222222219</v>
      </c>
      <c r="B668" s="5" t="s">
        <v>28</v>
      </c>
      <c r="C668" s="8">
        <v>424.9257996914007</v>
      </c>
      <c r="D668" s="8">
        <v>425.07418689164842</v>
      </c>
      <c r="E668" s="8">
        <v>424.62702864779959</v>
      </c>
      <c r="F668" s="8">
        <v>424.7359317414502</v>
      </c>
      <c r="G668" s="7">
        <v>77007</v>
      </c>
      <c r="H668" s="9">
        <v>32707639.89561386</v>
      </c>
      <c r="I668" s="5" t="s">
        <v>1797</v>
      </c>
    </row>
    <row r="669" spans="1:9" x14ac:dyDescent="0.25">
      <c r="A669" s="6">
        <v>45995.725694444453</v>
      </c>
      <c r="B669" s="5" t="s">
        <v>28</v>
      </c>
      <c r="C669" s="8">
        <v>424.22850887502813</v>
      </c>
      <c r="D669" s="8">
        <v>424.73696894503632</v>
      </c>
      <c r="E669" s="8">
        <v>423.75132892136787</v>
      </c>
      <c r="F669" s="8">
        <v>424.4569964126319</v>
      </c>
      <c r="G669" s="7">
        <v>93777</v>
      </c>
      <c r="H669" s="9">
        <v>39804303.752587378</v>
      </c>
      <c r="I669" s="5" t="s">
        <v>1798</v>
      </c>
    </row>
    <row r="670" spans="1:9" x14ac:dyDescent="0.25">
      <c r="A670" s="6">
        <v>45995.729166666657</v>
      </c>
      <c r="B670" s="5" t="s">
        <v>28</v>
      </c>
      <c r="C670" s="8">
        <v>423.87031414698328</v>
      </c>
      <c r="D670" s="8">
        <v>424.50168044843889</v>
      </c>
      <c r="E670" s="8">
        <v>423.72336969010911</v>
      </c>
      <c r="F670" s="8">
        <v>424.30509893250371</v>
      </c>
      <c r="G670" s="7">
        <v>51362</v>
      </c>
      <c r="H670" s="9">
        <v>21793158.491371259</v>
      </c>
      <c r="I670" s="5" t="s">
        <v>1799</v>
      </c>
    </row>
    <row r="671" spans="1:9" x14ac:dyDescent="0.25">
      <c r="A671" s="6">
        <v>45995.732638888891</v>
      </c>
      <c r="B671" s="5" t="s">
        <v>28</v>
      </c>
      <c r="C671" s="8">
        <v>424.70886473228597</v>
      </c>
      <c r="D671" s="8">
        <v>424.93208421558859</v>
      </c>
      <c r="E671" s="8">
        <v>424.6642378154923</v>
      </c>
      <c r="F671" s="8">
        <v>424.81819877571729</v>
      </c>
      <c r="G671" s="7">
        <v>64400</v>
      </c>
      <c r="H671" s="9">
        <v>27358292.0011562</v>
      </c>
      <c r="I671" s="5" t="s">
        <v>1800</v>
      </c>
    </row>
    <row r="672" spans="1:9" x14ac:dyDescent="0.25">
      <c r="A672" s="6">
        <v>45995.736111111109</v>
      </c>
      <c r="B672" s="5" t="s">
        <v>28</v>
      </c>
      <c r="C672" s="8">
        <v>424.2422753209533</v>
      </c>
      <c r="D672" s="8">
        <v>424.31541841759719</v>
      </c>
      <c r="E672" s="8">
        <v>424.12662080235799</v>
      </c>
      <c r="F672" s="8">
        <v>424.26197202961498</v>
      </c>
      <c r="G672" s="7">
        <v>37135</v>
      </c>
      <c r="H672" s="9">
        <v>15754968.331319749</v>
      </c>
      <c r="I672" s="5" t="s">
        <v>1801</v>
      </c>
    </row>
    <row r="673" spans="1:9" x14ac:dyDescent="0.25">
      <c r="A673" s="6">
        <v>45995.739583333343</v>
      </c>
      <c r="B673" s="5" t="s">
        <v>28</v>
      </c>
      <c r="C673" s="8">
        <v>423.92515217070633</v>
      </c>
      <c r="D673" s="8">
        <v>424.12732973534662</v>
      </c>
      <c r="E673" s="8">
        <v>423.69410559792158</v>
      </c>
      <c r="F673" s="8">
        <v>424.05423350541417</v>
      </c>
      <c r="G673" s="7">
        <v>65725</v>
      </c>
      <c r="H673" s="9">
        <v>27870964.497143351</v>
      </c>
      <c r="I673" s="5" t="s">
        <v>1802</v>
      </c>
    </row>
    <row r="674" spans="1:9" x14ac:dyDescent="0.25">
      <c r="A674" s="6">
        <v>45995.743055555547</v>
      </c>
      <c r="B674" s="5" t="s">
        <v>28</v>
      </c>
      <c r="C674" s="8">
        <v>424.14080471412609</v>
      </c>
      <c r="D674" s="8">
        <v>424.20452774560903</v>
      </c>
      <c r="E674" s="8">
        <v>423.62808972483782</v>
      </c>
      <c r="F674" s="8">
        <v>424.17165831085902</v>
      </c>
      <c r="G674" s="7">
        <v>60058</v>
      </c>
      <c r="H674" s="9">
        <v>25474901.454833571</v>
      </c>
      <c r="I674" s="5" t="s">
        <v>1803</v>
      </c>
    </row>
    <row r="675" spans="1:9" x14ac:dyDescent="0.25">
      <c r="A675" s="6">
        <v>45995.746527777781</v>
      </c>
      <c r="B675" s="5" t="s">
        <v>28</v>
      </c>
      <c r="C675" s="8">
        <v>424.40999544544712</v>
      </c>
      <c r="D675" s="8">
        <v>424.64539748466473</v>
      </c>
      <c r="E675" s="8">
        <v>424.00885662977089</v>
      </c>
      <c r="F675" s="8">
        <v>424.48574198388548</v>
      </c>
      <c r="G675" s="7">
        <v>59405</v>
      </c>
      <c r="H675" s="9">
        <v>25216575.502552722</v>
      </c>
      <c r="I675" s="5" t="s">
        <v>1804</v>
      </c>
    </row>
    <row r="676" spans="1:9" x14ac:dyDescent="0.25">
      <c r="A676" s="6">
        <v>45995.75</v>
      </c>
      <c r="B676" s="5" t="s">
        <v>28</v>
      </c>
      <c r="C676" s="8">
        <v>424.43757526051292</v>
      </c>
      <c r="D676" s="8">
        <v>424.45664435777019</v>
      </c>
      <c r="E676" s="8">
        <v>423.83781091537378</v>
      </c>
      <c r="F676" s="8">
        <v>424.38716293268561</v>
      </c>
      <c r="G676" s="7">
        <v>19128</v>
      </c>
      <c r="H676" s="9">
        <v>8117677.6525764093</v>
      </c>
      <c r="I676" s="5" t="s">
        <v>1805</v>
      </c>
    </row>
    <row r="677" spans="1:9" x14ac:dyDescent="0.25">
      <c r="A677" s="6">
        <v>45995.753472222219</v>
      </c>
      <c r="B677" s="5" t="s">
        <v>28</v>
      </c>
      <c r="C677" s="8">
        <v>423.70898913007278</v>
      </c>
      <c r="D677" s="8">
        <v>423.80976031493111</v>
      </c>
      <c r="E677" s="8">
        <v>423.52541359705879</v>
      </c>
      <c r="F677" s="8">
        <v>423.80425348490519</v>
      </c>
      <c r="G677" s="7">
        <v>46019</v>
      </c>
      <c r="H677" s="9">
        <v>19503047.94112185</v>
      </c>
      <c r="I677" s="5" t="s">
        <v>1806</v>
      </c>
    </row>
    <row r="678" spans="1:9" x14ac:dyDescent="0.25">
      <c r="A678" s="6">
        <v>45995.756944444453</v>
      </c>
      <c r="B678" s="5" t="s">
        <v>28</v>
      </c>
      <c r="C678" s="8">
        <v>422.99043883487047</v>
      </c>
      <c r="D678" s="8">
        <v>423.41418828157549</v>
      </c>
      <c r="E678" s="8">
        <v>422.62324830538188</v>
      </c>
      <c r="F678" s="8">
        <v>423.17302262581143</v>
      </c>
      <c r="G678" s="7">
        <v>43834</v>
      </c>
      <c r="H678" s="9">
        <v>18549366.273779821</v>
      </c>
      <c r="I678" s="5" t="s">
        <v>1807</v>
      </c>
    </row>
    <row r="679" spans="1:9" x14ac:dyDescent="0.25">
      <c r="A679" s="6">
        <v>45995.760416666657</v>
      </c>
      <c r="B679" s="5" t="s">
        <v>28</v>
      </c>
      <c r="C679" s="8">
        <v>424.32439357116817</v>
      </c>
      <c r="D679" s="8">
        <v>424.41740015609122</v>
      </c>
      <c r="E679" s="8">
        <v>424.00858582245428</v>
      </c>
      <c r="F679" s="8">
        <v>424.19799502991839</v>
      </c>
      <c r="G679" s="7">
        <v>83530</v>
      </c>
      <c r="H679" s="9">
        <v>35433258.52484908</v>
      </c>
      <c r="I679" s="5" t="s">
        <v>1808</v>
      </c>
    </row>
    <row r="680" spans="1:9" x14ac:dyDescent="0.25">
      <c r="A680" s="6">
        <v>45995.763888888891</v>
      </c>
      <c r="B680" s="5" t="s">
        <v>28</v>
      </c>
      <c r="C680" s="8">
        <v>423.49304975697009</v>
      </c>
      <c r="D680" s="8">
        <v>424.06547792050651</v>
      </c>
      <c r="E680" s="8">
        <v>423.22943488675259</v>
      </c>
      <c r="F680" s="8">
        <v>423.70971642788862</v>
      </c>
      <c r="G680" s="7">
        <v>79136</v>
      </c>
      <c r="H680" s="9">
        <v>33530692.119237389</v>
      </c>
      <c r="I680" s="5" t="s">
        <v>1809</v>
      </c>
    </row>
    <row r="681" spans="1:9" x14ac:dyDescent="0.25">
      <c r="A681" s="6">
        <v>45995.767361111109</v>
      </c>
      <c r="B681" s="5" t="s">
        <v>28</v>
      </c>
      <c r="C681" s="8">
        <v>423.71958508543639</v>
      </c>
      <c r="D681" s="8">
        <v>424.08923062139519</v>
      </c>
      <c r="E681" s="8">
        <v>423.59406664901189</v>
      </c>
      <c r="F681" s="8">
        <v>423.94241576745588</v>
      </c>
      <c r="G681" s="7">
        <v>91654</v>
      </c>
      <c r="H681" s="9">
        <v>38856018.17475041</v>
      </c>
      <c r="I681" s="5" t="s">
        <v>1810</v>
      </c>
    </row>
    <row r="682" spans="1:9" x14ac:dyDescent="0.25">
      <c r="A682" s="6">
        <v>45995.770833333343</v>
      </c>
      <c r="B682" s="5" t="s">
        <v>28</v>
      </c>
      <c r="C682" s="8">
        <v>423.95111494360162</v>
      </c>
      <c r="D682" s="8">
        <v>424.02965635528358</v>
      </c>
      <c r="E682" s="8">
        <v>423.82377873363288</v>
      </c>
      <c r="F682" s="8">
        <v>423.90200167463041</v>
      </c>
      <c r="G682" s="7">
        <v>103905</v>
      </c>
      <c r="H682" s="9">
        <v>44045537.484002464</v>
      </c>
      <c r="I682" s="5" t="s">
        <v>1811</v>
      </c>
    </row>
    <row r="683" spans="1:9" x14ac:dyDescent="0.25">
      <c r="A683" s="6">
        <v>45995.774305555547</v>
      </c>
      <c r="B683" s="5" t="s">
        <v>28</v>
      </c>
      <c r="C683" s="8">
        <v>424.43335869019143</v>
      </c>
      <c r="D683" s="8">
        <v>424.50628107931487</v>
      </c>
      <c r="E683" s="8">
        <v>423.96578790250152</v>
      </c>
      <c r="F683" s="8">
        <v>424.24573828262191</v>
      </c>
      <c r="G683" s="7">
        <v>41763</v>
      </c>
      <c r="H683" s="9">
        <v>17717774.76789714</v>
      </c>
      <c r="I683" s="5" t="s">
        <v>1812</v>
      </c>
    </row>
    <row r="684" spans="1:9" x14ac:dyDescent="0.25">
      <c r="A684" s="6">
        <v>45995.777777777781</v>
      </c>
      <c r="B684" s="5" t="s">
        <v>28</v>
      </c>
      <c r="C684" s="8">
        <v>424.09884802668722</v>
      </c>
      <c r="D684" s="8">
        <v>424.17535275163999</v>
      </c>
      <c r="E684" s="8">
        <v>423.86037563191559</v>
      </c>
      <c r="F684" s="8">
        <v>423.97994460697788</v>
      </c>
      <c r="G684" s="7">
        <v>61731</v>
      </c>
      <c r="H684" s="9">
        <v>26172705.960533351</v>
      </c>
      <c r="I684" s="5" t="s">
        <v>1813</v>
      </c>
    </row>
    <row r="685" spans="1:9" x14ac:dyDescent="0.25">
      <c r="A685" s="6">
        <v>45995.78125</v>
      </c>
      <c r="B685" s="5" t="s">
        <v>28</v>
      </c>
      <c r="C685" s="8">
        <v>423.3580427544934</v>
      </c>
      <c r="D685" s="8">
        <v>423.46461700679708</v>
      </c>
      <c r="E685" s="8">
        <v>423.24557628917171</v>
      </c>
      <c r="F685" s="8">
        <v>423.34585915196601</v>
      </c>
      <c r="G685" s="7">
        <v>39322</v>
      </c>
      <c r="H685" s="9">
        <v>16646805.873573611</v>
      </c>
      <c r="I685" s="5" t="s">
        <v>1814</v>
      </c>
    </row>
    <row r="686" spans="1:9" x14ac:dyDescent="0.25">
      <c r="A686" s="6">
        <v>45995.784722222219</v>
      </c>
      <c r="B686" s="5" t="s">
        <v>28</v>
      </c>
      <c r="C686" s="8">
        <v>424.03405030622491</v>
      </c>
      <c r="D686" s="8">
        <v>424.31468153318468</v>
      </c>
      <c r="E686" s="8">
        <v>423.81973483013633</v>
      </c>
      <c r="F686" s="8">
        <v>423.9889048861545</v>
      </c>
      <c r="G686" s="7">
        <v>33047</v>
      </c>
      <c r="H686" s="9">
        <v>14011561.33977275</v>
      </c>
      <c r="I686" s="5" t="s">
        <v>1815</v>
      </c>
    </row>
    <row r="687" spans="1:9" x14ac:dyDescent="0.25">
      <c r="A687" s="6">
        <v>45995.788194444453</v>
      </c>
      <c r="B687" s="5" t="s">
        <v>28</v>
      </c>
      <c r="C687" s="8">
        <v>423.0400426852504</v>
      </c>
      <c r="D687" s="8">
        <v>423.52504193190919</v>
      </c>
      <c r="E687" s="8">
        <v>422.95116974949622</v>
      </c>
      <c r="F687" s="8">
        <v>423.29336116313789</v>
      </c>
      <c r="G687" s="7">
        <v>75676</v>
      </c>
      <c r="H687" s="9">
        <v>32033148.399381619</v>
      </c>
      <c r="I687" s="5" t="s">
        <v>1816</v>
      </c>
    </row>
    <row r="688" spans="1:9" x14ac:dyDescent="0.25">
      <c r="A688" s="6">
        <v>45995.791666666657</v>
      </c>
      <c r="B688" s="5" t="s">
        <v>28</v>
      </c>
      <c r="C688" s="8">
        <v>423.34235454029539</v>
      </c>
      <c r="D688" s="8">
        <v>423.46867878091427</v>
      </c>
      <c r="E688" s="8">
        <v>422.90954790109481</v>
      </c>
      <c r="F688" s="8">
        <v>423.22138547717373</v>
      </c>
      <c r="G688" s="7">
        <v>43385</v>
      </c>
      <c r="H688" s="9">
        <v>18361459.808927178</v>
      </c>
      <c r="I688" s="5" t="s">
        <v>1817</v>
      </c>
    </row>
    <row r="689" spans="1:9" x14ac:dyDescent="0.25">
      <c r="A689" s="6">
        <v>45995.795138888891</v>
      </c>
      <c r="B689" s="5" t="s">
        <v>28</v>
      </c>
      <c r="C689" s="8">
        <v>423.38021619173441</v>
      </c>
      <c r="D689" s="8">
        <v>423.63865779565998</v>
      </c>
      <c r="E689" s="8">
        <v>422.93339676763821</v>
      </c>
      <c r="F689" s="8">
        <v>423.30258255261572</v>
      </c>
      <c r="G689" s="7">
        <v>29473</v>
      </c>
      <c r="H689" s="9">
        <v>12475997.015573241</v>
      </c>
      <c r="I689" s="5" t="s">
        <v>1818</v>
      </c>
    </row>
    <row r="690" spans="1:9" x14ac:dyDescent="0.25">
      <c r="A690" s="6">
        <v>45995.798611111109</v>
      </c>
      <c r="B690" s="5" t="s">
        <v>28</v>
      </c>
      <c r="C690" s="8">
        <v>424.00375590058047</v>
      </c>
      <c r="D690" s="8">
        <v>424.28631916610851</v>
      </c>
      <c r="E690" s="8">
        <v>423.99600331205511</v>
      </c>
      <c r="F690" s="8">
        <v>424.04817895354091</v>
      </c>
      <c r="G690" s="7">
        <v>36005</v>
      </c>
      <c r="H690" s="9">
        <v>15267854.68322224</v>
      </c>
      <c r="I690" s="5" t="s">
        <v>1819</v>
      </c>
    </row>
    <row r="691" spans="1:9" x14ac:dyDescent="0.25">
      <c r="A691" s="6">
        <v>45995.802083333343</v>
      </c>
      <c r="B691" s="5" t="s">
        <v>28</v>
      </c>
      <c r="C691" s="8">
        <v>424.61356309691803</v>
      </c>
      <c r="D691" s="8">
        <v>424.97685112833329</v>
      </c>
      <c r="E691" s="8">
        <v>424.42074950151289</v>
      </c>
      <c r="F691" s="8">
        <v>424.56132261961858</v>
      </c>
      <c r="G691" s="7">
        <v>41480</v>
      </c>
      <c r="H691" s="9">
        <v>17610803.66226178</v>
      </c>
      <c r="I691" s="5" t="s">
        <v>1820</v>
      </c>
    </row>
    <row r="692" spans="1:9" x14ac:dyDescent="0.25">
      <c r="A692" s="6">
        <v>45995.805555555547</v>
      </c>
      <c r="B692" s="5" t="s">
        <v>28</v>
      </c>
      <c r="C692" s="8">
        <v>424.64688520553591</v>
      </c>
      <c r="D692" s="8">
        <v>424.83689997462938</v>
      </c>
      <c r="E692" s="8">
        <v>424.49064623749592</v>
      </c>
      <c r="F692" s="8">
        <v>424.52592786646761</v>
      </c>
      <c r="G692" s="7">
        <v>88580</v>
      </c>
      <c r="H692" s="9">
        <v>37604506.690411702</v>
      </c>
      <c r="I692" s="5" t="s">
        <v>1821</v>
      </c>
    </row>
    <row r="693" spans="1:9" x14ac:dyDescent="0.25">
      <c r="A693" s="6">
        <v>45995.809027777781</v>
      </c>
      <c r="B693" s="5" t="s">
        <v>28</v>
      </c>
      <c r="C693" s="8">
        <v>423.97940999215461</v>
      </c>
      <c r="D693" s="8">
        <v>424.06608569800341</v>
      </c>
      <c r="E693" s="8">
        <v>423.7459118113249</v>
      </c>
      <c r="F693" s="8">
        <v>424.03296107137493</v>
      </c>
      <c r="G693" s="7">
        <v>57030</v>
      </c>
      <c r="H693" s="9">
        <v>24182599.769900508</v>
      </c>
      <c r="I693" s="5" t="s">
        <v>1822</v>
      </c>
    </row>
    <row r="694" spans="1:9" x14ac:dyDescent="0.25">
      <c r="A694" s="6">
        <v>45995.8125</v>
      </c>
      <c r="B694" s="5" t="s">
        <v>28</v>
      </c>
      <c r="C694" s="8">
        <v>423.80847463401739</v>
      </c>
      <c r="D694" s="8">
        <v>423.97475288694329</v>
      </c>
      <c r="E694" s="8">
        <v>423.64541693895461</v>
      </c>
      <c r="F694" s="8">
        <v>423.7421306999866</v>
      </c>
      <c r="G694" s="7">
        <v>66976</v>
      </c>
      <c r="H694" s="9">
        <v>28380552.945762299</v>
      </c>
      <c r="I694" s="5" t="s">
        <v>1823</v>
      </c>
    </row>
    <row r="695" spans="1:9" x14ac:dyDescent="0.25">
      <c r="A695" s="6">
        <v>45995.815972222219</v>
      </c>
      <c r="B695" s="5" t="s">
        <v>28</v>
      </c>
      <c r="C695" s="8">
        <v>423.75690792381909</v>
      </c>
      <c r="D695" s="8">
        <v>424.04873787737029</v>
      </c>
      <c r="E695" s="8">
        <v>423.3098402567548</v>
      </c>
      <c r="F695" s="8">
        <v>423.65227387883078</v>
      </c>
      <c r="G695" s="7">
        <v>71000</v>
      </c>
      <c r="H695" s="9">
        <v>30079311.44539699</v>
      </c>
      <c r="I695" s="5" t="s">
        <v>1824</v>
      </c>
    </row>
    <row r="696" spans="1:9" x14ac:dyDescent="0.25">
      <c r="A696" s="6">
        <v>45995.819444444453</v>
      </c>
      <c r="B696" s="5" t="s">
        <v>28</v>
      </c>
      <c r="C696" s="8">
        <v>423.5332695999781</v>
      </c>
      <c r="D696" s="8">
        <v>423.58933621875491</v>
      </c>
      <c r="E696" s="8">
        <v>423.24114926440438</v>
      </c>
      <c r="F696" s="8">
        <v>423.57591816371053</v>
      </c>
      <c r="G696" s="7">
        <v>56273</v>
      </c>
      <c r="H696" s="9">
        <v>23835887.642826479</v>
      </c>
      <c r="I696" s="5" t="s">
        <v>1825</v>
      </c>
    </row>
    <row r="697" spans="1:9" x14ac:dyDescent="0.25">
      <c r="A697" s="6">
        <v>45995.822916666657</v>
      </c>
      <c r="B697" s="5" t="s">
        <v>28</v>
      </c>
      <c r="C697" s="8">
        <v>423.27820477216648</v>
      </c>
      <c r="D697" s="8">
        <v>423.49079874298212</v>
      </c>
      <c r="E697" s="8">
        <v>423.27159950583388</v>
      </c>
      <c r="F697" s="8">
        <v>423.44155244705269</v>
      </c>
      <c r="G697" s="7">
        <v>42477</v>
      </c>
      <c r="H697" s="9">
        <v>17986526.823293459</v>
      </c>
      <c r="I697" s="5" t="s">
        <v>1826</v>
      </c>
    </row>
    <row r="698" spans="1:9" x14ac:dyDescent="0.25">
      <c r="A698" s="6">
        <v>45995.826388888891</v>
      </c>
      <c r="B698" s="5" t="s">
        <v>28</v>
      </c>
      <c r="C698" s="8">
        <v>423.37489753124549</v>
      </c>
      <c r="D698" s="8">
        <v>423.72376779181423</v>
      </c>
      <c r="E698" s="8">
        <v>423.24008769687572</v>
      </c>
      <c r="F698" s="8">
        <v>423.31668384883358</v>
      </c>
      <c r="G698" s="7">
        <v>119913</v>
      </c>
      <c r="H698" s="9">
        <v>50761173.510365181</v>
      </c>
      <c r="I698" s="5" t="s">
        <v>1827</v>
      </c>
    </row>
    <row r="699" spans="1:9" x14ac:dyDescent="0.25">
      <c r="A699" s="6">
        <v>45995.829861111109</v>
      </c>
      <c r="B699" s="5" t="s">
        <v>28</v>
      </c>
      <c r="C699" s="8">
        <v>423.80261871200628</v>
      </c>
      <c r="D699" s="8">
        <v>423.95241831146518</v>
      </c>
      <c r="E699" s="8">
        <v>423.66783479957911</v>
      </c>
      <c r="F699" s="8">
        <v>423.69310207023062</v>
      </c>
      <c r="G699" s="7">
        <v>48086</v>
      </c>
      <c r="H699" s="9">
        <v>20373706.506149109</v>
      </c>
      <c r="I699" s="5" t="s">
        <v>1828</v>
      </c>
    </row>
    <row r="700" spans="1:9" x14ac:dyDescent="0.25">
      <c r="A700" s="6">
        <v>45995.833333333343</v>
      </c>
      <c r="B700" s="5" t="s">
        <v>28</v>
      </c>
      <c r="C700" s="8">
        <v>423.67856508380493</v>
      </c>
      <c r="D700" s="8">
        <v>423.72241010187349</v>
      </c>
      <c r="E700" s="8">
        <v>423.27426190500358</v>
      </c>
      <c r="F700" s="8">
        <v>423.66978900194522</v>
      </c>
      <c r="G700" s="7">
        <v>121468</v>
      </c>
      <c r="H700" s="9">
        <v>51462321.930488274</v>
      </c>
      <c r="I700" s="5" t="s">
        <v>1829</v>
      </c>
    </row>
    <row r="701" spans="1:9" x14ac:dyDescent="0.25">
      <c r="A701" s="6">
        <v>45995.836805555547</v>
      </c>
      <c r="B701" s="5" t="s">
        <v>28</v>
      </c>
      <c r="C701" s="8">
        <v>424.013560935638</v>
      </c>
      <c r="D701" s="8">
        <v>424.18193759551849</v>
      </c>
      <c r="E701" s="8">
        <v>423.38524750187679</v>
      </c>
      <c r="F701" s="8">
        <v>423.88312217406002</v>
      </c>
      <c r="G701" s="7">
        <v>58432</v>
      </c>
      <c r="H701" s="9">
        <v>24768338.59487468</v>
      </c>
      <c r="I701" s="5" t="s">
        <v>1830</v>
      </c>
    </row>
    <row r="702" spans="1:9" x14ac:dyDescent="0.25">
      <c r="A702" s="6">
        <v>45995.840277777781</v>
      </c>
      <c r="B702" s="5" t="s">
        <v>28</v>
      </c>
      <c r="C702" s="8">
        <v>424.17302344177472</v>
      </c>
      <c r="D702" s="8">
        <v>424.79829890199352</v>
      </c>
      <c r="E702" s="8">
        <v>423.91259993590478</v>
      </c>
      <c r="F702" s="8">
        <v>423.99011507940412</v>
      </c>
      <c r="G702" s="7">
        <v>95909</v>
      </c>
      <c r="H702" s="9">
        <v>40664467.947150573</v>
      </c>
      <c r="I702" s="5" t="s">
        <v>1831</v>
      </c>
    </row>
    <row r="703" spans="1:9" x14ac:dyDescent="0.25">
      <c r="A703" s="6">
        <v>45995.84375</v>
      </c>
      <c r="B703" s="5" t="s">
        <v>28</v>
      </c>
      <c r="C703" s="8">
        <v>424.46392212414361</v>
      </c>
      <c r="D703" s="8">
        <v>424.68646442592097</v>
      </c>
      <c r="E703" s="8">
        <v>424.32087879381038</v>
      </c>
      <c r="F703" s="8">
        <v>424.4308106079157</v>
      </c>
      <c r="G703" s="7">
        <v>104898</v>
      </c>
      <c r="H703" s="9">
        <v>44521943.171149142</v>
      </c>
      <c r="I703" s="5" t="s">
        <v>1832</v>
      </c>
    </row>
    <row r="704" spans="1:9" x14ac:dyDescent="0.25">
      <c r="A704" s="6">
        <v>45995.847222222219</v>
      </c>
      <c r="B704" s="5" t="s">
        <v>28</v>
      </c>
      <c r="C704" s="8">
        <v>423.75840262926971</v>
      </c>
      <c r="D704" s="8">
        <v>424.09418236835359</v>
      </c>
      <c r="E704" s="8">
        <v>423.50938065314358</v>
      </c>
      <c r="F704" s="8">
        <v>424.04672562248442</v>
      </c>
      <c r="G704" s="7">
        <v>88218</v>
      </c>
      <c r="H704" s="9">
        <v>37408554.040964328</v>
      </c>
      <c r="I704" s="5" t="s">
        <v>1833</v>
      </c>
    </row>
    <row r="705" spans="1:9" x14ac:dyDescent="0.25">
      <c r="A705" s="6">
        <v>45995.850694444453</v>
      </c>
      <c r="B705" s="5" t="s">
        <v>28</v>
      </c>
      <c r="C705" s="8">
        <v>423.92854251855618</v>
      </c>
      <c r="D705" s="8">
        <v>424.0799190147722</v>
      </c>
      <c r="E705" s="8">
        <v>423.66316827024258</v>
      </c>
      <c r="F705" s="8">
        <v>423.85191873253308</v>
      </c>
      <c r="G705" s="7">
        <v>47104</v>
      </c>
      <c r="H705" s="9">
        <v>19965120.77997724</v>
      </c>
      <c r="I705" s="5" t="s">
        <v>1834</v>
      </c>
    </row>
    <row r="706" spans="1:9" x14ac:dyDescent="0.25">
      <c r="A706" s="6">
        <v>45995.854166666657</v>
      </c>
      <c r="B706" s="5" t="s">
        <v>28</v>
      </c>
      <c r="C706" s="8">
        <v>423.59267055275052</v>
      </c>
      <c r="D706" s="8">
        <v>423.89562683580442</v>
      </c>
      <c r="E706" s="8">
        <v>423.10657587494899</v>
      </c>
      <c r="F706" s="8">
        <v>423.46528826447712</v>
      </c>
      <c r="G706" s="7">
        <v>80727</v>
      </c>
      <c r="H706" s="9">
        <v>34185082.325726442</v>
      </c>
      <c r="I706" s="5" t="s">
        <v>1835</v>
      </c>
    </row>
    <row r="707" spans="1:9" x14ac:dyDescent="0.25">
      <c r="A707" s="6">
        <v>45995.857638888891</v>
      </c>
      <c r="B707" s="5" t="s">
        <v>28</v>
      </c>
      <c r="C707" s="8">
        <v>423.2412621826935</v>
      </c>
      <c r="D707" s="8">
        <v>423.84369797500551</v>
      </c>
      <c r="E707" s="8">
        <v>422.94500997301208</v>
      </c>
      <c r="F707" s="8">
        <v>423.52739992314298</v>
      </c>
      <c r="G707" s="7">
        <v>52205</v>
      </c>
      <c r="H707" s="9">
        <v>22110247.912987679</v>
      </c>
      <c r="I707" s="5" t="s">
        <v>1836</v>
      </c>
    </row>
    <row r="708" spans="1:9" x14ac:dyDescent="0.25">
      <c r="A708" s="6">
        <v>45995.861111111109</v>
      </c>
      <c r="B708" s="5" t="s">
        <v>28</v>
      </c>
      <c r="C708" s="8">
        <v>423.77207097954528</v>
      </c>
      <c r="D708" s="8">
        <v>423.78204532844671</v>
      </c>
      <c r="E708" s="8">
        <v>423.26227263204851</v>
      </c>
      <c r="F708" s="8">
        <v>423.50820512505732</v>
      </c>
      <c r="G708" s="7">
        <v>58313</v>
      </c>
      <c r="H708" s="9">
        <v>24696033.965457469</v>
      </c>
      <c r="I708" s="5" t="s">
        <v>1837</v>
      </c>
    </row>
    <row r="709" spans="1:9" x14ac:dyDescent="0.25">
      <c r="A709" s="6">
        <v>45995.864583333343</v>
      </c>
      <c r="B709" s="5" t="s">
        <v>28</v>
      </c>
      <c r="C709" s="8">
        <v>423.55662053136268</v>
      </c>
      <c r="D709" s="8">
        <v>423.74421618810499</v>
      </c>
      <c r="E709" s="8">
        <v>423.41759350516071</v>
      </c>
      <c r="F709" s="8">
        <v>423.72745479014031</v>
      </c>
      <c r="G709" s="7">
        <v>42941</v>
      </c>
      <c r="H709" s="9">
        <v>18195280.63614342</v>
      </c>
      <c r="I709" s="5" t="s">
        <v>1838</v>
      </c>
    </row>
    <row r="710" spans="1:9" x14ac:dyDescent="0.25">
      <c r="A710" s="6">
        <v>45995.868055555547</v>
      </c>
      <c r="B710" s="5" t="s">
        <v>28</v>
      </c>
      <c r="C710" s="8">
        <v>424.00562667823948</v>
      </c>
      <c r="D710" s="8">
        <v>424.14306363348999</v>
      </c>
      <c r="E710" s="8">
        <v>423.80148805345101</v>
      </c>
      <c r="F710" s="8">
        <v>423.86532056873358</v>
      </c>
      <c r="G710" s="7">
        <v>79180</v>
      </c>
      <c r="H710" s="9">
        <v>33561656.082632333</v>
      </c>
      <c r="I710" s="5" t="s">
        <v>1839</v>
      </c>
    </row>
    <row r="711" spans="1:9" x14ac:dyDescent="0.25">
      <c r="A711" s="6">
        <v>45995.871527777781</v>
      </c>
      <c r="B711" s="5" t="s">
        <v>28</v>
      </c>
      <c r="C711" s="8">
        <v>423.51564770258528</v>
      </c>
      <c r="D711" s="8">
        <v>423.66430664491361</v>
      </c>
      <c r="E711" s="8">
        <v>423.46132260636949</v>
      </c>
      <c r="F711" s="8">
        <v>423.4670527899259</v>
      </c>
      <c r="G711" s="7">
        <v>56048</v>
      </c>
      <c r="H711" s="9">
        <v>23734481.37476977</v>
      </c>
      <c r="I711" s="5" t="s">
        <v>1840</v>
      </c>
    </row>
    <row r="712" spans="1:9" x14ac:dyDescent="0.25">
      <c r="A712" s="6">
        <v>45995.875</v>
      </c>
      <c r="B712" s="5" t="s">
        <v>28</v>
      </c>
      <c r="C712" s="8">
        <v>423.47432532087112</v>
      </c>
      <c r="D712" s="8">
        <v>423.57760370410898</v>
      </c>
      <c r="E712" s="8">
        <v>423.27117740944141</v>
      </c>
      <c r="F712" s="8">
        <v>423.53798533494961</v>
      </c>
      <c r="G712" s="7">
        <v>31269</v>
      </c>
      <c r="H712" s="9">
        <v>13243609.26343854</v>
      </c>
      <c r="I712" s="5" t="s">
        <v>1841</v>
      </c>
    </row>
    <row r="713" spans="1:9" x14ac:dyDescent="0.25">
      <c r="A713" s="6">
        <v>45996.604166666657</v>
      </c>
      <c r="B713" s="5" t="s">
        <v>28</v>
      </c>
      <c r="C713" s="8">
        <v>424.10396087414517</v>
      </c>
      <c r="D713" s="8">
        <v>424.17466381159443</v>
      </c>
      <c r="E713" s="8">
        <v>423.79798539272878</v>
      </c>
      <c r="F713" s="8">
        <v>424.03776625083458</v>
      </c>
      <c r="G713" s="7">
        <v>52987</v>
      </c>
      <c r="H713" s="9">
        <v>22468489.120332971</v>
      </c>
      <c r="I713" s="5" t="s">
        <v>1842</v>
      </c>
    </row>
    <row r="714" spans="1:9" x14ac:dyDescent="0.25">
      <c r="A714" s="6">
        <v>45996.607638888891</v>
      </c>
      <c r="B714" s="5" t="s">
        <v>28</v>
      </c>
      <c r="C714" s="8">
        <v>423.92812072675099</v>
      </c>
      <c r="D714" s="8">
        <v>424.10355130025829</v>
      </c>
      <c r="E714" s="8">
        <v>423.52625156208148</v>
      </c>
      <c r="F714" s="8">
        <v>423.83414580892389</v>
      </c>
      <c r="G714" s="7">
        <v>62380</v>
      </c>
      <c r="H714" s="9">
        <v>26438774.015560672</v>
      </c>
      <c r="I714" s="5" t="s">
        <v>1843</v>
      </c>
    </row>
    <row r="715" spans="1:9" x14ac:dyDescent="0.25">
      <c r="A715" s="6">
        <v>45996.611111111109</v>
      </c>
      <c r="B715" s="5" t="s">
        <v>28</v>
      </c>
      <c r="C715" s="8">
        <v>422.9701565110708</v>
      </c>
      <c r="D715" s="8">
        <v>423.16578603261001</v>
      </c>
      <c r="E715" s="8">
        <v>422.87419616375712</v>
      </c>
      <c r="F715" s="8">
        <v>423.08553090099832</v>
      </c>
      <c r="G715" s="7">
        <v>36034</v>
      </c>
      <c r="H715" s="9">
        <v>15245464.020486571</v>
      </c>
      <c r="I715" s="5" t="s">
        <v>1844</v>
      </c>
    </row>
    <row r="716" spans="1:9" x14ac:dyDescent="0.25">
      <c r="A716" s="6">
        <v>45996.614583333343</v>
      </c>
      <c r="B716" s="5" t="s">
        <v>28</v>
      </c>
      <c r="C716" s="8">
        <v>423.03970224481048</v>
      </c>
      <c r="D716" s="8">
        <v>423.18035948563528</v>
      </c>
      <c r="E716" s="8">
        <v>422.98815294385338</v>
      </c>
      <c r="F716" s="8">
        <v>423.02613883407213</v>
      </c>
      <c r="G716" s="7">
        <v>134186</v>
      </c>
      <c r="H716" s="9">
        <v>56764185.465588793</v>
      </c>
      <c r="I716" s="5" t="s">
        <v>1845</v>
      </c>
    </row>
    <row r="717" spans="1:9" x14ac:dyDescent="0.25">
      <c r="A717" s="6">
        <v>45996.618055555547</v>
      </c>
      <c r="B717" s="5" t="s">
        <v>28</v>
      </c>
      <c r="C717" s="8">
        <v>423.28701129237402</v>
      </c>
      <c r="D717" s="8">
        <v>423.35619513535579</v>
      </c>
      <c r="E717" s="8">
        <v>422.86148633906498</v>
      </c>
      <c r="F717" s="8">
        <v>423.03249180238078</v>
      </c>
      <c r="G717" s="7">
        <v>73400</v>
      </c>
      <c r="H717" s="9">
        <v>31050584.898294751</v>
      </c>
      <c r="I717" s="5" t="s">
        <v>1846</v>
      </c>
    </row>
    <row r="718" spans="1:9" x14ac:dyDescent="0.25">
      <c r="A718" s="6">
        <v>45996.621527777781</v>
      </c>
      <c r="B718" s="5" t="s">
        <v>28</v>
      </c>
      <c r="C718" s="8">
        <v>422.88391259869962</v>
      </c>
      <c r="D718" s="8">
        <v>423.44856619188022</v>
      </c>
      <c r="E718" s="8">
        <v>422.78950811013812</v>
      </c>
      <c r="F718" s="8">
        <v>422.88861425051027</v>
      </c>
      <c r="G718" s="7">
        <v>49256</v>
      </c>
      <c r="H718" s="9">
        <v>20829801.583523139</v>
      </c>
      <c r="I718" s="5" t="s">
        <v>1847</v>
      </c>
    </row>
    <row r="719" spans="1:9" x14ac:dyDescent="0.25">
      <c r="A719" s="6">
        <v>45996.625</v>
      </c>
      <c r="B719" s="5" t="s">
        <v>28</v>
      </c>
      <c r="C719" s="8">
        <v>423.34173966768498</v>
      </c>
      <c r="D719" s="8">
        <v>423.43288964130602</v>
      </c>
      <c r="E719" s="8">
        <v>423.06463542695337</v>
      </c>
      <c r="F719" s="8">
        <v>423.32520237293289</v>
      </c>
      <c r="G719" s="7">
        <v>60650</v>
      </c>
      <c r="H719" s="9">
        <v>25674673.523918379</v>
      </c>
      <c r="I719" s="5" t="s">
        <v>1848</v>
      </c>
    </row>
    <row r="720" spans="1:9" x14ac:dyDescent="0.25">
      <c r="A720" s="6">
        <v>45996.628472222219</v>
      </c>
      <c r="B720" s="5" t="s">
        <v>28</v>
      </c>
      <c r="C720" s="8">
        <v>423.09220247301238</v>
      </c>
      <c r="D720" s="8">
        <v>423.6634594124497</v>
      </c>
      <c r="E720" s="8">
        <v>423.05837683154778</v>
      </c>
      <c r="F720" s="8">
        <v>423.18855352333139</v>
      </c>
      <c r="G720" s="7">
        <v>81993</v>
      </c>
      <c r="H720" s="9">
        <v>34698499.06903851</v>
      </c>
      <c r="I720" s="5" t="s">
        <v>1849</v>
      </c>
    </row>
    <row r="721" spans="1:9" x14ac:dyDescent="0.25">
      <c r="A721" s="6">
        <v>45996.631944444453</v>
      </c>
      <c r="B721" s="5" t="s">
        <v>28</v>
      </c>
      <c r="C721" s="8">
        <v>423.80036023509649</v>
      </c>
      <c r="D721" s="8">
        <v>423.96094183666708</v>
      </c>
      <c r="E721" s="8">
        <v>423.6185071751645</v>
      </c>
      <c r="F721" s="8">
        <v>423.74818612923161</v>
      </c>
      <c r="G721" s="7">
        <v>83783</v>
      </c>
      <c r="H721" s="9">
        <v>35502894.278465413</v>
      </c>
      <c r="I721" s="5" t="s">
        <v>1850</v>
      </c>
    </row>
    <row r="722" spans="1:9" x14ac:dyDescent="0.25">
      <c r="A722" s="6">
        <v>45996.635416666657</v>
      </c>
      <c r="B722" s="5" t="s">
        <v>28</v>
      </c>
      <c r="C722" s="8">
        <v>424.03231086072691</v>
      </c>
      <c r="D722" s="8">
        <v>424.06860856804059</v>
      </c>
      <c r="E722" s="8">
        <v>423.84748786873303</v>
      </c>
      <c r="F722" s="8">
        <v>423.96830330270529</v>
      </c>
      <c r="G722" s="7">
        <v>51598</v>
      </c>
      <c r="H722" s="9">
        <v>21875916.513812989</v>
      </c>
      <c r="I722" s="5" t="s">
        <v>1851</v>
      </c>
    </row>
    <row r="723" spans="1:9" x14ac:dyDescent="0.25">
      <c r="A723" s="6">
        <v>45996.638888888891</v>
      </c>
      <c r="B723" s="5" t="s">
        <v>28</v>
      </c>
      <c r="C723" s="8">
        <v>423.75327794281458</v>
      </c>
      <c r="D723" s="8">
        <v>424.08456161380963</v>
      </c>
      <c r="E723" s="8">
        <v>423.49127947402093</v>
      </c>
      <c r="F723" s="8">
        <v>423.72841238906682</v>
      </c>
      <c r="G723" s="7">
        <v>48498</v>
      </c>
      <c r="H723" s="9">
        <v>20549980.54404496</v>
      </c>
      <c r="I723" s="5" t="s">
        <v>1852</v>
      </c>
    </row>
    <row r="724" spans="1:9" x14ac:dyDescent="0.25">
      <c r="A724" s="6">
        <v>45996.642361111109</v>
      </c>
      <c r="B724" s="5" t="s">
        <v>28</v>
      </c>
      <c r="C724" s="8">
        <v>423.35097042416908</v>
      </c>
      <c r="D724" s="8">
        <v>423.61588064262679</v>
      </c>
      <c r="E724" s="8">
        <v>423.26718213860721</v>
      </c>
      <c r="F724" s="8">
        <v>423.35777876660421</v>
      </c>
      <c r="G724" s="7">
        <v>66561</v>
      </c>
      <c r="H724" s="9">
        <v>28179117.112483941</v>
      </c>
      <c r="I724" s="5" t="s">
        <v>1853</v>
      </c>
    </row>
    <row r="725" spans="1:9" x14ac:dyDescent="0.25">
      <c r="A725" s="6">
        <v>45996.645833333343</v>
      </c>
      <c r="B725" s="5" t="s">
        <v>28</v>
      </c>
      <c r="C725" s="8">
        <v>422.46290493995599</v>
      </c>
      <c r="D725" s="8">
        <v>422.60325886538988</v>
      </c>
      <c r="E725" s="8">
        <v>422.30834872826358</v>
      </c>
      <c r="F725" s="8">
        <v>422.4815266833636</v>
      </c>
      <c r="G725" s="7">
        <v>34005</v>
      </c>
      <c r="H725" s="9">
        <v>14366484.31486778</v>
      </c>
      <c r="I725" s="5" t="s">
        <v>1854</v>
      </c>
    </row>
    <row r="726" spans="1:9" x14ac:dyDescent="0.25">
      <c r="A726" s="6">
        <v>45996.649305555547</v>
      </c>
      <c r="B726" s="5" t="s">
        <v>28</v>
      </c>
      <c r="C726" s="8">
        <v>422.64021869733301</v>
      </c>
      <c r="D726" s="8">
        <v>423.10853959076701</v>
      </c>
      <c r="E726" s="8">
        <v>422.49452817872918</v>
      </c>
      <c r="F726" s="8">
        <v>422.65413703667559</v>
      </c>
      <c r="G726" s="7">
        <v>56695</v>
      </c>
      <c r="H726" s="9">
        <v>23962376.29929433</v>
      </c>
      <c r="I726" s="5" t="s">
        <v>1855</v>
      </c>
    </row>
    <row r="727" spans="1:9" x14ac:dyDescent="0.25">
      <c r="A727" s="6">
        <v>45996.652777777781</v>
      </c>
      <c r="B727" s="5" t="s">
        <v>28</v>
      </c>
      <c r="C727" s="8">
        <v>422.52255890771499</v>
      </c>
      <c r="D727" s="8">
        <v>422.97954084357627</v>
      </c>
      <c r="E727" s="8">
        <v>422.16988721803091</v>
      </c>
      <c r="F727" s="8">
        <v>422.5100452788551</v>
      </c>
      <c r="G727" s="7">
        <v>74609</v>
      </c>
      <c r="H727" s="9">
        <v>31523051.968210101</v>
      </c>
      <c r="I727" s="5" t="s">
        <v>1856</v>
      </c>
    </row>
    <row r="728" spans="1:9" x14ac:dyDescent="0.25">
      <c r="A728" s="6">
        <v>45996.65625</v>
      </c>
      <c r="B728" s="5" t="s">
        <v>28</v>
      </c>
      <c r="C728" s="8">
        <v>422.37817801113653</v>
      </c>
      <c r="D728" s="8">
        <v>422.55320406524498</v>
      </c>
      <c r="E728" s="8">
        <v>422.2882040349885</v>
      </c>
      <c r="F728" s="8">
        <v>422.42348790258637</v>
      </c>
      <c r="G728" s="7">
        <v>51768</v>
      </c>
      <c r="H728" s="9">
        <v>21868019.12174109</v>
      </c>
      <c r="I728" s="5" t="s">
        <v>1857</v>
      </c>
    </row>
    <row r="729" spans="1:9" x14ac:dyDescent="0.25">
      <c r="A729" s="6">
        <v>45996.659722222219</v>
      </c>
      <c r="B729" s="5" t="s">
        <v>28</v>
      </c>
      <c r="C729" s="8">
        <v>422.40336844472938</v>
      </c>
      <c r="D729" s="8">
        <v>422.51011167900731</v>
      </c>
      <c r="E729" s="8">
        <v>422.27772691647999</v>
      </c>
      <c r="F729" s="8">
        <v>422.36039728471729</v>
      </c>
      <c r="G729" s="7">
        <v>51670</v>
      </c>
      <c r="H729" s="9">
        <v>21823361.72770134</v>
      </c>
      <c r="I729" s="5" t="s">
        <v>1858</v>
      </c>
    </row>
    <row r="730" spans="1:9" x14ac:dyDescent="0.25">
      <c r="A730" s="6">
        <v>45996.663194444453</v>
      </c>
      <c r="B730" s="5" t="s">
        <v>28</v>
      </c>
      <c r="C730" s="8">
        <v>422.06238615747202</v>
      </c>
      <c r="D730" s="8">
        <v>422.46096003985798</v>
      </c>
      <c r="E730" s="8">
        <v>421.97011866711512</v>
      </c>
      <c r="F730" s="8">
        <v>422.2248563566784</v>
      </c>
      <c r="G730" s="7">
        <v>78636</v>
      </c>
      <c r="H730" s="9">
        <v>33202073.804463759</v>
      </c>
      <c r="I730" s="5" t="s">
        <v>1859</v>
      </c>
    </row>
    <row r="731" spans="1:9" x14ac:dyDescent="0.25">
      <c r="A731" s="6">
        <v>45996.666666666657</v>
      </c>
      <c r="B731" s="5" t="s">
        <v>28</v>
      </c>
      <c r="C731" s="8">
        <v>421.75777675341669</v>
      </c>
      <c r="D731" s="8">
        <v>422.57596880066052</v>
      </c>
      <c r="E731" s="8">
        <v>421.65531382500922</v>
      </c>
      <c r="F731" s="8">
        <v>422.20544490003402</v>
      </c>
      <c r="G731" s="7">
        <v>107272</v>
      </c>
      <c r="H731" s="9">
        <v>45290822.485316448</v>
      </c>
      <c r="I731" s="5" t="s">
        <v>1860</v>
      </c>
    </row>
    <row r="732" spans="1:9" x14ac:dyDescent="0.25">
      <c r="A732" s="6">
        <v>45996.670138888891</v>
      </c>
      <c r="B732" s="5" t="s">
        <v>28</v>
      </c>
      <c r="C732" s="8">
        <v>422.63342337654421</v>
      </c>
      <c r="D732" s="8">
        <v>422.7468928677269</v>
      </c>
      <c r="E732" s="8">
        <v>422.52621988933339</v>
      </c>
      <c r="F732" s="8">
        <v>422.65909983644218</v>
      </c>
      <c r="G732" s="7">
        <v>109200</v>
      </c>
      <c r="H732" s="9">
        <v>46154373.702139489</v>
      </c>
      <c r="I732" s="5" t="s">
        <v>1861</v>
      </c>
    </row>
    <row r="733" spans="1:9" x14ac:dyDescent="0.25">
      <c r="A733" s="6">
        <v>45996.673611111109</v>
      </c>
      <c r="B733" s="5" t="s">
        <v>28</v>
      </c>
      <c r="C733" s="8">
        <v>422.63335820836079</v>
      </c>
      <c r="D733" s="8">
        <v>422.98716083548788</v>
      </c>
      <c r="E733" s="8">
        <v>422.42439781258258</v>
      </c>
      <c r="F733" s="8">
        <v>422.74812806583537</v>
      </c>
      <c r="G733" s="7">
        <v>29864</v>
      </c>
      <c r="H733" s="9">
        <v>12624950.096558111</v>
      </c>
      <c r="I733" s="5" t="s">
        <v>1862</v>
      </c>
    </row>
    <row r="734" spans="1:9" x14ac:dyDescent="0.25">
      <c r="A734" s="6">
        <v>45996.677083333343</v>
      </c>
      <c r="B734" s="5" t="s">
        <v>28</v>
      </c>
      <c r="C734" s="8">
        <v>422.64021726892719</v>
      </c>
      <c r="D734" s="8">
        <v>422.86950968612717</v>
      </c>
      <c r="E734" s="8">
        <v>422.204413964021</v>
      </c>
      <c r="F734" s="8">
        <v>422.51342827957569</v>
      </c>
      <c r="G734" s="7">
        <v>60008</v>
      </c>
      <c r="H734" s="9">
        <v>25354185.80420078</v>
      </c>
      <c r="I734" s="5" t="s">
        <v>1863</v>
      </c>
    </row>
    <row r="735" spans="1:9" x14ac:dyDescent="0.25">
      <c r="A735" s="6">
        <v>45996.680555555547</v>
      </c>
      <c r="B735" s="5" t="s">
        <v>28</v>
      </c>
      <c r="C735" s="8">
        <v>422.8901091528366</v>
      </c>
      <c r="D735" s="8">
        <v>423.15049285120381</v>
      </c>
      <c r="E735" s="8">
        <v>422.80253102105189</v>
      </c>
      <c r="F735" s="8">
        <v>422.84592500429221</v>
      </c>
      <c r="G735" s="7">
        <v>75592</v>
      </c>
      <c r="H735" s="9">
        <v>31963769.162924461</v>
      </c>
      <c r="I735" s="5" t="s">
        <v>1864</v>
      </c>
    </row>
    <row r="736" spans="1:9" x14ac:dyDescent="0.25">
      <c r="A736" s="6">
        <v>45996.684027777781</v>
      </c>
      <c r="B736" s="5" t="s">
        <v>28</v>
      </c>
      <c r="C736" s="8">
        <v>422.91618955810941</v>
      </c>
      <c r="D736" s="8">
        <v>423.62510375690948</v>
      </c>
      <c r="E736" s="8">
        <v>422.85676465322871</v>
      </c>
      <c r="F736" s="8">
        <v>423.03498510549491</v>
      </c>
      <c r="G736" s="7">
        <v>35864</v>
      </c>
      <c r="H736" s="9">
        <v>15171726.70582347</v>
      </c>
      <c r="I736" s="5" t="s">
        <v>1865</v>
      </c>
    </row>
    <row r="737" spans="1:9" x14ac:dyDescent="0.25">
      <c r="A737" s="6">
        <v>45996.6875</v>
      </c>
      <c r="B737" s="5" t="s">
        <v>28</v>
      </c>
      <c r="C737" s="8">
        <v>422.57721192632027</v>
      </c>
      <c r="D737" s="8">
        <v>423.08460121992113</v>
      </c>
      <c r="E737" s="8">
        <v>422.57167801772522</v>
      </c>
      <c r="F737" s="8">
        <v>422.91769847780319</v>
      </c>
      <c r="G737" s="7">
        <v>138394</v>
      </c>
      <c r="H737" s="9">
        <v>58529271.963137098</v>
      </c>
      <c r="I737" s="5" t="s">
        <v>1866</v>
      </c>
    </row>
    <row r="738" spans="1:9" x14ac:dyDescent="0.25">
      <c r="A738" s="6">
        <v>45996.690972222219</v>
      </c>
      <c r="B738" s="5" t="s">
        <v>28</v>
      </c>
      <c r="C738" s="8">
        <v>423.0479484477662</v>
      </c>
      <c r="D738" s="8">
        <v>423.24404615705032</v>
      </c>
      <c r="E738" s="8">
        <v>422.93998156988971</v>
      </c>
      <c r="F738" s="8">
        <v>422.99897880111058</v>
      </c>
      <c r="G738" s="7">
        <v>49170</v>
      </c>
      <c r="H738" s="9">
        <v>20798859.787650611</v>
      </c>
      <c r="I738" s="5" t="s">
        <v>1867</v>
      </c>
    </row>
    <row r="739" spans="1:9" x14ac:dyDescent="0.25">
      <c r="A739" s="6">
        <v>45996.694444444453</v>
      </c>
      <c r="B739" s="5" t="s">
        <v>28</v>
      </c>
      <c r="C739" s="8">
        <v>423.58652662354922</v>
      </c>
      <c r="D739" s="8">
        <v>423.98016152634523</v>
      </c>
      <c r="E739" s="8">
        <v>423.25310785633758</v>
      </c>
      <c r="F739" s="8">
        <v>423.51802414603401</v>
      </c>
      <c r="G739" s="7">
        <v>43831</v>
      </c>
      <c r="H739" s="9">
        <v>18563218.516344819</v>
      </c>
      <c r="I739" s="5" t="s">
        <v>1868</v>
      </c>
    </row>
    <row r="740" spans="1:9" x14ac:dyDescent="0.25">
      <c r="A740" s="6">
        <v>45996.697916666657</v>
      </c>
      <c r="B740" s="5" t="s">
        <v>28</v>
      </c>
      <c r="C740" s="8">
        <v>423.31221223853902</v>
      </c>
      <c r="D740" s="8">
        <v>423.44646416316698</v>
      </c>
      <c r="E740" s="8">
        <v>423.1914522384144</v>
      </c>
      <c r="F740" s="8">
        <v>423.35853542903288</v>
      </c>
      <c r="G740" s="7">
        <v>57038</v>
      </c>
      <c r="H740" s="9">
        <v>24147524.143801179</v>
      </c>
      <c r="I740" s="5" t="s">
        <v>1869</v>
      </c>
    </row>
    <row r="741" spans="1:9" x14ac:dyDescent="0.25">
      <c r="A741" s="6">
        <v>45996.701388888891</v>
      </c>
      <c r="B741" s="5" t="s">
        <v>28</v>
      </c>
      <c r="C741" s="8">
        <v>423.26292184268311</v>
      </c>
      <c r="D741" s="8">
        <v>423.61234506569963</v>
      </c>
      <c r="E741" s="8">
        <v>423.05591423350512</v>
      </c>
      <c r="F741" s="8">
        <v>423.07519327643632</v>
      </c>
      <c r="G741" s="7">
        <v>42198</v>
      </c>
      <c r="H741" s="9">
        <v>17852927.005879059</v>
      </c>
      <c r="I741" s="5" t="s">
        <v>1870</v>
      </c>
    </row>
    <row r="742" spans="1:9" x14ac:dyDescent="0.25">
      <c r="A742" s="6">
        <v>45996.704861111109</v>
      </c>
      <c r="B742" s="5" t="s">
        <v>28</v>
      </c>
      <c r="C742" s="8">
        <v>422.77026854872992</v>
      </c>
      <c r="D742" s="8">
        <v>423.07058219838501</v>
      </c>
      <c r="E742" s="8">
        <v>422.5387173689482</v>
      </c>
      <c r="F742" s="8">
        <v>422.85896473243412</v>
      </c>
      <c r="G742" s="7">
        <v>65958</v>
      </c>
      <c r="H742" s="9">
        <v>27890931.595821891</v>
      </c>
      <c r="I742" s="5" t="s">
        <v>1871</v>
      </c>
    </row>
    <row r="743" spans="1:9" x14ac:dyDescent="0.25">
      <c r="A743" s="6">
        <v>45996.708333333343</v>
      </c>
      <c r="B743" s="5" t="s">
        <v>28</v>
      </c>
      <c r="C743" s="8">
        <v>423.0454517040547</v>
      </c>
      <c r="D743" s="8">
        <v>423.26642204160362</v>
      </c>
      <c r="E743" s="8">
        <v>422.90123813157197</v>
      </c>
      <c r="F743" s="8">
        <v>422.98640389650421</v>
      </c>
      <c r="G743" s="7">
        <v>120364</v>
      </c>
      <c r="H743" s="9">
        <v>50912335.518598832</v>
      </c>
      <c r="I743" s="5" t="s">
        <v>1872</v>
      </c>
    </row>
    <row r="744" spans="1:9" x14ac:dyDescent="0.25">
      <c r="A744" s="6">
        <v>45996.711805555547</v>
      </c>
      <c r="B744" s="5" t="s">
        <v>28</v>
      </c>
      <c r="C744" s="8">
        <v>423.04815799500562</v>
      </c>
      <c r="D744" s="8">
        <v>423.78177601123338</v>
      </c>
      <c r="E744" s="8">
        <v>422.95862804391737</v>
      </c>
      <c r="F744" s="8">
        <v>423.09116656762268</v>
      </c>
      <c r="G744" s="7">
        <v>49102</v>
      </c>
      <c r="H744" s="9">
        <v>20774622.460803408</v>
      </c>
      <c r="I744" s="5" t="s">
        <v>1873</v>
      </c>
    </row>
    <row r="745" spans="1:9" x14ac:dyDescent="0.25">
      <c r="A745" s="6">
        <v>45996.715277777781</v>
      </c>
      <c r="B745" s="5" t="s">
        <v>28</v>
      </c>
      <c r="C745" s="8">
        <v>423.3555780784726</v>
      </c>
      <c r="D745" s="8">
        <v>423.51624971285548</v>
      </c>
      <c r="E745" s="8">
        <v>423.09273674332371</v>
      </c>
      <c r="F745" s="8">
        <v>423.43817474809128</v>
      </c>
      <c r="G745" s="7">
        <v>49425</v>
      </c>
      <c r="H745" s="9">
        <v>20928431.786924411</v>
      </c>
      <c r="I745" s="5" t="s">
        <v>1874</v>
      </c>
    </row>
    <row r="746" spans="1:9" x14ac:dyDescent="0.25">
      <c r="A746" s="6">
        <v>45996.71875</v>
      </c>
      <c r="B746" s="5" t="s">
        <v>28</v>
      </c>
      <c r="C746" s="8">
        <v>422.996971892874</v>
      </c>
      <c r="D746" s="8">
        <v>423.21742832485631</v>
      </c>
      <c r="E746" s="8">
        <v>422.57311070605152</v>
      </c>
      <c r="F746" s="8">
        <v>422.90303137397888</v>
      </c>
      <c r="G746" s="7">
        <v>54059</v>
      </c>
      <c r="H746" s="9">
        <v>22861714.97304593</v>
      </c>
      <c r="I746" s="5" t="s">
        <v>1875</v>
      </c>
    </row>
    <row r="747" spans="1:9" x14ac:dyDescent="0.25">
      <c r="A747" s="6">
        <v>45996.722222222219</v>
      </c>
      <c r="B747" s="5" t="s">
        <v>28</v>
      </c>
      <c r="C747" s="8">
        <v>423.36519275928993</v>
      </c>
      <c r="D747" s="8">
        <v>423.58633743388788</v>
      </c>
      <c r="E747" s="8">
        <v>423.31166418092891</v>
      </c>
      <c r="F747" s="8">
        <v>423.32744416297157</v>
      </c>
      <c r="G747" s="7">
        <v>49162</v>
      </c>
      <c r="H747" s="9">
        <v>20811623.80994001</v>
      </c>
      <c r="I747" s="5" t="s">
        <v>1876</v>
      </c>
    </row>
    <row r="748" spans="1:9" x14ac:dyDescent="0.25">
      <c r="A748" s="6">
        <v>45996.725694444453</v>
      </c>
      <c r="B748" s="5" t="s">
        <v>28</v>
      </c>
      <c r="C748" s="8">
        <v>423.10949368106048</v>
      </c>
      <c r="D748" s="8">
        <v>423.19984067340539</v>
      </c>
      <c r="E748" s="8">
        <v>422.45517470623588</v>
      </c>
      <c r="F748" s="8">
        <v>423.14044157107958</v>
      </c>
      <c r="G748" s="7">
        <v>31749</v>
      </c>
      <c r="H748" s="9">
        <v>13434285.879440211</v>
      </c>
      <c r="I748" s="5" t="s">
        <v>1877</v>
      </c>
    </row>
    <row r="749" spans="1:9" x14ac:dyDescent="0.25">
      <c r="A749" s="6">
        <v>45996.729166666657</v>
      </c>
      <c r="B749" s="5" t="s">
        <v>28</v>
      </c>
      <c r="C749" s="8">
        <v>423.25880586827549</v>
      </c>
      <c r="D749" s="8">
        <v>423.40610770442942</v>
      </c>
      <c r="E749" s="8">
        <v>423.14854204267118</v>
      </c>
      <c r="F749" s="8">
        <v>423.1673139412336</v>
      </c>
      <c r="G749" s="7">
        <v>42401</v>
      </c>
      <c r="H749" s="9">
        <v>17942717.278422251</v>
      </c>
      <c r="I749" s="5" t="s">
        <v>1878</v>
      </c>
    </row>
    <row r="750" spans="1:9" x14ac:dyDescent="0.25">
      <c r="A750" s="6">
        <v>45996.732638888891</v>
      </c>
      <c r="B750" s="5" t="s">
        <v>28</v>
      </c>
      <c r="C750" s="8">
        <v>422.7075446833374</v>
      </c>
      <c r="D750" s="8">
        <v>422.70817146365653</v>
      </c>
      <c r="E750" s="8">
        <v>422.57032977479957</v>
      </c>
      <c r="F750" s="8">
        <v>422.67910098788099</v>
      </c>
      <c r="G750" s="7">
        <v>39288</v>
      </c>
      <c r="H750" s="9">
        <v>16606216.519611871</v>
      </c>
      <c r="I750" s="5" t="s">
        <v>1879</v>
      </c>
    </row>
    <row r="751" spans="1:9" x14ac:dyDescent="0.25">
      <c r="A751" s="6">
        <v>45996.736111111109</v>
      </c>
      <c r="B751" s="5" t="s">
        <v>28</v>
      </c>
      <c r="C751" s="8">
        <v>422.73289789090478</v>
      </c>
      <c r="D751" s="8">
        <v>422.77871665457582</v>
      </c>
      <c r="E751" s="8">
        <v>422.71911638812952</v>
      </c>
      <c r="F751" s="8">
        <v>422.73193328958229</v>
      </c>
      <c r="G751" s="7">
        <v>54038</v>
      </c>
      <c r="H751" s="9">
        <v>22843588.211102448</v>
      </c>
      <c r="I751" s="5" t="s">
        <v>1880</v>
      </c>
    </row>
    <row r="752" spans="1:9" x14ac:dyDescent="0.25">
      <c r="A752" s="6">
        <v>45996.739583333343</v>
      </c>
      <c r="B752" s="5" t="s">
        <v>28</v>
      </c>
      <c r="C752" s="8">
        <v>423.00759930762149</v>
      </c>
      <c r="D752" s="8">
        <v>423.46451064298941</v>
      </c>
      <c r="E752" s="8">
        <v>422.58709762038711</v>
      </c>
      <c r="F752" s="8">
        <v>422.95048410580642</v>
      </c>
      <c r="G752" s="7">
        <v>60160</v>
      </c>
      <c r="H752" s="9">
        <v>25444701.123805311</v>
      </c>
      <c r="I752" s="5" t="s">
        <v>1881</v>
      </c>
    </row>
    <row r="753" spans="1:9" x14ac:dyDescent="0.25">
      <c r="A753" s="6">
        <v>45996.743055555547</v>
      </c>
      <c r="B753" s="5" t="s">
        <v>28</v>
      </c>
      <c r="C753" s="8">
        <v>422.60041279568679</v>
      </c>
      <c r="D753" s="8">
        <v>422.73598923680328</v>
      </c>
      <c r="E753" s="8">
        <v>422.12722787106122</v>
      </c>
      <c r="F753" s="8">
        <v>422.5157211087423</v>
      </c>
      <c r="G753" s="7">
        <v>36687</v>
      </c>
      <c r="H753" s="9">
        <v>15500834.26031643</v>
      </c>
      <c r="I753" s="5" t="s">
        <v>1882</v>
      </c>
    </row>
    <row r="754" spans="1:9" x14ac:dyDescent="0.25">
      <c r="A754" s="6">
        <v>45996.746527777781</v>
      </c>
      <c r="B754" s="5" t="s">
        <v>28</v>
      </c>
      <c r="C754" s="8">
        <v>422.56976762505019</v>
      </c>
      <c r="D754" s="8">
        <v>422.58221122750041</v>
      </c>
      <c r="E754" s="8">
        <v>422.18433423306908</v>
      </c>
      <c r="F754" s="8">
        <v>422.37426493875091</v>
      </c>
      <c r="G754" s="7">
        <v>76090</v>
      </c>
      <c r="H754" s="9">
        <v>32138457.819189548</v>
      </c>
      <c r="I754" s="5" t="s">
        <v>1883</v>
      </c>
    </row>
    <row r="755" spans="1:9" x14ac:dyDescent="0.25">
      <c r="A755" s="6">
        <v>45996.75</v>
      </c>
      <c r="B755" s="5" t="s">
        <v>28</v>
      </c>
      <c r="C755" s="8">
        <v>422.3180959772036</v>
      </c>
      <c r="D755" s="8">
        <v>422.52234093476062</v>
      </c>
      <c r="E755" s="8">
        <v>422.13931955302792</v>
      </c>
      <c r="F755" s="8">
        <v>422.20935289968207</v>
      </c>
      <c r="G755" s="7">
        <v>124883</v>
      </c>
      <c r="H755" s="9">
        <v>52726770.618171006</v>
      </c>
      <c r="I755" s="5" t="s">
        <v>1884</v>
      </c>
    </row>
    <row r="756" spans="1:9" x14ac:dyDescent="0.25">
      <c r="A756" s="6">
        <v>45996.753472222219</v>
      </c>
      <c r="B756" s="5" t="s">
        <v>28</v>
      </c>
      <c r="C756" s="8">
        <v>422.20618579235878</v>
      </c>
      <c r="D756" s="8">
        <v>422.46085070726571</v>
      </c>
      <c r="E756" s="8">
        <v>421.81687469778188</v>
      </c>
      <c r="F756" s="8">
        <v>422.15601722628548</v>
      </c>
      <c r="G756" s="7">
        <v>44335</v>
      </c>
      <c r="H756" s="9">
        <v>18716287.023727369</v>
      </c>
      <c r="I756" s="5" t="s">
        <v>1885</v>
      </c>
    </row>
    <row r="757" spans="1:9" x14ac:dyDescent="0.25">
      <c r="A757" s="6">
        <v>45996.756944444453</v>
      </c>
      <c r="B757" s="5" t="s">
        <v>28</v>
      </c>
      <c r="C757" s="8">
        <v>421.82503879342619</v>
      </c>
      <c r="D757" s="8">
        <v>422.1194295428985</v>
      </c>
      <c r="E757" s="8">
        <v>421.48308423012298</v>
      </c>
      <c r="F757" s="8">
        <v>421.89494725959878</v>
      </c>
      <c r="G757" s="7">
        <v>54763</v>
      </c>
      <c r="H757" s="9">
        <v>23104232.996777412</v>
      </c>
      <c r="I757" s="5" t="s">
        <v>1886</v>
      </c>
    </row>
    <row r="758" spans="1:9" x14ac:dyDescent="0.25">
      <c r="A758" s="6">
        <v>45996.760416666657</v>
      </c>
      <c r="B758" s="5" t="s">
        <v>28</v>
      </c>
      <c r="C758" s="8">
        <v>421.71738988709001</v>
      </c>
      <c r="D758" s="8">
        <v>421.96195752265868</v>
      </c>
      <c r="E758" s="8">
        <v>421.50143050476811</v>
      </c>
      <c r="F758" s="8">
        <v>421.72646449394932</v>
      </c>
      <c r="G758" s="7">
        <v>54126</v>
      </c>
      <c r="H758" s="9">
        <v>22826366.617199499</v>
      </c>
      <c r="I758" s="5" t="s">
        <v>1887</v>
      </c>
    </row>
    <row r="759" spans="1:9" x14ac:dyDescent="0.25">
      <c r="A759" s="6">
        <v>45996.763888888891</v>
      </c>
      <c r="B759" s="5" t="s">
        <v>28</v>
      </c>
      <c r="C759" s="8">
        <v>421.62230925996369</v>
      </c>
      <c r="D759" s="8">
        <v>421.73796399339489</v>
      </c>
      <c r="E759" s="8">
        <v>421.56918314981863</v>
      </c>
      <c r="F759" s="8">
        <v>421.73380982472889</v>
      </c>
      <c r="G759" s="7">
        <v>86213</v>
      </c>
      <c r="H759" s="9">
        <v>36358936.946419351</v>
      </c>
      <c r="I759" s="5" t="s">
        <v>1888</v>
      </c>
    </row>
    <row r="760" spans="1:9" x14ac:dyDescent="0.25">
      <c r="A760" s="6">
        <v>45996.767361111109</v>
      </c>
      <c r="B760" s="5" t="s">
        <v>28</v>
      </c>
      <c r="C760" s="8">
        <v>422.03743067903758</v>
      </c>
      <c r="D760" s="8">
        <v>422.28927819831972</v>
      </c>
      <c r="E760" s="8">
        <v>421.82194065082138</v>
      </c>
      <c r="F760" s="8">
        <v>421.97379606728902</v>
      </c>
      <c r="G760" s="7">
        <v>95335</v>
      </c>
      <c r="H760" s="9">
        <v>40228871.848074988</v>
      </c>
      <c r="I760" s="5" t="s">
        <v>1889</v>
      </c>
    </row>
    <row r="761" spans="1:9" x14ac:dyDescent="0.25">
      <c r="A761" s="6">
        <v>45996.770833333343</v>
      </c>
      <c r="B761" s="5" t="s">
        <v>28</v>
      </c>
      <c r="C761" s="8">
        <v>421.98879667886013</v>
      </c>
      <c r="D761" s="8">
        <v>422.150234324233</v>
      </c>
      <c r="E761" s="8">
        <v>421.72901543621379</v>
      </c>
      <c r="F761" s="8">
        <v>422.04738190898053</v>
      </c>
      <c r="G761" s="7">
        <v>109995</v>
      </c>
      <c r="H761" s="9">
        <v>46423101.773078308</v>
      </c>
      <c r="I761" s="5" t="s">
        <v>1890</v>
      </c>
    </row>
    <row r="762" spans="1:9" x14ac:dyDescent="0.25">
      <c r="A762" s="6">
        <v>45996.774305555547</v>
      </c>
      <c r="B762" s="5" t="s">
        <v>28</v>
      </c>
      <c r="C762" s="8">
        <v>421.96482745381411</v>
      </c>
      <c r="D762" s="8">
        <v>422.41957923625642</v>
      </c>
      <c r="E762" s="8">
        <v>421.84355117592298</v>
      </c>
      <c r="F762" s="8">
        <v>422.14658569696832</v>
      </c>
      <c r="G762" s="7">
        <v>49771</v>
      </c>
      <c r="H762" s="9">
        <v>21010657.716723811</v>
      </c>
      <c r="I762" s="5" t="s">
        <v>1891</v>
      </c>
    </row>
    <row r="763" spans="1:9" x14ac:dyDescent="0.25">
      <c r="A763" s="6">
        <v>45996.777777777781</v>
      </c>
      <c r="B763" s="5" t="s">
        <v>28</v>
      </c>
      <c r="C763" s="8">
        <v>422.42820809769529</v>
      </c>
      <c r="D763" s="8">
        <v>422.68208554179881</v>
      </c>
      <c r="E763" s="8">
        <v>422.18152837904972</v>
      </c>
      <c r="F763" s="8">
        <v>422.31812040747337</v>
      </c>
      <c r="G763" s="7">
        <v>43799</v>
      </c>
      <c r="H763" s="9">
        <v>18497111.355726931</v>
      </c>
      <c r="I763" s="5" t="s">
        <v>1892</v>
      </c>
    </row>
    <row r="764" spans="1:9" x14ac:dyDescent="0.25">
      <c r="A764" s="6">
        <v>45996.78125</v>
      </c>
      <c r="B764" s="5" t="s">
        <v>28</v>
      </c>
      <c r="C764" s="8">
        <v>422.88797871192872</v>
      </c>
      <c r="D764" s="8">
        <v>423.36223162310762</v>
      </c>
      <c r="E764" s="8">
        <v>422.59842421821691</v>
      </c>
      <c r="F764" s="8">
        <v>422.73538816182833</v>
      </c>
      <c r="G764" s="7">
        <v>53294</v>
      </c>
      <c r="H764" s="9">
        <v>22529259.776696481</v>
      </c>
      <c r="I764" s="5" t="s">
        <v>1893</v>
      </c>
    </row>
    <row r="765" spans="1:9" x14ac:dyDescent="0.25">
      <c r="A765" s="6">
        <v>45996.784722222219</v>
      </c>
      <c r="B765" s="5" t="s">
        <v>28</v>
      </c>
      <c r="C765" s="8">
        <v>422.58110938478222</v>
      </c>
      <c r="D765" s="8">
        <v>422.69639847199579</v>
      </c>
      <c r="E765" s="8">
        <v>422.43519986732917</v>
      </c>
      <c r="F765" s="8">
        <v>422.45214245293562</v>
      </c>
      <c r="G765" s="7">
        <v>39685</v>
      </c>
      <c r="H765" s="9">
        <v>16765013.27324475</v>
      </c>
      <c r="I765" s="5" t="s">
        <v>1894</v>
      </c>
    </row>
    <row r="766" spans="1:9" x14ac:dyDescent="0.25">
      <c r="A766" s="6">
        <v>45996.788194444453</v>
      </c>
      <c r="B766" s="5" t="s">
        <v>28</v>
      </c>
      <c r="C766" s="8">
        <v>421.58329540110918</v>
      </c>
      <c r="D766" s="8">
        <v>421.89956152602798</v>
      </c>
      <c r="E766" s="8">
        <v>421.36301840612509</v>
      </c>
      <c r="F766" s="8">
        <v>421.69694441556402</v>
      </c>
      <c r="G766" s="7">
        <v>29182</v>
      </c>
      <c r="H766" s="9">
        <v>12305960.231934991</v>
      </c>
      <c r="I766" s="5" t="s">
        <v>1895</v>
      </c>
    </row>
    <row r="767" spans="1:9" x14ac:dyDescent="0.25">
      <c r="A767" s="6">
        <v>45996.791666666657</v>
      </c>
      <c r="B767" s="5" t="s">
        <v>28</v>
      </c>
      <c r="C767" s="8">
        <v>421.080036465082</v>
      </c>
      <c r="D767" s="8">
        <v>421.21422348848603</v>
      </c>
      <c r="E767" s="8">
        <v>420.94885819227062</v>
      </c>
      <c r="F767" s="8">
        <v>421.13305799190522</v>
      </c>
      <c r="G767" s="7">
        <v>55182</v>
      </c>
      <c r="H767" s="9">
        <v>23238964.406109311</v>
      </c>
      <c r="I767" s="5" t="s">
        <v>1896</v>
      </c>
    </row>
    <row r="768" spans="1:9" x14ac:dyDescent="0.25">
      <c r="A768" s="6">
        <v>45996.795138888891</v>
      </c>
      <c r="B768" s="5" t="s">
        <v>28</v>
      </c>
      <c r="C768" s="8">
        <v>421.09349348060772</v>
      </c>
      <c r="D768" s="8">
        <v>421.39522687802349</v>
      </c>
      <c r="E768" s="8">
        <v>420.89518039758218</v>
      </c>
      <c r="F768" s="8">
        <v>421.1029872153747</v>
      </c>
      <c r="G768" s="7">
        <v>63955</v>
      </c>
      <c r="H768" s="9">
        <v>26931641.547359291</v>
      </c>
      <c r="I768" s="5" t="s">
        <v>1897</v>
      </c>
    </row>
    <row r="769" spans="1:9" x14ac:dyDescent="0.25">
      <c r="A769" s="6">
        <v>45996.798611111109</v>
      </c>
      <c r="B769" s="5" t="s">
        <v>28</v>
      </c>
      <c r="C769" s="8">
        <v>420.75569530100341</v>
      </c>
      <c r="D769" s="8">
        <v>420.93222470949257</v>
      </c>
      <c r="E769" s="8">
        <v>420.37219043120012</v>
      </c>
      <c r="F769" s="8">
        <v>420.61263417521639</v>
      </c>
      <c r="G769" s="7">
        <v>61981</v>
      </c>
      <c r="H769" s="9">
        <v>26069991.678814091</v>
      </c>
      <c r="I769" s="5" t="s">
        <v>1898</v>
      </c>
    </row>
    <row r="770" spans="1:9" x14ac:dyDescent="0.25">
      <c r="A770" s="6">
        <v>45996.802083333343</v>
      </c>
      <c r="B770" s="5" t="s">
        <v>28</v>
      </c>
      <c r="C770" s="8">
        <v>420.40620513726083</v>
      </c>
      <c r="D770" s="8">
        <v>420.63894109183622</v>
      </c>
      <c r="E770" s="8">
        <v>420.07459741554942</v>
      </c>
      <c r="F770" s="8">
        <v>420.56419611574432</v>
      </c>
      <c r="G770" s="7">
        <v>23278</v>
      </c>
      <c r="H770" s="9">
        <v>9789893.3571822941</v>
      </c>
      <c r="I770" s="5" t="s">
        <v>1899</v>
      </c>
    </row>
    <row r="771" spans="1:9" x14ac:dyDescent="0.25">
      <c r="A771" s="6">
        <v>45996.805555555547</v>
      </c>
      <c r="B771" s="5" t="s">
        <v>28</v>
      </c>
      <c r="C771" s="8">
        <v>421.10432494402693</v>
      </c>
      <c r="D771" s="8">
        <v>421.3219004897694</v>
      </c>
      <c r="E771" s="8">
        <v>420.902335590581</v>
      </c>
      <c r="F771" s="8">
        <v>421.20596593185411</v>
      </c>
      <c r="G771" s="7">
        <v>56715</v>
      </c>
      <c r="H771" s="9">
        <v>23888696.3578251</v>
      </c>
      <c r="I771" s="5" t="s">
        <v>1900</v>
      </c>
    </row>
    <row r="772" spans="1:9" x14ac:dyDescent="0.25">
      <c r="A772" s="6">
        <v>45996.809027777781</v>
      </c>
      <c r="B772" s="5" t="s">
        <v>28</v>
      </c>
      <c r="C772" s="8">
        <v>421.48206647633009</v>
      </c>
      <c r="D772" s="8">
        <v>421.94898583031761</v>
      </c>
      <c r="E772" s="8">
        <v>421.4733460434058</v>
      </c>
      <c r="F772" s="8">
        <v>421.50536579192328</v>
      </c>
      <c r="G772" s="7">
        <v>74599</v>
      </c>
      <c r="H772" s="9">
        <v>31443878.782711681</v>
      </c>
      <c r="I772" s="5" t="s">
        <v>1901</v>
      </c>
    </row>
    <row r="773" spans="1:9" x14ac:dyDescent="0.25">
      <c r="A773" s="6">
        <v>45996.8125</v>
      </c>
      <c r="B773" s="5" t="s">
        <v>28</v>
      </c>
      <c r="C773" s="8">
        <v>421.21432847122458</v>
      </c>
      <c r="D773" s="8">
        <v>421.37530225160231</v>
      </c>
      <c r="E773" s="8">
        <v>421.09134465671292</v>
      </c>
      <c r="F773" s="8">
        <v>421.27651010756819</v>
      </c>
      <c r="G773" s="7">
        <v>105515</v>
      </c>
      <c r="H773" s="9">
        <v>44450990.964000061</v>
      </c>
      <c r="I773" s="5" t="s">
        <v>1902</v>
      </c>
    </row>
    <row r="774" spans="1:9" x14ac:dyDescent="0.25">
      <c r="A774" s="6">
        <v>45996.815972222219</v>
      </c>
      <c r="B774" s="5" t="s">
        <v>28</v>
      </c>
      <c r="C774" s="8">
        <v>421.12959495592088</v>
      </c>
      <c r="D774" s="8">
        <v>421.43943798220369</v>
      </c>
      <c r="E774" s="8">
        <v>420.79166205658078</v>
      </c>
      <c r="F774" s="8">
        <v>421.28810887831207</v>
      </c>
      <c r="G774" s="7">
        <v>70611</v>
      </c>
      <c r="H774" s="9">
        <v>29747574.6560065</v>
      </c>
      <c r="I774" s="5" t="s">
        <v>1903</v>
      </c>
    </row>
    <row r="775" spans="1:9" x14ac:dyDescent="0.25">
      <c r="A775" s="6">
        <v>45996.819444444453</v>
      </c>
      <c r="B775" s="5" t="s">
        <v>28</v>
      </c>
      <c r="C775" s="8">
        <v>421.16516362003819</v>
      </c>
      <c r="D775" s="8">
        <v>421.38641153957877</v>
      </c>
      <c r="E775" s="8">
        <v>420.93432518448878</v>
      </c>
      <c r="F775" s="8">
        <v>421.29752972260189</v>
      </c>
      <c r="G775" s="7">
        <v>70015</v>
      </c>
      <c r="H775" s="9">
        <v>29497146.543527968</v>
      </c>
      <c r="I775" s="5" t="s">
        <v>1904</v>
      </c>
    </row>
    <row r="776" spans="1:9" x14ac:dyDescent="0.25">
      <c r="A776" s="6">
        <v>45996.822916666657</v>
      </c>
      <c r="B776" s="5" t="s">
        <v>28</v>
      </c>
      <c r="C776" s="8">
        <v>421.17882327714779</v>
      </c>
      <c r="D776" s="8">
        <v>421.27534576850047</v>
      </c>
      <c r="E776" s="8">
        <v>420.95091400573301</v>
      </c>
      <c r="F776" s="8">
        <v>421.08619267059112</v>
      </c>
      <c r="G776" s="7">
        <v>63763</v>
      </c>
      <c r="H776" s="9">
        <v>26849718.9032549</v>
      </c>
      <c r="I776" s="5" t="s">
        <v>1905</v>
      </c>
    </row>
    <row r="777" spans="1:9" x14ac:dyDescent="0.25">
      <c r="A777" s="6">
        <v>45996.826388888891</v>
      </c>
      <c r="B777" s="5" t="s">
        <v>28</v>
      </c>
      <c r="C777" s="8">
        <v>421.64232216536521</v>
      </c>
      <c r="D777" s="8">
        <v>422.0297147422649</v>
      </c>
      <c r="E777" s="8">
        <v>421.60779225958441</v>
      </c>
      <c r="F777" s="8">
        <v>421.77820198881602</v>
      </c>
      <c r="G777" s="7">
        <v>74295</v>
      </c>
      <c r="H777" s="9">
        <v>31336011.51675909</v>
      </c>
      <c r="I777" s="5" t="s">
        <v>1906</v>
      </c>
    </row>
    <row r="778" spans="1:9" x14ac:dyDescent="0.25">
      <c r="A778" s="6">
        <v>45996.829861111109</v>
      </c>
      <c r="B778" s="5" t="s">
        <v>28</v>
      </c>
      <c r="C778" s="8">
        <v>421.96084715621163</v>
      </c>
      <c r="D778" s="8">
        <v>421.99907568747977</v>
      </c>
      <c r="E778" s="8">
        <v>421.92538656073913</v>
      </c>
      <c r="F778" s="8">
        <v>421.92616291799459</v>
      </c>
      <c r="G778" s="7">
        <v>75429</v>
      </c>
      <c r="H778" s="9">
        <v>31825468.542741422</v>
      </c>
      <c r="I778" s="5" t="s">
        <v>1907</v>
      </c>
    </row>
    <row r="779" spans="1:9" x14ac:dyDescent="0.25">
      <c r="A779" s="6">
        <v>45996.833333333343</v>
      </c>
      <c r="B779" s="5" t="s">
        <v>28</v>
      </c>
      <c r="C779" s="8">
        <v>421.91580546432562</v>
      </c>
      <c r="D779" s="8">
        <v>422.20873670979648</v>
      </c>
      <c r="E779" s="8">
        <v>421.5923494028234</v>
      </c>
      <c r="F779" s="8">
        <v>422.09607787215981</v>
      </c>
      <c r="G779" s="7">
        <v>81288</v>
      </c>
      <c r="H779" s="9">
        <v>34311345.978072129</v>
      </c>
      <c r="I779" s="5" t="s">
        <v>1908</v>
      </c>
    </row>
    <row r="780" spans="1:9" x14ac:dyDescent="0.25">
      <c r="A780" s="6">
        <v>45996.836805555547</v>
      </c>
      <c r="B780" s="5" t="s">
        <v>28</v>
      </c>
      <c r="C780" s="8">
        <v>421.94897628499211</v>
      </c>
      <c r="D780" s="8">
        <v>422.32059388459601</v>
      </c>
      <c r="E780" s="8">
        <v>421.78526816531252</v>
      </c>
      <c r="F780" s="8">
        <v>422.17427391661607</v>
      </c>
      <c r="G780" s="7">
        <v>98682</v>
      </c>
      <c r="H780" s="9">
        <v>41661001.698639512</v>
      </c>
      <c r="I780" s="5" t="s">
        <v>1909</v>
      </c>
    </row>
    <row r="781" spans="1:9" x14ac:dyDescent="0.25">
      <c r="A781" s="6">
        <v>45996.840277777781</v>
      </c>
      <c r="B781" s="5" t="s">
        <v>28</v>
      </c>
      <c r="C781" s="8">
        <v>421.7917609298546</v>
      </c>
      <c r="D781" s="8">
        <v>421.951524277104</v>
      </c>
      <c r="E781" s="8">
        <v>421.72510933650761</v>
      </c>
      <c r="F781" s="8">
        <v>421.82064077358859</v>
      </c>
      <c r="G781" s="7">
        <v>33211</v>
      </c>
      <c r="H781" s="9">
        <v>14009085.30073165</v>
      </c>
      <c r="I781" s="5" t="s">
        <v>1910</v>
      </c>
    </row>
    <row r="782" spans="1:9" x14ac:dyDescent="0.25">
      <c r="A782" s="6">
        <v>45996.84375</v>
      </c>
      <c r="B782" s="5" t="s">
        <v>28</v>
      </c>
      <c r="C782" s="8">
        <v>421.59208203417012</v>
      </c>
      <c r="D782" s="8">
        <v>421.73943431783101</v>
      </c>
      <c r="E782" s="8">
        <v>421.19989237995179</v>
      </c>
      <c r="F782" s="8">
        <v>421.64561213027838</v>
      </c>
      <c r="G782" s="7">
        <v>48197</v>
      </c>
      <c r="H782" s="9">
        <v>20322053.567843031</v>
      </c>
      <c r="I782" s="5" t="s">
        <v>1911</v>
      </c>
    </row>
    <row r="783" spans="1:9" x14ac:dyDescent="0.25">
      <c r="A783" s="6">
        <v>45996.847222222219</v>
      </c>
      <c r="B783" s="5" t="s">
        <v>28</v>
      </c>
      <c r="C783" s="8">
        <v>421.6153895942382</v>
      </c>
      <c r="D783" s="8">
        <v>421.75649556813528</v>
      </c>
      <c r="E783" s="8">
        <v>421.18376366642627</v>
      </c>
      <c r="F783" s="8">
        <v>421.47798793588629</v>
      </c>
      <c r="G783" s="7">
        <v>69585</v>
      </c>
      <c r="H783" s="9">
        <v>29328545.790518649</v>
      </c>
      <c r="I783" s="5" t="s">
        <v>1912</v>
      </c>
    </row>
    <row r="784" spans="1:9" x14ac:dyDescent="0.25">
      <c r="A784" s="6">
        <v>45996.850694444453</v>
      </c>
      <c r="B784" s="5" t="s">
        <v>28</v>
      </c>
      <c r="C784" s="8">
        <v>421.15285784918291</v>
      </c>
      <c r="D784" s="8">
        <v>421.27279232472762</v>
      </c>
      <c r="E784" s="8">
        <v>421.10145031326351</v>
      </c>
      <c r="F784" s="8">
        <v>421.24148582905042</v>
      </c>
      <c r="G784" s="7">
        <v>61616</v>
      </c>
      <c r="H784" s="9">
        <v>25955215.390842769</v>
      </c>
      <c r="I784" s="5" t="s">
        <v>1913</v>
      </c>
    </row>
    <row r="785" spans="1:9" x14ac:dyDescent="0.25">
      <c r="A785" s="6">
        <v>45996.854166666657</v>
      </c>
      <c r="B785" s="5" t="s">
        <v>28</v>
      </c>
      <c r="C785" s="8">
        <v>421.09457862211218</v>
      </c>
      <c r="D785" s="8">
        <v>421.26376459552188</v>
      </c>
      <c r="E785" s="8">
        <v>420.90405483649067</v>
      </c>
      <c r="F785" s="8">
        <v>421.02347249035631</v>
      </c>
      <c r="G785" s="7">
        <v>55986</v>
      </c>
      <c r="H785" s="9">
        <v>23571420.130845081</v>
      </c>
      <c r="I785" s="5" t="s">
        <v>1914</v>
      </c>
    </row>
    <row r="786" spans="1:9" x14ac:dyDescent="0.25">
      <c r="A786" s="6">
        <v>45996.857638888891</v>
      </c>
      <c r="B786" s="5" t="s">
        <v>28</v>
      </c>
      <c r="C786" s="8">
        <v>420.51114611482251</v>
      </c>
      <c r="D786" s="8">
        <v>420.60717410507863</v>
      </c>
      <c r="E786" s="8">
        <v>420.15067122915912</v>
      </c>
      <c r="F786" s="8">
        <v>420.55223112924119</v>
      </c>
      <c r="G786" s="7">
        <v>32257</v>
      </c>
      <c r="H786" s="9">
        <v>13565753.319535941</v>
      </c>
      <c r="I786" s="5" t="s">
        <v>1915</v>
      </c>
    </row>
    <row r="787" spans="1:9" x14ac:dyDescent="0.25">
      <c r="A787" s="6">
        <v>45996.861111111109</v>
      </c>
      <c r="B787" s="5" t="s">
        <v>28</v>
      </c>
      <c r="C787" s="8">
        <v>420.96887652215031</v>
      </c>
      <c r="D787" s="8">
        <v>421.04401260659768</v>
      </c>
      <c r="E787" s="8">
        <v>420.80759761409371</v>
      </c>
      <c r="F787" s="8">
        <v>421.00431666095022</v>
      </c>
      <c r="G787" s="7">
        <v>102056</v>
      </c>
      <c r="H787" s="9">
        <v>42966016.541149937</v>
      </c>
      <c r="I787" s="5" t="s">
        <v>1916</v>
      </c>
    </row>
    <row r="788" spans="1:9" x14ac:dyDescent="0.25">
      <c r="A788" s="6">
        <v>45996.864583333343</v>
      </c>
      <c r="B788" s="5" t="s">
        <v>28</v>
      </c>
      <c r="C788" s="8">
        <v>420.69733247891298</v>
      </c>
      <c r="D788" s="8">
        <v>421.03591372259689</v>
      </c>
      <c r="E788" s="8">
        <v>420.45181776368128</v>
      </c>
      <c r="F788" s="8">
        <v>420.92025486760019</v>
      </c>
      <c r="G788" s="7">
        <v>69009</v>
      </c>
      <c r="H788" s="9">
        <v>29047285.868158221</v>
      </c>
      <c r="I788" s="5" t="s">
        <v>1917</v>
      </c>
    </row>
    <row r="789" spans="1:9" x14ac:dyDescent="0.25">
      <c r="A789" s="6">
        <v>45996.868055555547</v>
      </c>
      <c r="B789" s="5" t="s">
        <v>28</v>
      </c>
      <c r="C789" s="8">
        <v>421.01854824232629</v>
      </c>
      <c r="D789" s="8">
        <v>421.13169567396432</v>
      </c>
      <c r="E789" s="8">
        <v>420.76610861520612</v>
      </c>
      <c r="F789" s="8">
        <v>420.86374856542432</v>
      </c>
      <c r="G789" s="7">
        <v>97036</v>
      </c>
      <c r="H789" s="9">
        <v>40838934.705794513</v>
      </c>
      <c r="I789" s="5" t="s">
        <v>1918</v>
      </c>
    </row>
    <row r="790" spans="1:9" x14ac:dyDescent="0.25">
      <c r="A790" s="6">
        <v>45996.871527777781</v>
      </c>
      <c r="B790" s="5" t="s">
        <v>28</v>
      </c>
      <c r="C790" s="8">
        <v>421.80228562540208</v>
      </c>
      <c r="D790" s="8">
        <v>422.13714841147811</v>
      </c>
      <c r="E790" s="8">
        <v>421.7113312669693</v>
      </c>
      <c r="F790" s="8">
        <v>421.86989946216619</v>
      </c>
      <c r="G790" s="7">
        <v>69690</v>
      </c>
      <c r="H790" s="9">
        <v>29400113.293518361</v>
      </c>
      <c r="I790" s="5" t="s">
        <v>1919</v>
      </c>
    </row>
    <row r="791" spans="1:9" x14ac:dyDescent="0.25">
      <c r="A791" s="6">
        <v>45996.875</v>
      </c>
      <c r="B791" s="5" t="s">
        <v>28</v>
      </c>
      <c r="C791" s="8">
        <v>421.28433034613693</v>
      </c>
      <c r="D791" s="8">
        <v>421.75641964986391</v>
      </c>
      <c r="E791" s="8">
        <v>421.24778101311352</v>
      </c>
      <c r="F791" s="8">
        <v>421.40608259536589</v>
      </c>
      <c r="G791" s="7">
        <v>49812</v>
      </c>
      <c r="H791" s="9">
        <v>20991079.786240369</v>
      </c>
      <c r="I791" s="5" t="s">
        <v>1920</v>
      </c>
    </row>
    <row r="792" spans="1:9" x14ac:dyDescent="0.25">
      <c r="A792" s="6">
        <v>45992.604166666657</v>
      </c>
      <c r="B792" s="5" t="s">
        <v>14</v>
      </c>
      <c r="C792" s="8">
        <v>185.36058323483741</v>
      </c>
      <c r="D792" s="8">
        <v>185.44083055782599</v>
      </c>
      <c r="E792" s="8">
        <v>185.1872007594657</v>
      </c>
      <c r="F792" s="8">
        <v>185.2939328365687</v>
      </c>
      <c r="G792" s="7">
        <v>59665</v>
      </c>
      <c r="H792" s="9">
        <v>11055562.502693869</v>
      </c>
      <c r="I792" s="5" t="s">
        <v>1921</v>
      </c>
    </row>
    <row r="793" spans="1:9" x14ac:dyDescent="0.25">
      <c r="A793" s="6">
        <v>45992.607638888891</v>
      </c>
      <c r="B793" s="5" t="s">
        <v>14</v>
      </c>
      <c r="C793" s="8">
        <v>185.42427709005139</v>
      </c>
      <c r="D793" s="8">
        <v>185.70907366503141</v>
      </c>
      <c r="E793" s="8">
        <v>185.3369646734609</v>
      </c>
      <c r="F793" s="8">
        <v>185.53537519702479</v>
      </c>
      <c r="G793" s="7">
        <v>83772</v>
      </c>
      <c r="H793" s="9">
        <v>15542669.45100517</v>
      </c>
      <c r="I793" s="5" t="s">
        <v>1922</v>
      </c>
    </row>
    <row r="794" spans="1:9" x14ac:dyDescent="0.25">
      <c r="A794" s="6">
        <v>45992.611111111109</v>
      </c>
      <c r="B794" s="5" t="s">
        <v>14</v>
      </c>
      <c r="C794" s="8">
        <v>185.59954441744549</v>
      </c>
      <c r="D794" s="8">
        <v>185.6213401251637</v>
      </c>
      <c r="E794" s="8">
        <v>185.56180949092209</v>
      </c>
      <c r="F794" s="8">
        <v>185.5735821823063</v>
      </c>
      <c r="G794" s="7">
        <v>90875</v>
      </c>
      <c r="H794" s="9">
        <v>16863999.28081708</v>
      </c>
      <c r="I794" s="5" t="s">
        <v>1923</v>
      </c>
    </row>
    <row r="795" spans="1:9" x14ac:dyDescent="0.25">
      <c r="A795" s="6">
        <v>45992.614583333343</v>
      </c>
      <c r="B795" s="5" t="s">
        <v>14</v>
      </c>
      <c r="C795" s="8">
        <v>186.19399556983419</v>
      </c>
      <c r="D795" s="8">
        <v>186.3391411071963</v>
      </c>
      <c r="E795" s="8">
        <v>186.1203231167068</v>
      </c>
      <c r="F795" s="8">
        <v>186.16785947907979</v>
      </c>
      <c r="G795" s="7">
        <v>104346</v>
      </c>
      <c r="H795" s="9">
        <v>19425871.46520406</v>
      </c>
      <c r="I795" s="5" t="s">
        <v>1924</v>
      </c>
    </row>
    <row r="796" spans="1:9" x14ac:dyDescent="0.25">
      <c r="A796" s="6">
        <v>45992.618055555547</v>
      </c>
      <c r="B796" s="5" t="s">
        <v>14</v>
      </c>
      <c r="C796" s="8">
        <v>186.19572498649509</v>
      </c>
      <c r="D796" s="8">
        <v>186.24530142333009</v>
      </c>
      <c r="E796" s="8">
        <v>186.10229479766801</v>
      </c>
      <c r="F796" s="8">
        <v>186.18520647309469</v>
      </c>
      <c r="G796" s="7">
        <v>49800</v>
      </c>
      <c r="H796" s="9">
        <v>9272023.2823601179</v>
      </c>
      <c r="I796" s="5" t="s">
        <v>1925</v>
      </c>
    </row>
    <row r="797" spans="1:9" x14ac:dyDescent="0.25">
      <c r="A797" s="6">
        <v>45992.621527777781</v>
      </c>
      <c r="B797" s="5" t="s">
        <v>14</v>
      </c>
      <c r="C797" s="8">
        <v>185.95525367102721</v>
      </c>
      <c r="D797" s="8">
        <v>186.23080477924771</v>
      </c>
      <c r="E797" s="8">
        <v>185.90470274825881</v>
      </c>
      <c r="F797" s="8">
        <v>186.0258804080965</v>
      </c>
      <c r="G797" s="7">
        <v>84688</v>
      </c>
      <c r="H797" s="9">
        <v>15754159.760000881</v>
      </c>
      <c r="I797" s="5" t="s">
        <v>1926</v>
      </c>
    </row>
    <row r="798" spans="1:9" x14ac:dyDescent="0.25">
      <c r="A798" s="6">
        <v>45992.625</v>
      </c>
      <c r="B798" s="5" t="s">
        <v>14</v>
      </c>
      <c r="C798" s="8">
        <v>186.0340618845924</v>
      </c>
      <c r="D798" s="8">
        <v>186.11716211966481</v>
      </c>
      <c r="E798" s="8">
        <v>185.93722222128619</v>
      </c>
      <c r="F798" s="8">
        <v>186.11198933309851</v>
      </c>
      <c r="G798" s="7">
        <v>45530</v>
      </c>
      <c r="H798" s="9">
        <v>8473678.8743359763</v>
      </c>
      <c r="I798" s="5" t="s">
        <v>1927</v>
      </c>
    </row>
    <row r="799" spans="1:9" x14ac:dyDescent="0.25">
      <c r="A799" s="6">
        <v>45992.628472222219</v>
      </c>
      <c r="B799" s="5" t="s">
        <v>14</v>
      </c>
      <c r="C799" s="8">
        <v>186.1053760594736</v>
      </c>
      <c r="D799" s="8">
        <v>186.11716888482979</v>
      </c>
      <c r="E799" s="8">
        <v>186.07990677011421</v>
      </c>
      <c r="F799" s="8">
        <v>186.09543542780921</v>
      </c>
      <c r="G799" s="7">
        <v>54422</v>
      </c>
      <c r="H799" s="9">
        <v>10127685.786852229</v>
      </c>
      <c r="I799" s="5" t="s">
        <v>1928</v>
      </c>
    </row>
    <row r="800" spans="1:9" x14ac:dyDescent="0.25">
      <c r="A800" s="6">
        <v>45992.631944444453</v>
      </c>
      <c r="B800" s="5" t="s">
        <v>14</v>
      </c>
      <c r="C800" s="8">
        <v>186.17287178038799</v>
      </c>
      <c r="D800" s="8">
        <v>186.41699492257379</v>
      </c>
      <c r="E800" s="8">
        <v>185.97718394281239</v>
      </c>
      <c r="F800" s="8">
        <v>186.1028457282633</v>
      </c>
      <c r="G800" s="7">
        <v>55689</v>
      </c>
      <c r="H800" s="9">
        <v>10363881.375761259</v>
      </c>
      <c r="I800" s="5" t="s">
        <v>1929</v>
      </c>
    </row>
    <row r="801" spans="1:9" x14ac:dyDescent="0.25">
      <c r="A801" s="6">
        <v>45992.635416666657</v>
      </c>
      <c r="B801" s="5" t="s">
        <v>14</v>
      </c>
      <c r="C801" s="8">
        <v>186.2244269711918</v>
      </c>
      <c r="D801" s="8">
        <v>186.33757915189349</v>
      </c>
      <c r="E801" s="8">
        <v>186.03309670816341</v>
      </c>
      <c r="F801" s="8">
        <v>186.17039126020489</v>
      </c>
      <c r="G801" s="7">
        <v>92645</v>
      </c>
      <c r="H801" s="9">
        <v>17247755.89830168</v>
      </c>
      <c r="I801" s="5" t="s">
        <v>1930</v>
      </c>
    </row>
    <row r="802" spans="1:9" x14ac:dyDescent="0.25">
      <c r="A802" s="6">
        <v>45992.638888888891</v>
      </c>
      <c r="B802" s="5" t="s">
        <v>14</v>
      </c>
      <c r="C802" s="8">
        <v>186.22526158458621</v>
      </c>
      <c r="D802" s="8">
        <v>186.4096393188486</v>
      </c>
      <c r="E802" s="8">
        <v>186.10495623894269</v>
      </c>
      <c r="F802" s="8">
        <v>186.24006736932481</v>
      </c>
      <c r="G802" s="7">
        <v>74477</v>
      </c>
      <c r="H802" s="9">
        <v>13870601.49746521</v>
      </c>
      <c r="I802" s="5" t="s">
        <v>1931</v>
      </c>
    </row>
    <row r="803" spans="1:9" x14ac:dyDescent="0.25">
      <c r="A803" s="6">
        <v>45992.642361111109</v>
      </c>
      <c r="B803" s="5" t="s">
        <v>14</v>
      </c>
      <c r="C803" s="8">
        <v>186.1005145586563</v>
      </c>
      <c r="D803" s="8">
        <v>186.1437649660358</v>
      </c>
      <c r="E803" s="8">
        <v>186.0512659600067</v>
      </c>
      <c r="F803" s="8">
        <v>186.09912804694551</v>
      </c>
      <c r="G803" s="7">
        <v>110235</v>
      </c>
      <c r="H803" s="9">
        <v>20514637.38025504</v>
      </c>
      <c r="I803" s="5" t="s">
        <v>1932</v>
      </c>
    </row>
    <row r="804" spans="1:9" x14ac:dyDescent="0.25">
      <c r="A804" s="6">
        <v>45992.645833333343</v>
      </c>
      <c r="B804" s="5" t="s">
        <v>14</v>
      </c>
      <c r="C804" s="8">
        <v>186.1758808337496</v>
      </c>
      <c r="D804" s="8">
        <v>186.19010380228701</v>
      </c>
      <c r="E804" s="8">
        <v>185.9615475618786</v>
      </c>
      <c r="F804" s="8">
        <v>186.04061616258161</v>
      </c>
      <c r="G804" s="7">
        <v>62795</v>
      </c>
      <c r="H804" s="9">
        <v>11682420.491929309</v>
      </c>
      <c r="I804" s="5" t="s">
        <v>1933</v>
      </c>
    </row>
    <row r="805" spans="1:9" x14ac:dyDescent="0.25">
      <c r="A805" s="6">
        <v>45992.649305555547</v>
      </c>
      <c r="B805" s="5" t="s">
        <v>14</v>
      </c>
      <c r="C805" s="8">
        <v>186.4351891402263</v>
      </c>
      <c r="D805" s="8">
        <v>186.50097955694429</v>
      </c>
      <c r="E805" s="8">
        <v>186.1834235789695</v>
      </c>
      <c r="F805" s="8">
        <v>186.44348871993901</v>
      </c>
      <c r="G805" s="7">
        <v>73570</v>
      </c>
      <c r="H805" s="9">
        <v>13716647.465125909</v>
      </c>
      <c r="I805" s="5" t="s">
        <v>1934</v>
      </c>
    </row>
    <row r="806" spans="1:9" x14ac:dyDescent="0.25">
      <c r="A806" s="6">
        <v>45992.652777777781</v>
      </c>
      <c r="B806" s="5" t="s">
        <v>14</v>
      </c>
      <c r="C806" s="8">
        <v>186.20795127903841</v>
      </c>
      <c r="D806" s="8">
        <v>186.3661640629071</v>
      </c>
      <c r="E806" s="8">
        <v>186.18002495204101</v>
      </c>
      <c r="F806" s="8">
        <v>186.214394208942</v>
      </c>
      <c r="G806" s="7">
        <v>76913</v>
      </c>
      <c r="H806" s="9">
        <v>14322307.70179235</v>
      </c>
      <c r="I806" s="5" t="s">
        <v>1935</v>
      </c>
    </row>
    <row r="807" spans="1:9" x14ac:dyDescent="0.25">
      <c r="A807" s="6">
        <v>45992.65625</v>
      </c>
      <c r="B807" s="5" t="s">
        <v>14</v>
      </c>
      <c r="C807" s="8">
        <v>186.15818348695399</v>
      </c>
      <c r="D807" s="8">
        <v>186.20776507346091</v>
      </c>
      <c r="E807" s="8">
        <v>186.03723083592249</v>
      </c>
      <c r="F807" s="8">
        <v>186.1768755267766</v>
      </c>
      <c r="G807" s="7">
        <v>61943</v>
      </c>
      <c r="H807" s="9">
        <v>11532354.200755119</v>
      </c>
      <c r="I807" s="5" t="s">
        <v>1936</v>
      </c>
    </row>
    <row r="808" spans="1:9" x14ac:dyDescent="0.25">
      <c r="A808" s="6">
        <v>45992.659722222219</v>
      </c>
      <c r="B808" s="5" t="s">
        <v>14</v>
      </c>
      <c r="C808" s="8">
        <v>186.1201272108421</v>
      </c>
      <c r="D808" s="8">
        <v>186.36158637513199</v>
      </c>
      <c r="E808" s="8">
        <v>186.10599985835171</v>
      </c>
      <c r="F808" s="8">
        <v>186.17354749572769</v>
      </c>
      <c r="G808" s="7">
        <v>56151</v>
      </c>
      <c r="H808" s="9">
        <v>10453830.865432611</v>
      </c>
      <c r="I808" s="5" t="s">
        <v>1937</v>
      </c>
    </row>
    <row r="809" spans="1:9" x14ac:dyDescent="0.25">
      <c r="A809" s="6">
        <v>45992.663194444453</v>
      </c>
      <c r="B809" s="5" t="s">
        <v>14</v>
      </c>
      <c r="C809" s="8">
        <v>186.27590704897281</v>
      </c>
      <c r="D809" s="8">
        <v>186.36696145476881</v>
      </c>
      <c r="E809" s="8">
        <v>186.11992254894221</v>
      </c>
      <c r="F809" s="8">
        <v>186.218163091978</v>
      </c>
      <c r="G809" s="7">
        <v>65385</v>
      </c>
      <c r="H809" s="9">
        <v>12175874.59376898</v>
      </c>
      <c r="I809" s="5" t="s">
        <v>1938</v>
      </c>
    </row>
    <row r="810" spans="1:9" x14ac:dyDescent="0.25">
      <c r="A810" s="6">
        <v>45992.666666666657</v>
      </c>
      <c r="B810" s="5" t="s">
        <v>14</v>
      </c>
      <c r="C810" s="8">
        <v>186.25025676418861</v>
      </c>
      <c r="D810" s="8">
        <v>186.51580583488669</v>
      </c>
      <c r="E810" s="8">
        <v>186.16014447085641</v>
      </c>
      <c r="F810" s="8">
        <v>186.26421540496059</v>
      </c>
      <c r="G810" s="7">
        <v>57782</v>
      </c>
      <c r="H810" s="9">
        <v>10762718.89452943</v>
      </c>
      <c r="I810" s="5" t="s">
        <v>1939</v>
      </c>
    </row>
    <row r="811" spans="1:9" x14ac:dyDescent="0.25">
      <c r="A811" s="6">
        <v>45992.670138888891</v>
      </c>
      <c r="B811" s="5" t="s">
        <v>14</v>
      </c>
      <c r="C811" s="8">
        <v>186.37129290656381</v>
      </c>
      <c r="D811" s="8">
        <v>186.5460384797131</v>
      </c>
      <c r="E811" s="8">
        <v>186.22059966016801</v>
      </c>
      <c r="F811" s="8">
        <v>186.38924045401421</v>
      </c>
      <c r="G811" s="7">
        <v>58835</v>
      </c>
      <c r="H811" s="9">
        <v>10966210.96211192</v>
      </c>
      <c r="I811" s="5" t="s">
        <v>1940</v>
      </c>
    </row>
    <row r="812" spans="1:9" x14ac:dyDescent="0.25">
      <c r="A812" s="6">
        <v>45992.673611111109</v>
      </c>
      <c r="B812" s="5" t="s">
        <v>14</v>
      </c>
      <c r="C812" s="8">
        <v>186.33938164562841</v>
      </c>
      <c r="D812" s="8">
        <v>186.41483770188171</v>
      </c>
      <c r="E812" s="8">
        <v>186.2998421444106</v>
      </c>
      <c r="F812" s="8">
        <v>186.31052240336811</v>
      </c>
      <c r="G812" s="7">
        <v>48521</v>
      </c>
      <c r="H812" s="9">
        <v>9039972.8575338218</v>
      </c>
      <c r="I812" s="5" t="s">
        <v>1941</v>
      </c>
    </row>
    <row r="813" spans="1:9" x14ac:dyDescent="0.25">
      <c r="A813" s="6">
        <v>45992.677083333343</v>
      </c>
      <c r="B813" s="5" t="s">
        <v>14</v>
      </c>
      <c r="C813" s="8">
        <v>186.25557620186899</v>
      </c>
      <c r="D813" s="8">
        <v>186.27324076384849</v>
      </c>
      <c r="E813" s="8">
        <v>186.15914119899389</v>
      </c>
      <c r="F813" s="8">
        <v>186.2122893961014</v>
      </c>
      <c r="G813" s="7">
        <v>30493</v>
      </c>
      <c r="H813" s="9">
        <v>5678171.3405553186</v>
      </c>
      <c r="I813" s="5" t="s">
        <v>1942</v>
      </c>
    </row>
    <row r="814" spans="1:9" x14ac:dyDescent="0.25">
      <c r="A814" s="6">
        <v>45992.680555555547</v>
      </c>
      <c r="B814" s="5" t="s">
        <v>14</v>
      </c>
      <c r="C814" s="8">
        <v>186.1033354294868</v>
      </c>
      <c r="D814" s="8">
        <v>186.18115672877749</v>
      </c>
      <c r="E814" s="8">
        <v>185.88359016120219</v>
      </c>
      <c r="F814" s="8">
        <v>186.12591751893109</v>
      </c>
      <c r="G814" s="7">
        <v>50770</v>
      </c>
      <c r="H814" s="9">
        <v>9449612.8324361332</v>
      </c>
      <c r="I814" s="5" t="s">
        <v>1943</v>
      </c>
    </row>
    <row r="815" spans="1:9" x14ac:dyDescent="0.25">
      <c r="A815" s="6">
        <v>45992.684027777781</v>
      </c>
      <c r="B815" s="5" t="s">
        <v>14</v>
      </c>
      <c r="C815" s="8">
        <v>186.3999393990558</v>
      </c>
      <c r="D815" s="8">
        <v>186.46180144069879</v>
      </c>
      <c r="E815" s="8">
        <v>186.301040983333</v>
      </c>
      <c r="F815" s="8">
        <v>186.38445534038729</v>
      </c>
      <c r="G815" s="7">
        <v>36910</v>
      </c>
      <c r="H815" s="9">
        <v>6879450.2466136962</v>
      </c>
      <c r="I815" s="5" t="s">
        <v>1944</v>
      </c>
    </row>
    <row r="816" spans="1:9" x14ac:dyDescent="0.25">
      <c r="A816" s="6">
        <v>45992.6875</v>
      </c>
      <c r="B816" s="5" t="s">
        <v>14</v>
      </c>
      <c r="C816" s="8">
        <v>186.37225458790499</v>
      </c>
      <c r="D816" s="8">
        <v>186.4654168853331</v>
      </c>
      <c r="E816" s="8">
        <v>186.27628058673821</v>
      </c>
      <c r="F816" s="8">
        <v>186.41767119713111</v>
      </c>
      <c r="G816" s="7">
        <v>82330</v>
      </c>
      <c r="H816" s="9">
        <v>15347766.8696598</v>
      </c>
      <c r="I816" s="5" t="s">
        <v>1945</v>
      </c>
    </row>
    <row r="817" spans="1:9" x14ac:dyDescent="0.25">
      <c r="A817" s="6">
        <v>45992.690972222219</v>
      </c>
      <c r="B817" s="5" t="s">
        <v>14</v>
      </c>
      <c r="C817" s="8">
        <v>186.42142393019091</v>
      </c>
      <c r="D817" s="8">
        <v>186.58284148376319</v>
      </c>
      <c r="E817" s="8">
        <v>186.29361527618519</v>
      </c>
      <c r="F817" s="8">
        <v>186.51591596806591</v>
      </c>
      <c r="G817" s="7">
        <v>39094</v>
      </c>
      <c r="H817" s="9">
        <v>7291653.2188555673</v>
      </c>
      <c r="I817" s="5" t="s">
        <v>1946</v>
      </c>
    </row>
    <row r="818" spans="1:9" x14ac:dyDescent="0.25">
      <c r="A818" s="6">
        <v>45992.694444444453</v>
      </c>
      <c r="B818" s="5" t="s">
        <v>14</v>
      </c>
      <c r="C818" s="8">
        <v>186.71686288060539</v>
      </c>
      <c r="D818" s="8">
        <v>186.82235315611999</v>
      </c>
      <c r="E818" s="8">
        <v>186.666157408271</v>
      </c>
      <c r="F818" s="8">
        <v>186.72037015750001</v>
      </c>
      <c r="G818" s="7">
        <v>39301</v>
      </c>
      <c r="H818" s="9">
        <v>7338297.2675599055</v>
      </c>
      <c r="I818" s="5" t="s">
        <v>1947</v>
      </c>
    </row>
    <row r="819" spans="1:9" x14ac:dyDescent="0.25">
      <c r="A819" s="6">
        <v>45992.697916666657</v>
      </c>
      <c r="B819" s="5" t="s">
        <v>14</v>
      </c>
      <c r="C819" s="8">
        <v>186.6228622422606</v>
      </c>
      <c r="D819" s="8">
        <v>186.66336269325589</v>
      </c>
      <c r="E819" s="8">
        <v>186.4022558276132</v>
      </c>
      <c r="F819" s="8">
        <v>186.54357663458151</v>
      </c>
      <c r="G819" s="7">
        <v>78560</v>
      </c>
      <c r="H819" s="9">
        <v>14654863.38041272</v>
      </c>
      <c r="I819" s="5" t="s">
        <v>1948</v>
      </c>
    </row>
    <row r="820" spans="1:9" x14ac:dyDescent="0.25">
      <c r="A820" s="6">
        <v>45992.701388888891</v>
      </c>
      <c r="B820" s="5" t="s">
        <v>14</v>
      </c>
      <c r="C820" s="8">
        <v>186.26641188444799</v>
      </c>
      <c r="D820" s="8">
        <v>186.31107825795701</v>
      </c>
      <c r="E820" s="8">
        <v>186.23820763810829</v>
      </c>
      <c r="F820" s="8">
        <v>186.27774824374131</v>
      </c>
      <c r="G820" s="7">
        <v>68425</v>
      </c>
      <c r="H820" s="9">
        <v>12746054.923578</v>
      </c>
      <c r="I820" s="5" t="s">
        <v>1949</v>
      </c>
    </row>
    <row r="821" spans="1:9" x14ac:dyDescent="0.25">
      <c r="A821" s="6">
        <v>45992.704861111109</v>
      </c>
      <c r="B821" s="5" t="s">
        <v>14</v>
      </c>
      <c r="C821" s="8">
        <v>186.11601747998449</v>
      </c>
      <c r="D821" s="8">
        <v>186.2784501228812</v>
      </c>
      <c r="E821" s="8">
        <v>186.10630932956261</v>
      </c>
      <c r="F821" s="8">
        <v>186.2557909836911</v>
      </c>
      <c r="G821" s="7">
        <v>55019</v>
      </c>
      <c r="H821" s="9">
        <v>10247607.3641317</v>
      </c>
      <c r="I821" s="5" t="s">
        <v>1950</v>
      </c>
    </row>
    <row r="822" spans="1:9" x14ac:dyDescent="0.25">
      <c r="A822" s="6">
        <v>45992.708333333343</v>
      </c>
      <c r="B822" s="5" t="s">
        <v>14</v>
      </c>
      <c r="C822" s="8">
        <v>186.3711517249034</v>
      </c>
      <c r="D822" s="8">
        <v>186.39015125301901</v>
      </c>
      <c r="E822" s="8">
        <v>186.16786332551399</v>
      </c>
      <c r="F822" s="8">
        <v>186.33067212409941</v>
      </c>
      <c r="G822" s="7">
        <v>127094</v>
      </c>
      <c r="H822" s="9">
        <v>23681510.442940291</v>
      </c>
      <c r="I822" s="5" t="s">
        <v>1951</v>
      </c>
    </row>
    <row r="823" spans="1:9" x14ac:dyDescent="0.25">
      <c r="A823" s="6">
        <v>45992.711805555547</v>
      </c>
      <c r="B823" s="5" t="s">
        <v>14</v>
      </c>
      <c r="C823" s="8">
        <v>186.34943397187689</v>
      </c>
      <c r="D823" s="8">
        <v>186.52106285751159</v>
      </c>
      <c r="E823" s="8">
        <v>186.28984910222241</v>
      </c>
      <c r="F823" s="8">
        <v>186.37134624879661</v>
      </c>
      <c r="G823" s="7">
        <v>31650</v>
      </c>
      <c r="H823" s="9">
        <v>5898653.1087744106</v>
      </c>
      <c r="I823" s="5" t="s">
        <v>1952</v>
      </c>
    </row>
    <row r="824" spans="1:9" x14ac:dyDescent="0.25">
      <c r="A824" s="6">
        <v>45992.715277777781</v>
      </c>
      <c r="B824" s="5" t="s">
        <v>14</v>
      </c>
      <c r="C824" s="8">
        <v>186.69897106644231</v>
      </c>
      <c r="D824" s="8">
        <v>186.7628250610417</v>
      </c>
      <c r="E824" s="8">
        <v>186.575368503909</v>
      </c>
      <c r="F824" s="8">
        <v>186.64668584341959</v>
      </c>
      <c r="G824" s="7">
        <v>43458</v>
      </c>
      <c r="H824" s="9">
        <v>8111291.67338333</v>
      </c>
      <c r="I824" s="5" t="s">
        <v>1953</v>
      </c>
    </row>
    <row r="825" spans="1:9" x14ac:dyDescent="0.25">
      <c r="A825" s="6">
        <v>45992.71875</v>
      </c>
      <c r="B825" s="5" t="s">
        <v>14</v>
      </c>
      <c r="C825" s="8">
        <v>186.49424074285039</v>
      </c>
      <c r="D825" s="8">
        <v>186.6131105954309</v>
      </c>
      <c r="E825" s="8">
        <v>186.43151820195149</v>
      </c>
      <c r="F825" s="8">
        <v>186.45401317439379</v>
      </c>
      <c r="G825" s="7">
        <v>56345</v>
      </c>
      <c r="H825" s="9">
        <v>10505751.37231122</v>
      </c>
      <c r="I825" s="5" t="s">
        <v>1954</v>
      </c>
    </row>
    <row r="826" spans="1:9" x14ac:dyDescent="0.25">
      <c r="A826" s="6">
        <v>45992.722222222219</v>
      </c>
      <c r="B826" s="5" t="s">
        <v>14</v>
      </c>
      <c r="C826" s="8">
        <v>186.72388834586971</v>
      </c>
      <c r="D826" s="8">
        <v>186.89583222250951</v>
      </c>
      <c r="E826" s="8">
        <v>186.6168743017964</v>
      </c>
      <c r="F826" s="8">
        <v>186.7088332498102</v>
      </c>
      <c r="G826" s="7">
        <v>45026</v>
      </c>
      <c r="H826" s="9">
        <v>8406751.9259059522</v>
      </c>
      <c r="I826" s="5" t="s">
        <v>1955</v>
      </c>
    </row>
    <row r="827" spans="1:9" x14ac:dyDescent="0.25">
      <c r="A827" s="6">
        <v>45992.725694444453</v>
      </c>
      <c r="B827" s="5" t="s">
        <v>14</v>
      </c>
      <c r="C827" s="8">
        <v>186.38427445267041</v>
      </c>
      <c r="D827" s="8">
        <v>186.50646808104051</v>
      </c>
      <c r="E827" s="8">
        <v>186.06785832468259</v>
      </c>
      <c r="F827" s="8">
        <v>186.50498330400279</v>
      </c>
      <c r="G827" s="7">
        <v>44164</v>
      </c>
      <c r="H827" s="9">
        <v>8236806.0826379824</v>
      </c>
      <c r="I827" s="5" t="s">
        <v>1956</v>
      </c>
    </row>
    <row r="828" spans="1:9" x14ac:dyDescent="0.25">
      <c r="A828" s="6">
        <v>45992.729166666657</v>
      </c>
      <c r="B828" s="5" t="s">
        <v>14</v>
      </c>
      <c r="C828" s="8">
        <v>186.0545075481806</v>
      </c>
      <c r="D828" s="8">
        <v>186.1652703442391</v>
      </c>
      <c r="E828" s="8">
        <v>185.95092223718601</v>
      </c>
      <c r="F828" s="8">
        <v>186.0920161664184</v>
      </c>
      <c r="G828" s="7">
        <v>48451</v>
      </c>
      <c r="H828" s="9">
        <v>9016344.2752791401</v>
      </c>
      <c r="I828" s="5" t="s">
        <v>1957</v>
      </c>
    </row>
    <row r="829" spans="1:9" x14ac:dyDescent="0.25">
      <c r="A829" s="6">
        <v>45992.732638888891</v>
      </c>
      <c r="B829" s="5" t="s">
        <v>14</v>
      </c>
      <c r="C829" s="8">
        <v>186.01874560787999</v>
      </c>
      <c r="D829" s="8">
        <v>186.18994407148779</v>
      </c>
      <c r="E829" s="8">
        <v>186.0006667147276</v>
      </c>
      <c r="F829" s="8">
        <v>186.00667640550171</v>
      </c>
      <c r="G829" s="7">
        <v>56648</v>
      </c>
      <c r="H829" s="9">
        <v>10536906.205018859</v>
      </c>
      <c r="I829" s="5" t="s">
        <v>1958</v>
      </c>
    </row>
    <row r="830" spans="1:9" x14ac:dyDescent="0.25">
      <c r="A830" s="6">
        <v>45992.736111111109</v>
      </c>
      <c r="B830" s="5" t="s">
        <v>14</v>
      </c>
      <c r="C830" s="8">
        <v>185.76628086416551</v>
      </c>
      <c r="D830" s="8">
        <v>185.95276639211821</v>
      </c>
      <c r="E830" s="8">
        <v>185.6920375565023</v>
      </c>
      <c r="F830" s="8">
        <v>185.82423471440569</v>
      </c>
      <c r="G830" s="7">
        <v>68145</v>
      </c>
      <c r="H830" s="9">
        <v>12662992.47461318</v>
      </c>
      <c r="I830" s="5" t="s">
        <v>1959</v>
      </c>
    </row>
    <row r="831" spans="1:9" x14ac:dyDescent="0.25">
      <c r="A831" s="6">
        <v>45992.739583333343</v>
      </c>
      <c r="B831" s="5" t="s">
        <v>14</v>
      </c>
      <c r="C831" s="8">
        <v>185.6521029240607</v>
      </c>
      <c r="D831" s="8">
        <v>185.82645224381821</v>
      </c>
      <c r="E831" s="8">
        <v>185.4489209635297</v>
      </c>
      <c r="F831" s="8">
        <v>185.67467040442779</v>
      </c>
      <c r="G831" s="7">
        <v>49668</v>
      </c>
      <c r="H831" s="9">
        <v>9222089.5296471212</v>
      </c>
      <c r="I831" s="5" t="s">
        <v>1960</v>
      </c>
    </row>
    <row r="832" spans="1:9" x14ac:dyDescent="0.25">
      <c r="A832" s="6">
        <v>45992.743055555547</v>
      </c>
      <c r="B832" s="5" t="s">
        <v>14</v>
      </c>
      <c r="C832" s="8">
        <v>185.4907516352026</v>
      </c>
      <c r="D832" s="8">
        <v>185.7070477362719</v>
      </c>
      <c r="E832" s="8">
        <v>185.45718798207849</v>
      </c>
      <c r="F832" s="8">
        <v>185.5638235987345</v>
      </c>
      <c r="G832" s="7">
        <v>49703</v>
      </c>
      <c r="H832" s="9">
        <v>9223078.7243278995</v>
      </c>
      <c r="I832" s="5" t="s">
        <v>1961</v>
      </c>
    </row>
    <row r="833" spans="1:9" x14ac:dyDescent="0.25">
      <c r="A833" s="6">
        <v>45992.746527777781</v>
      </c>
      <c r="B833" s="5" t="s">
        <v>14</v>
      </c>
      <c r="C833" s="8">
        <v>185.39831638812711</v>
      </c>
      <c r="D833" s="8">
        <v>185.59956665312029</v>
      </c>
      <c r="E833" s="8">
        <v>185.2727850309312</v>
      </c>
      <c r="F833" s="8">
        <v>185.28868251345909</v>
      </c>
      <c r="G833" s="7">
        <v>41097</v>
      </c>
      <c r="H833" s="9">
        <v>7614808.985255627</v>
      </c>
      <c r="I833" s="5" t="s">
        <v>1962</v>
      </c>
    </row>
    <row r="834" spans="1:9" x14ac:dyDescent="0.25">
      <c r="A834" s="6">
        <v>45992.75</v>
      </c>
      <c r="B834" s="5" t="s">
        <v>14</v>
      </c>
      <c r="C834" s="8">
        <v>185.38978588426349</v>
      </c>
      <c r="D834" s="8">
        <v>185.49482556765571</v>
      </c>
      <c r="E834" s="8">
        <v>185.3740825004981</v>
      </c>
      <c r="F834" s="8">
        <v>185.38977943603851</v>
      </c>
      <c r="G834" s="7">
        <v>44811</v>
      </c>
      <c r="H834" s="9">
        <v>8307501.4063083194</v>
      </c>
      <c r="I834" s="5" t="s">
        <v>1963</v>
      </c>
    </row>
    <row r="835" spans="1:9" x14ac:dyDescent="0.25">
      <c r="A835" s="6">
        <v>45992.753472222219</v>
      </c>
      <c r="B835" s="5" t="s">
        <v>14</v>
      </c>
      <c r="C835" s="8">
        <v>185.61143049737331</v>
      </c>
      <c r="D835" s="8">
        <v>185.64999300847839</v>
      </c>
      <c r="E835" s="8">
        <v>185.58642553231061</v>
      </c>
      <c r="F835" s="8">
        <v>185.618632719549</v>
      </c>
      <c r="G835" s="7">
        <v>45249</v>
      </c>
      <c r="H835" s="9">
        <v>8399057.5119268708</v>
      </c>
      <c r="I835" s="5" t="s">
        <v>1964</v>
      </c>
    </row>
    <row r="836" spans="1:9" x14ac:dyDescent="0.25">
      <c r="A836" s="6">
        <v>45992.756944444453</v>
      </c>
      <c r="B836" s="5" t="s">
        <v>14</v>
      </c>
      <c r="C836" s="8">
        <v>185.75465336783489</v>
      </c>
      <c r="D836" s="8">
        <v>185.91312942136901</v>
      </c>
      <c r="E836" s="8">
        <v>185.64016802593511</v>
      </c>
      <c r="F836" s="8">
        <v>185.66525161716731</v>
      </c>
      <c r="G836" s="7">
        <v>73150</v>
      </c>
      <c r="H836" s="9">
        <v>13581413.15579579</v>
      </c>
      <c r="I836" s="5" t="s">
        <v>1965</v>
      </c>
    </row>
    <row r="837" spans="1:9" x14ac:dyDescent="0.25">
      <c r="A837" s="6">
        <v>45992.760416666657</v>
      </c>
      <c r="B837" s="5" t="s">
        <v>14</v>
      </c>
      <c r="C837" s="8">
        <v>185.73852037494149</v>
      </c>
      <c r="D837" s="8">
        <v>185.93602702705189</v>
      </c>
      <c r="E837" s="8">
        <v>185.7187742679294</v>
      </c>
      <c r="F837" s="8">
        <v>185.77802976519951</v>
      </c>
      <c r="G837" s="7">
        <v>30899</v>
      </c>
      <c r="H837" s="9">
        <v>5740355.3417149</v>
      </c>
      <c r="I837" s="5" t="s">
        <v>1966</v>
      </c>
    </row>
    <row r="838" spans="1:9" x14ac:dyDescent="0.25">
      <c r="A838" s="6">
        <v>45992.763888888891</v>
      </c>
      <c r="B838" s="5" t="s">
        <v>14</v>
      </c>
      <c r="C838" s="8">
        <v>185.8137491738272</v>
      </c>
      <c r="D838" s="8">
        <v>185.89406992472601</v>
      </c>
      <c r="E838" s="8">
        <v>185.7466689464602</v>
      </c>
      <c r="F838" s="8">
        <v>185.86880030183849</v>
      </c>
      <c r="G838" s="7">
        <v>52311</v>
      </c>
      <c r="H838" s="9">
        <v>9722982.812589474</v>
      </c>
      <c r="I838" s="5" t="s">
        <v>1967</v>
      </c>
    </row>
    <row r="839" spans="1:9" x14ac:dyDescent="0.25">
      <c r="A839" s="6">
        <v>45992.767361111109</v>
      </c>
      <c r="B839" s="5" t="s">
        <v>14</v>
      </c>
      <c r="C839" s="8">
        <v>185.97340582866059</v>
      </c>
      <c r="D839" s="8">
        <v>186.13565373352171</v>
      </c>
      <c r="E839" s="8">
        <v>185.68357892239911</v>
      </c>
      <c r="F839" s="8">
        <v>185.90230754962201</v>
      </c>
      <c r="G839" s="7">
        <v>55866</v>
      </c>
      <c r="H839" s="9">
        <v>10385618.31356718</v>
      </c>
      <c r="I839" s="5" t="s">
        <v>1968</v>
      </c>
    </row>
    <row r="840" spans="1:9" x14ac:dyDescent="0.25">
      <c r="A840" s="6">
        <v>45992.770833333343</v>
      </c>
      <c r="B840" s="5" t="s">
        <v>14</v>
      </c>
      <c r="C840" s="8">
        <v>185.96057493461601</v>
      </c>
      <c r="D840" s="8">
        <v>186.06282574371119</v>
      </c>
      <c r="E840" s="8">
        <v>185.79917657847719</v>
      </c>
      <c r="F840" s="8">
        <v>185.84910068293229</v>
      </c>
      <c r="G840" s="7">
        <v>56209</v>
      </c>
      <c r="H840" s="9">
        <v>10446392.10028694</v>
      </c>
      <c r="I840" s="5" t="s">
        <v>1969</v>
      </c>
    </row>
    <row r="841" spans="1:9" x14ac:dyDescent="0.25">
      <c r="A841" s="6">
        <v>45992.774305555547</v>
      </c>
      <c r="B841" s="5" t="s">
        <v>14</v>
      </c>
      <c r="C841" s="8">
        <v>185.43378036610989</v>
      </c>
      <c r="D841" s="8">
        <v>185.55762944118101</v>
      </c>
      <c r="E841" s="8">
        <v>185.4225864806308</v>
      </c>
      <c r="F841" s="8">
        <v>185.5120345315174</v>
      </c>
      <c r="G841" s="7">
        <v>50049</v>
      </c>
      <c r="H841" s="9">
        <v>9284691.8162679132</v>
      </c>
      <c r="I841" s="5" t="s">
        <v>1970</v>
      </c>
    </row>
    <row r="842" spans="1:9" x14ac:dyDescent="0.25">
      <c r="A842" s="6">
        <v>45992.777777777781</v>
      </c>
      <c r="B842" s="5" t="s">
        <v>14</v>
      </c>
      <c r="C842" s="8">
        <v>185.55011054607891</v>
      </c>
      <c r="D842" s="8">
        <v>185.6390483312818</v>
      </c>
      <c r="E842" s="8">
        <v>185.45877842609551</v>
      </c>
      <c r="F842" s="8">
        <v>185.5160574809731</v>
      </c>
      <c r="G842" s="7">
        <v>41329</v>
      </c>
      <c r="H842" s="9">
        <v>7667193.1396311382</v>
      </c>
      <c r="I842" s="5" t="s">
        <v>1971</v>
      </c>
    </row>
    <row r="843" spans="1:9" x14ac:dyDescent="0.25">
      <c r="A843" s="6">
        <v>45992.78125</v>
      </c>
      <c r="B843" s="5" t="s">
        <v>14</v>
      </c>
      <c r="C843" s="8">
        <v>185.58477386396891</v>
      </c>
      <c r="D843" s="8">
        <v>185.75902766248731</v>
      </c>
      <c r="E843" s="8">
        <v>185.50970377089999</v>
      </c>
      <c r="F843" s="8">
        <v>185.70262754473899</v>
      </c>
      <c r="G843" s="7">
        <v>28453</v>
      </c>
      <c r="H843" s="9">
        <v>5283796.8615304604</v>
      </c>
      <c r="I843" s="5" t="s">
        <v>1972</v>
      </c>
    </row>
    <row r="844" spans="1:9" x14ac:dyDescent="0.25">
      <c r="A844" s="6">
        <v>45992.784722222219</v>
      </c>
      <c r="B844" s="5" t="s">
        <v>14</v>
      </c>
      <c r="C844" s="8">
        <v>185.66071439597519</v>
      </c>
      <c r="D844" s="8">
        <v>185.77225289133349</v>
      </c>
      <c r="E844" s="8">
        <v>185.53049205088331</v>
      </c>
      <c r="F844" s="8">
        <v>185.60587006355291</v>
      </c>
      <c r="G844" s="7">
        <v>56956</v>
      </c>
      <c r="H844" s="9">
        <v>10571367.935339721</v>
      </c>
      <c r="I844" s="5" t="s">
        <v>1973</v>
      </c>
    </row>
    <row r="845" spans="1:9" x14ac:dyDescent="0.25">
      <c r="A845" s="6">
        <v>45992.788194444453</v>
      </c>
      <c r="B845" s="5" t="s">
        <v>14</v>
      </c>
      <c r="C845" s="8">
        <v>185.83760985010991</v>
      </c>
      <c r="D845" s="8">
        <v>185.9253576756827</v>
      </c>
      <c r="E845" s="8">
        <v>185.64383553634161</v>
      </c>
      <c r="F845" s="8">
        <v>185.808757457133</v>
      </c>
      <c r="G845" s="7">
        <v>34046</v>
      </c>
      <c r="H845" s="9">
        <v>6326044.956385551</v>
      </c>
      <c r="I845" s="5" t="s">
        <v>1974</v>
      </c>
    </row>
    <row r="846" spans="1:9" x14ac:dyDescent="0.25">
      <c r="A846" s="6">
        <v>45992.791666666657</v>
      </c>
      <c r="B846" s="5" t="s">
        <v>14</v>
      </c>
      <c r="C846" s="8">
        <v>185.72008886108361</v>
      </c>
      <c r="D846" s="8">
        <v>185.9236912277772</v>
      </c>
      <c r="E846" s="8">
        <v>185.66624144100089</v>
      </c>
      <c r="F846" s="8">
        <v>185.84702531133479</v>
      </c>
      <c r="G846" s="7">
        <v>37819</v>
      </c>
      <c r="H846" s="9">
        <v>7028548.6502493713</v>
      </c>
      <c r="I846" s="5" t="s">
        <v>1975</v>
      </c>
    </row>
    <row r="847" spans="1:9" x14ac:dyDescent="0.25">
      <c r="A847" s="6">
        <v>45992.795138888891</v>
      </c>
      <c r="B847" s="5" t="s">
        <v>14</v>
      </c>
      <c r="C847" s="8">
        <v>185.76178685933201</v>
      </c>
      <c r="D847" s="8">
        <v>185.84560409250099</v>
      </c>
      <c r="E847" s="8">
        <v>185.59873581026551</v>
      </c>
      <c r="F847" s="8">
        <v>185.77427916220671</v>
      </c>
      <c r="G847" s="7">
        <v>58935</v>
      </c>
      <c r="H847" s="9">
        <v>10948607.14242465</v>
      </c>
      <c r="I847" s="5" t="s">
        <v>1976</v>
      </c>
    </row>
    <row r="848" spans="1:9" x14ac:dyDescent="0.25">
      <c r="A848" s="6">
        <v>45992.798611111109</v>
      </c>
      <c r="B848" s="5" t="s">
        <v>14</v>
      </c>
      <c r="C848" s="8">
        <v>185.74508037366039</v>
      </c>
      <c r="D848" s="8">
        <v>185.9341368854391</v>
      </c>
      <c r="E848" s="8">
        <v>185.7014512036796</v>
      </c>
      <c r="F848" s="8">
        <v>185.74572324042239</v>
      </c>
      <c r="G848" s="7">
        <v>42818</v>
      </c>
      <c r="H848" s="9">
        <v>7953260.3777084071</v>
      </c>
      <c r="I848" s="5" t="s">
        <v>1977</v>
      </c>
    </row>
    <row r="849" spans="1:9" x14ac:dyDescent="0.25">
      <c r="A849" s="6">
        <v>45992.802083333343</v>
      </c>
      <c r="B849" s="5" t="s">
        <v>14</v>
      </c>
      <c r="C849" s="8">
        <v>185.65369225101071</v>
      </c>
      <c r="D849" s="8">
        <v>185.91071328240301</v>
      </c>
      <c r="E849" s="8">
        <v>185.64728624059461</v>
      </c>
      <c r="F849" s="8">
        <v>185.70737489001539</v>
      </c>
      <c r="G849" s="7">
        <v>121685</v>
      </c>
      <c r="H849" s="9">
        <v>22597801.913491521</v>
      </c>
      <c r="I849" s="5" t="s">
        <v>1978</v>
      </c>
    </row>
    <row r="850" spans="1:9" x14ac:dyDescent="0.25">
      <c r="A850" s="6">
        <v>45992.805555555547</v>
      </c>
      <c r="B850" s="5" t="s">
        <v>14</v>
      </c>
      <c r="C850" s="8">
        <v>185.5623077027569</v>
      </c>
      <c r="D850" s="8">
        <v>185.73575544407399</v>
      </c>
      <c r="E850" s="8">
        <v>185.50905227153791</v>
      </c>
      <c r="F850" s="8">
        <v>185.58401406977569</v>
      </c>
      <c r="G850" s="7">
        <v>67245</v>
      </c>
      <c r="H850" s="9">
        <v>12479597.026122071</v>
      </c>
      <c r="I850" s="5" t="s">
        <v>1979</v>
      </c>
    </row>
    <row r="851" spans="1:9" x14ac:dyDescent="0.25">
      <c r="A851" s="6">
        <v>45992.809027777781</v>
      </c>
      <c r="B851" s="5" t="s">
        <v>14</v>
      </c>
      <c r="C851" s="8">
        <v>185.73156887601311</v>
      </c>
      <c r="D851" s="8">
        <v>185.84569731203871</v>
      </c>
      <c r="E851" s="8">
        <v>185.6918948520341</v>
      </c>
      <c r="F851" s="8">
        <v>185.7582945763584</v>
      </c>
      <c r="G851" s="7">
        <v>82184</v>
      </c>
      <c r="H851" s="9">
        <v>15266359.681463441</v>
      </c>
      <c r="I851" s="5" t="s">
        <v>1980</v>
      </c>
    </row>
    <row r="852" spans="1:9" x14ac:dyDescent="0.25">
      <c r="A852" s="6">
        <v>45992.8125</v>
      </c>
      <c r="B852" s="5" t="s">
        <v>14</v>
      </c>
      <c r="C852" s="8">
        <v>185.87794729367431</v>
      </c>
      <c r="D852" s="8">
        <v>185.91922032470819</v>
      </c>
      <c r="E852" s="8">
        <v>185.7470185959337</v>
      </c>
      <c r="F852" s="8">
        <v>185.81201226882121</v>
      </c>
      <c r="G852" s="7">
        <v>38878</v>
      </c>
      <c r="H852" s="9">
        <v>7223999.4129872294</v>
      </c>
      <c r="I852" s="5" t="s">
        <v>1981</v>
      </c>
    </row>
    <row r="853" spans="1:9" x14ac:dyDescent="0.25">
      <c r="A853" s="6">
        <v>45992.815972222219</v>
      </c>
      <c r="B853" s="5" t="s">
        <v>14</v>
      </c>
      <c r="C853" s="8">
        <v>185.7054861460004</v>
      </c>
      <c r="D853" s="8">
        <v>185.76944144990131</v>
      </c>
      <c r="E853" s="8">
        <v>185.58891542323479</v>
      </c>
      <c r="F853" s="8">
        <v>185.74429718689791</v>
      </c>
      <c r="G853" s="7">
        <v>44927</v>
      </c>
      <c r="H853" s="9">
        <v>8344934.0397157595</v>
      </c>
      <c r="I853" s="5" t="s">
        <v>1982</v>
      </c>
    </row>
    <row r="854" spans="1:9" x14ac:dyDescent="0.25">
      <c r="A854" s="6">
        <v>45992.819444444453</v>
      </c>
      <c r="B854" s="5" t="s">
        <v>14</v>
      </c>
      <c r="C854" s="8">
        <v>185.72252763011741</v>
      </c>
      <c r="D854" s="8">
        <v>185.77144320749761</v>
      </c>
      <c r="E854" s="8">
        <v>185.59902180182669</v>
      </c>
      <c r="F854" s="8">
        <v>185.67460016717749</v>
      </c>
      <c r="G854" s="7">
        <v>82610</v>
      </c>
      <c r="H854" s="9">
        <v>15338578.719810531</v>
      </c>
      <c r="I854" s="5" t="s">
        <v>1983</v>
      </c>
    </row>
    <row r="855" spans="1:9" x14ac:dyDescent="0.25">
      <c r="A855" s="6">
        <v>45992.822916666657</v>
      </c>
      <c r="B855" s="5" t="s">
        <v>14</v>
      </c>
      <c r="C855" s="8">
        <v>185.85922276615059</v>
      </c>
      <c r="D855" s="8">
        <v>185.92204919842791</v>
      </c>
      <c r="E855" s="8">
        <v>185.6456895164886</v>
      </c>
      <c r="F855" s="8">
        <v>185.8817090218358</v>
      </c>
      <c r="G855" s="7">
        <v>33483</v>
      </c>
      <c r="H855" s="9">
        <v>6223877.2631781269</v>
      </c>
      <c r="I855" s="5" t="s">
        <v>1984</v>
      </c>
    </row>
    <row r="856" spans="1:9" x14ac:dyDescent="0.25">
      <c r="A856" s="6">
        <v>45992.826388888891</v>
      </c>
      <c r="B856" s="5" t="s">
        <v>14</v>
      </c>
      <c r="C856" s="8">
        <v>185.92767295717599</v>
      </c>
      <c r="D856" s="8">
        <v>186.12151045345539</v>
      </c>
      <c r="E856" s="8">
        <v>185.7760723060702</v>
      </c>
      <c r="F856" s="8">
        <v>185.85624699021619</v>
      </c>
      <c r="G856" s="7">
        <v>48750</v>
      </c>
      <c r="H856" s="9">
        <v>9060492.0407730397</v>
      </c>
      <c r="I856" s="5" t="s">
        <v>1985</v>
      </c>
    </row>
    <row r="857" spans="1:9" x14ac:dyDescent="0.25">
      <c r="A857" s="6">
        <v>45992.829861111109</v>
      </c>
      <c r="B857" s="5" t="s">
        <v>14</v>
      </c>
      <c r="C857" s="8">
        <v>185.83741529688211</v>
      </c>
      <c r="D857" s="8">
        <v>185.94524296016971</v>
      </c>
      <c r="E857" s="8">
        <v>185.6944810339136</v>
      </c>
      <c r="F857" s="8">
        <v>185.92487803723071</v>
      </c>
      <c r="G857" s="7">
        <v>57880</v>
      </c>
      <c r="H857" s="9">
        <v>10761331.940794909</v>
      </c>
      <c r="I857" s="5" t="s">
        <v>1986</v>
      </c>
    </row>
    <row r="858" spans="1:9" x14ac:dyDescent="0.25">
      <c r="A858" s="6">
        <v>45992.833333333343</v>
      </c>
      <c r="B858" s="5" t="s">
        <v>14</v>
      </c>
      <c r="C858" s="8">
        <v>186.26367654809471</v>
      </c>
      <c r="D858" s="8">
        <v>186.27645623895819</v>
      </c>
      <c r="E858" s="8">
        <v>186.11480153389729</v>
      </c>
      <c r="F858" s="8">
        <v>186.14784418312661</v>
      </c>
      <c r="G858" s="7">
        <v>32408</v>
      </c>
      <c r="H858" s="9">
        <v>6032679.334286768</v>
      </c>
      <c r="I858" s="5" t="s">
        <v>1987</v>
      </c>
    </row>
    <row r="859" spans="1:9" x14ac:dyDescent="0.25">
      <c r="A859" s="6">
        <v>45992.836805555547</v>
      </c>
      <c r="B859" s="5" t="s">
        <v>14</v>
      </c>
      <c r="C859" s="8">
        <v>186.10113249913979</v>
      </c>
      <c r="D859" s="8">
        <v>186.21971254812269</v>
      </c>
      <c r="E859" s="8">
        <v>185.939992839864</v>
      </c>
      <c r="F859" s="8">
        <v>186.02190893083451</v>
      </c>
      <c r="G859" s="7">
        <v>67673</v>
      </c>
      <c r="H859" s="9">
        <v>12588660.64307636</v>
      </c>
      <c r="I859" s="5" t="s">
        <v>1988</v>
      </c>
    </row>
    <row r="860" spans="1:9" x14ac:dyDescent="0.25">
      <c r="A860" s="6">
        <v>45992.840277777781</v>
      </c>
      <c r="B860" s="5" t="s">
        <v>14</v>
      </c>
      <c r="C860" s="8">
        <v>186.26098360411891</v>
      </c>
      <c r="D860" s="8">
        <v>186.312997394208</v>
      </c>
      <c r="E860" s="8">
        <v>185.95822558902901</v>
      </c>
      <c r="F860" s="8">
        <v>186.28075915568601</v>
      </c>
      <c r="G860" s="7">
        <v>42866</v>
      </c>
      <c r="H860" s="9">
        <v>7985111.0219676383</v>
      </c>
      <c r="I860" s="5" t="s">
        <v>1989</v>
      </c>
    </row>
    <row r="861" spans="1:9" x14ac:dyDescent="0.25">
      <c r="A861" s="6">
        <v>45992.84375</v>
      </c>
      <c r="B861" s="5" t="s">
        <v>14</v>
      </c>
      <c r="C861" s="8">
        <v>186.313296863511</v>
      </c>
      <c r="D861" s="8">
        <v>186.49632279402081</v>
      </c>
      <c r="E861" s="8">
        <v>186.27297877401921</v>
      </c>
      <c r="F861" s="8">
        <v>186.33969051756009</v>
      </c>
      <c r="G861" s="7">
        <v>51310</v>
      </c>
      <c r="H861" s="9">
        <v>9561089.5204560086</v>
      </c>
      <c r="I861" s="5" t="s">
        <v>1990</v>
      </c>
    </row>
    <row r="862" spans="1:9" x14ac:dyDescent="0.25">
      <c r="A862" s="6">
        <v>45992.847222222219</v>
      </c>
      <c r="B862" s="5" t="s">
        <v>14</v>
      </c>
      <c r="C862" s="8">
        <v>186.31107351897629</v>
      </c>
      <c r="D862" s="8">
        <v>186.4341509891135</v>
      </c>
      <c r="E862" s="8">
        <v>186.0949282511466</v>
      </c>
      <c r="F862" s="8">
        <v>186.27135585441161</v>
      </c>
      <c r="G862" s="7">
        <v>55503</v>
      </c>
      <c r="H862" s="9">
        <v>10338619.06398741</v>
      </c>
      <c r="I862" s="5" t="s">
        <v>1991</v>
      </c>
    </row>
    <row r="863" spans="1:9" x14ac:dyDescent="0.25">
      <c r="A863" s="6">
        <v>45992.850694444453</v>
      </c>
      <c r="B863" s="5" t="s">
        <v>14</v>
      </c>
      <c r="C863" s="8">
        <v>186.2202419240102</v>
      </c>
      <c r="D863" s="8">
        <v>186.26967172543621</v>
      </c>
      <c r="E863" s="8">
        <v>186.11709955557899</v>
      </c>
      <c r="F863" s="8">
        <v>186.1955362749753</v>
      </c>
      <c r="G863" s="7">
        <v>64008</v>
      </c>
      <c r="H863" s="9">
        <v>11918003.885888619</v>
      </c>
      <c r="I863" s="5" t="s">
        <v>1992</v>
      </c>
    </row>
    <row r="864" spans="1:9" x14ac:dyDescent="0.25">
      <c r="A864" s="6">
        <v>45992.854166666657</v>
      </c>
      <c r="B864" s="5" t="s">
        <v>14</v>
      </c>
      <c r="C864" s="8">
        <v>186.30299605387759</v>
      </c>
      <c r="D864" s="8">
        <v>186.3064111538132</v>
      </c>
      <c r="E864" s="8">
        <v>186.03811231758419</v>
      </c>
      <c r="F864" s="8">
        <v>186.2513632961948</v>
      </c>
      <c r="G864" s="7">
        <v>56969</v>
      </c>
      <c r="H864" s="9">
        <v>10610553.915620919</v>
      </c>
      <c r="I864" s="5" t="s">
        <v>1993</v>
      </c>
    </row>
    <row r="865" spans="1:9" x14ac:dyDescent="0.25">
      <c r="A865" s="6">
        <v>45992.857638888891</v>
      </c>
      <c r="B865" s="5" t="s">
        <v>14</v>
      </c>
      <c r="C865" s="8">
        <v>186.22586783485511</v>
      </c>
      <c r="D865" s="8">
        <v>186.28564003546151</v>
      </c>
      <c r="E865" s="8">
        <v>186.18364755858369</v>
      </c>
      <c r="F865" s="8">
        <v>186.23672702809409</v>
      </c>
      <c r="G865" s="7">
        <v>85585</v>
      </c>
      <c r="H865" s="9">
        <v>15939070.28269943</v>
      </c>
      <c r="I865" s="5" t="s">
        <v>1994</v>
      </c>
    </row>
    <row r="866" spans="1:9" x14ac:dyDescent="0.25">
      <c r="A866" s="6">
        <v>45992.861111111109</v>
      </c>
      <c r="B866" s="5" t="s">
        <v>14</v>
      </c>
      <c r="C866" s="8">
        <v>186.2449548841135</v>
      </c>
      <c r="D866" s="8">
        <v>186.3796857839894</v>
      </c>
      <c r="E866" s="8">
        <v>185.89816324565049</v>
      </c>
      <c r="F866" s="8">
        <v>186.17198113500919</v>
      </c>
      <c r="G866" s="7">
        <v>41340</v>
      </c>
      <c r="H866" s="9">
        <v>7696349.7001212807</v>
      </c>
      <c r="I866" s="5" t="s">
        <v>1995</v>
      </c>
    </row>
    <row r="867" spans="1:9" x14ac:dyDescent="0.25">
      <c r="A867" s="6">
        <v>45992.864583333343</v>
      </c>
      <c r="B867" s="5" t="s">
        <v>14</v>
      </c>
      <c r="C867" s="8">
        <v>186.6141229075285</v>
      </c>
      <c r="D867" s="8">
        <v>186.6566181763329</v>
      </c>
      <c r="E867" s="8">
        <v>186.5939971158416</v>
      </c>
      <c r="F867" s="8">
        <v>186.6338020918557</v>
      </c>
      <c r="G867" s="7">
        <v>49964</v>
      </c>
      <c r="H867" s="9">
        <v>9324971.2877174802</v>
      </c>
      <c r="I867" s="5" t="s">
        <v>1996</v>
      </c>
    </row>
    <row r="868" spans="1:9" x14ac:dyDescent="0.25">
      <c r="A868" s="6">
        <v>45992.868055555547</v>
      </c>
      <c r="B868" s="5" t="s">
        <v>14</v>
      </c>
      <c r="C868" s="8">
        <v>186.6651244640197</v>
      </c>
      <c r="D868" s="8">
        <v>186.88702897196239</v>
      </c>
      <c r="E868" s="8">
        <v>186.53806048674701</v>
      </c>
      <c r="F868" s="8">
        <v>186.66320546937831</v>
      </c>
      <c r="G868" s="7">
        <v>63989</v>
      </c>
      <c r="H868" s="9">
        <v>11944391.85478005</v>
      </c>
      <c r="I868" s="5" t="s">
        <v>1997</v>
      </c>
    </row>
    <row r="869" spans="1:9" x14ac:dyDescent="0.25">
      <c r="A869" s="6">
        <v>45992.871527777781</v>
      </c>
      <c r="B869" s="5" t="s">
        <v>14</v>
      </c>
      <c r="C869" s="8">
        <v>186.79668603080921</v>
      </c>
      <c r="D869" s="8">
        <v>186.92669985667601</v>
      </c>
      <c r="E869" s="8">
        <v>186.6500994468027</v>
      </c>
      <c r="F869" s="8">
        <v>186.76712989471511</v>
      </c>
      <c r="G869" s="7">
        <v>46713</v>
      </c>
      <c r="H869" s="9">
        <v>8724452.938771829</v>
      </c>
      <c r="I869" s="5" t="s">
        <v>1998</v>
      </c>
    </row>
    <row r="870" spans="1:9" x14ac:dyDescent="0.25">
      <c r="A870" s="6">
        <v>45992.875</v>
      </c>
      <c r="B870" s="5" t="s">
        <v>14</v>
      </c>
      <c r="C870" s="8">
        <v>186.8918060137587</v>
      </c>
      <c r="D870" s="8">
        <v>186.98565684254541</v>
      </c>
      <c r="E870" s="8">
        <v>186.73607751839671</v>
      </c>
      <c r="F870" s="8">
        <v>186.88794853952041</v>
      </c>
      <c r="G870" s="7">
        <v>71794</v>
      </c>
      <c r="H870" s="9">
        <v>13417433.377446329</v>
      </c>
      <c r="I870" s="5" t="s">
        <v>1999</v>
      </c>
    </row>
    <row r="871" spans="1:9" x14ac:dyDescent="0.25">
      <c r="A871" s="6">
        <v>45993.604166666657</v>
      </c>
      <c r="B871" s="5" t="s">
        <v>14</v>
      </c>
      <c r="C871" s="8">
        <v>186.77367012109289</v>
      </c>
      <c r="D871" s="8">
        <v>186.85106681593831</v>
      </c>
      <c r="E871" s="8">
        <v>186.719335892359</v>
      </c>
      <c r="F871" s="8">
        <v>186.7951488329247</v>
      </c>
      <c r="G871" s="7">
        <v>51125</v>
      </c>
      <c r="H871" s="9">
        <v>9549901.9840832744</v>
      </c>
      <c r="I871" s="5" t="s">
        <v>2000</v>
      </c>
    </row>
    <row r="872" spans="1:9" x14ac:dyDescent="0.25">
      <c r="A872" s="6">
        <v>45993.607638888891</v>
      </c>
      <c r="B872" s="5" t="s">
        <v>14</v>
      </c>
      <c r="C872" s="8">
        <v>186.73990366213519</v>
      </c>
      <c r="D872" s="8">
        <v>186.81514637543461</v>
      </c>
      <c r="E872" s="8">
        <v>186.6818276476431</v>
      </c>
      <c r="F872" s="8">
        <v>186.76376481447051</v>
      </c>
      <c r="G872" s="7">
        <v>60452</v>
      </c>
      <c r="H872" s="9">
        <v>11290243.11056437</v>
      </c>
      <c r="I872" s="5" t="s">
        <v>2001</v>
      </c>
    </row>
    <row r="873" spans="1:9" x14ac:dyDescent="0.25">
      <c r="A873" s="6">
        <v>45993.611111111109</v>
      </c>
      <c r="B873" s="5" t="s">
        <v>14</v>
      </c>
      <c r="C873" s="8">
        <v>186.52867078019599</v>
      </c>
      <c r="D873" s="8">
        <v>186.71156258295801</v>
      </c>
      <c r="E873" s="8">
        <v>186.42645045948251</v>
      </c>
      <c r="F873" s="8">
        <v>186.6295480956951</v>
      </c>
      <c r="G873" s="7">
        <v>49121</v>
      </c>
      <c r="H873" s="9">
        <v>9167430.0320086405</v>
      </c>
      <c r="I873" s="5" t="s">
        <v>2002</v>
      </c>
    </row>
    <row r="874" spans="1:9" x14ac:dyDescent="0.25">
      <c r="A874" s="6">
        <v>45993.614583333343</v>
      </c>
      <c r="B874" s="5" t="s">
        <v>14</v>
      </c>
      <c r="C874" s="8">
        <v>186.7678806171017</v>
      </c>
      <c r="D874" s="8">
        <v>186.90528140103029</v>
      </c>
      <c r="E874" s="8">
        <v>186.62844196854169</v>
      </c>
      <c r="F874" s="8">
        <v>186.75404347028021</v>
      </c>
      <c r="G874" s="7">
        <v>29133</v>
      </c>
      <c r="H874" s="9">
        <v>5440705.5484196721</v>
      </c>
      <c r="I874" s="5" t="s">
        <v>2003</v>
      </c>
    </row>
    <row r="875" spans="1:9" x14ac:dyDescent="0.25">
      <c r="A875" s="6">
        <v>45993.618055555547</v>
      </c>
      <c r="B875" s="5" t="s">
        <v>14</v>
      </c>
      <c r="C875" s="8">
        <v>186.77139780121169</v>
      </c>
      <c r="D875" s="8">
        <v>186.9021001584635</v>
      </c>
      <c r="E875" s="8">
        <v>186.5611904191436</v>
      </c>
      <c r="F875" s="8">
        <v>186.73444039937749</v>
      </c>
      <c r="G875" s="7">
        <v>47723</v>
      </c>
      <c r="H875" s="9">
        <v>8911527.699179491</v>
      </c>
      <c r="I875" s="5" t="s">
        <v>2004</v>
      </c>
    </row>
    <row r="876" spans="1:9" x14ac:dyDescent="0.25">
      <c r="A876" s="6">
        <v>45993.621527777781</v>
      </c>
      <c r="B876" s="5" t="s">
        <v>14</v>
      </c>
      <c r="C876" s="8">
        <v>186.9217422396213</v>
      </c>
      <c r="D876" s="8">
        <v>187.0065173230449</v>
      </c>
      <c r="E876" s="8">
        <v>186.9099365583053</v>
      </c>
      <c r="F876" s="8">
        <v>186.93553383000511</v>
      </c>
      <c r="G876" s="7">
        <v>135140</v>
      </c>
      <c r="H876" s="9">
        <v>25262468.04178689</v>
      </c>
      <c r="I876" s="5" t="s">
        <v>2005</v>
      </c>
    </row>
    <row r="877" spans="1:9" x14ac:dyDescent="0.25">
      <c r="A877" s="6">
        <v>45993.625</v>
      </c>
      <c r="B877" s="5" t="s">
        <v>14</v>
      </c>
      <c r="C877" s="8">
        <v>187.0517758348208</v>
      </c>
      <c r="D877" s="8">
        <v>187.12829302434039</v>
      </c>
      <c r="E877" s="8">
        <v>186.97931027422209</v>
      </c>
      <c r="F877" s="8">
        <v>186.99661877128071</v>
      </c>
      <c r="G877" s="7">
        <v>54070</v>
      </c>
      <c r="H877" s="9">
        <v>10110907.176963139</v>
      </c>
      <c r="I877" s="5" t="s">
        <v>2006</v>
      </c>
    </row>
    <row r="878" spans="1:9" x14ac:dyDescent="0.25">
      <c r="A878" s="6">
        <v>45993.628472222219</v>
      </c>
      <c r="B878" s="5" t="s">
        <v>14</v>
      </c>
      <c r="C878" s="8">
        <v>187.11365734364631</v>
      </c>
      <c r="D878" s="8">
        <v>187.21243215223259</v>
      </c>
      <c r="E878" s="8">
        <v>187.00123912696489</v>
      </c>
      <c r="F878" s="8">
        <v>187.05960074332901</v>
      </c>
      <c r="G878" s="7">
        <v>56683</v>
      </c>
      <c r="H878" s="9">
        <v>10603099.34893412</v>
      </c>
      <c r="I878" s="5" t="s">
        <v>2007</v>
      </c>
    </row>
    <row r="879" spans="1:9" x14ac:dyDescent="0.25">
      <c r="A879" s="6">
        <v>45993.631944444453</v>
      </c>
      <c r="B879" s="5" t="s">
        <v>14</v>
      </c>
      <c r="C879" s="8">
        <v>187.11867391553639</v>
      </c>
      <c r="D879" s="8">
        <v>187.17956411128969</v>
      </c>
      <c r="E879" s="8">
        <v>186.8872888092472</v>
      </c>
      <c r="F879" s="8">
        <v>187.1754217826541</v>
      </c>
      <c r="G879" s="7">
        <v>46912</v>
      </c>
      <c r="H879" s="9">
        <v>8780773.3866678681</v>
      </c>
      <c r="I879" s="5" t="s">
        <v>2008</v>
      </c>
    </row>
    <row r="880" spans="1:9" x14ac:dyDescent="0.25">
      <c r="A880" s="6">
        <v>45993.635416666657</v>
      </c>
      <c r="B880" s="5" t="s">
        <v>14</v>
      </c>
      <c r="C880" s="8">
        <v>187.06717533957959</v>
      </c>
      <c r="D880" s="8">
        <v>187.2768711168286</v>
      </c>
      <c r="E880" s="8">
        <v>186.9623164808078</v>
      </c>
      <c r="F880" s="8">
        <v>187.14708379058351</v>
      </c>
      <c r="G880" s="7">
        <v>71343</v>
      </c>
      <c r="H880" s="9">
        <v>13351634.398871601</v>
      </c>
      <c r="I880" s="5" t="s">
        <v>2009</v>
      </c>
    </row>
    <row r="881" spans="1:9" x14ac:dyDescent="0.25">
      <c r="A881" s="6">
        <v>45993.638888888891</v>
      </c>
      <c r="B881" s="5" t="s">
        <v>14</v>
      </c>
      <c r="C881" s="8">
        <v>187.39708431845699</v>
      </c>
      <c r="D881" s="8">
        <v>187.4700794746299</v>
      </c>
      <c r="E881" s="8">
        <v>187.2404334653707</v>
      </c>
      <c r="F881" s="8">
        <v>187.3310943384123</v>
      </c>
      <c r="G881" s="7">
        <v>66655</v>
      </c>
      <c r="H881" s="9">
        <v>12486554.093126871</v>
      </c>
      <c r="I881" s="5" t="s">
        <v>2010</v>
      </c>
    </row>
    <row r="882" spans="1:9" x14ac:dyDescent="0.25">
      <c r="A882" s="6">
        <v>45993.642361111109</v>
      </c>
      <c r="B882" s="5" t="s">
        <v>14</v>
      </c>
      <c r="C882" s="8">
        <v>187.4644329367768</v>
      </c>
      <c r="D882" s="8">
        <v>187.56744296086541</v>
      </c>
      <c r="E882" s="8">
        <v>187.34611795138181</v>
      </c>
      <c r="F882" s="8">
        <v>187.5496411502501</v>
      </c>
      <c r="G882" s="7">
        <v>80926</v>
      </c>
      <c r="H882" s="9">
        <v>15177642.25972514</v>
      </c>
      <c r="I882" s="5" t="s">
        <v>2011</v>
      </c>
    </row>
    <row r="883" spans="1:9" x14ac:dyDescent="0.25">
      <c r="A883" s="6">
        <v>45993.645833333343</v>
      </c>
      <c r="B883" s="5" t="s">
        <v>14</v>
      </c>
      <c r="C883" s="8">
        <v>187.54671127699419</v>
      </c>
      <c r="D883" s="8">
        <v>187.66089124513351</v>
      </c>
      <c r="E883" s="8">
        <v>187.5299909229991</v>
      </c>
      <c r="F883" s="8">
        <v>187.56416600760389</v>
      </c>
      <c r="G883" s="7">
        <v>40700</v>
      </c>
      <c r="H883" s="9">
        <v>7633861.5565094808</v>
      </c>
      <c r="I883" s="5" t="s">
        <v>2012</v>
      </c>
    </row>
    <row r="884" spans="1:9" x14ac:dyDescent="0.25">
      <c r="A884" s="6">
        <v>45993.649305555547</v>
      </c>
      <c r="B884" s="5" t="s">
        <v>14</v>
      </c>
      <c r="C884" s="8">
        <v>187.7439547059611</v>
      </c>
      <c r="D884" s="8">
        <v>187.7872330279672</v>
      </c>
      <c r="E884" s="8">
        <v>187.56340065943829</v>
      </c>
      <c r="F884" s="8">
        <v>187.76418902508769</v>
      </c>
      <c r="G884" s="7">
        <v>24580</v>
      </c>
      <c r="H884" s="9">
        <v>4615243.7662366536</v>
      </c>
      <c r="I884" s="5" t="s">
        <v>2013</v>
      </c>
    </row>
    <row r="885" spans="1:9" x14ac:dyDescent="0.25">
      <c r="A885" s="6">
        <v>45993.652777777781</v>
      </c>
      <c r="B885" s="5" t="s">
        <v>14</v>
      </c>
      <c r="C885" s="8">
        <v>187.93847035549351</v>
      </c>
      <c r="D885" s="8">
        <v>188.19349773896789</v>
      </c>
      <c r="E885" s="8">
        <v>187.78789219365669</v>
      </c>
      <c r="F885" s="8">
        <v>187.84378065525789</v>
      </c>
      <c r="G885" s="7">
        <v>73338</v>
      </c>
      <c r="H885" s="9">
        <v>13776087.1856953</v>
      </c>
      <c r="I885" s="5" t="s">
        <v>2014</v>
      </c>
    </row>
    <row r="886" spans="1:9" x14ac:dyDescent="0.25">
      <c r="A886" s="6">
        <v>45993.65625</v>
      </c>
      <c r="B886" s="5" t="s">
        <v>14</v>
      </c>
      <c r="C886" s="8">
        <v>187.8837660839865</v>
      </c>
      <c r="D886" s="8">
        <v>187.8850469304077</v>
      </c>
      <c r="E886" s="8">
        <v>187.77254911946139</v>
      </c>
      <c r="F886" s="8">
        <v>187.87918887572641</v>
      </c>
      <c r="G886" s="7">
        <v>88544</v>
      </c>
      <c r="H886" s="9">
        <v>16635574.89981232</v>
      </c>
      <c r="I886" s="5" t="s">
        <v>2015</v>
      </c>
    </row>
    <row r="887" spans="1:9" x14ac:dyDescent="0.25">
      <c r="A887" s="6">
        <v>45993.659722222219</v>
      </c>
      <c r="B887" s="5" t="s">
        <v>14</v>
      </c>
      <c r="C887" s="8">
        <v>188.06687408654389</v>
      </c>
      <c r="D887" s="8">
        <v>188.32398136327771</v>
      </c>
      <c r="E887" s="8">
        <v>187.85347430880719</v>
      </c>
      <c r="F887" s="8">
        <v>188.04516937278731</v>
      </c>
      <c r="G887" s="7">
        <v>59123</v>
      </c>
      <c r="H887" s="9">
        <v>11117794.5488273</v>
      </c>
      <c r="I887" s="5" t="s">
        <v>2016</v>
      </c>
    </row>
    <row r="888" spans="1:9" x14ac:dyDescent="0.25">
      <c r="A888" s="6">
        <v>45993.663194444453</v>
      </c>
      <c r="B888" s="5" t="s">
        <v>14</v>
      </c>
      <c r="C888" s="8">
        <v>188.2472561724972</v>
      </c>
      <c r="D888" s="8">
        <v>188.3974066733125</v>
      </c>
      <c r="E888" s="8">
        <v>188.12951324953141</v>
      </c>
      <c r="F888" s="8">
        <v>188.13750689152801</v>
      </c>
      <c r="G888" s="7">
        <v>87771</v>
      </c>
      <c r="H888" s="9">
        <v>16513017.1173763</v>
      </c>
      <c r="I888" s="5" t="s">
        <v>2017</v>
      </c>
    </row>
    <row r="889" spans="1:9" x14ac:dyDescent="0.25">
      <c r="A889" s="6">
        <v>45993.666666666657</v>
      </c>
      <c r="B889" s="5" t="s">
        <v>14</v>
      </c>
      <c r="C889" s="8">
        <v>188.2105966117002</v>
      </c>
      <c r="D889" s="8">
        <v>188.25986696263621</v>
      </c>
      <c r="E889" s="8">
        <v>188.0132456349555</v>
      </c>
      <c r="F889" s="8">
        <v>188.24235852347701</v>
      </c>
      <c r="G889" s="7">
        <v>34773</v>
      </c>
      <c r="H889" s="9">
        <v>6545751.5329368673</v>
      </c>
      <c r="I889" s="5" t="s">
        <v>2018</v>
      </c>
    </row>
    <row r="890" spans="1:9" x14ac:dyDescent="0.25">
      <c r="A890" s="6">
        <v>45993.670138888891</v>
      </c>
      <c r="B890" s="5" t="s">
        <v>14</v>
      </c>
      <c r="C890" s="8">
        <v>188.3602625120192</v>
      </c>
      <c r="D890" s="8">
        <v>188.46867382371889</v>
      </c>
      <c r="E890" s="8">
        <v>188.1404579236212</v>
      </c>
      <c r="F890" s="8">
        <v>188.27899662204661</v>
      </c>
      <c r="G890" s="7">
        <v>63670</v>
      </c>
      <c r="H890" s="9">
        <v>11987723.71492571</v>
      </c>
      <c r="I890" s="5" t="s">
        <v>2019</v>
      </c>
    </row>
    <row r="891" spans="1:9" x14ac:dyDescent="0.25">
      <c r="A891" s="6">
        <v>45993.673611111109</v>
      </c>
      <c r="B891" s="5" t="s">
        <v>14</v>
      </c>
      <c r="C891" s="8">
        <v>188.56952613176321</v>
      </c>
      <c r="D891" s="8">
        <v>188.92673986317041</v>
      </c>
      <c r="E891" s="8">
        <v>188.51522999864491</v>
      </c>
      <c r="F891" s="8">
        <v>188.58827700129839</v>
      </c>
      <c r="G891" s="7">
        <v>55656</v>
      </c>
      <c r="H891" s="9">
        <v>10496069.144784261</v>
      </c>
      <c r="I891" s="5" t="s">
        <v>2020</v>
      </c>
    </row>
    <row r="892" spans="1:9" x14ac:dyDescent="0.25">
      <c r="A892" s="6">
        <v>45993.677083333343</v>
      </c>
      <c r="B892" s="5" t="s">
        <v>14</v>
      </c>
      <c r="C892" s="8">
        <v>188.53394684917521</v>
      </c>
      <c r="D892" s="8">
        <v>188.67886593042061</v>
      </c>
      <c r="E892" s="8">
        <v>188.501109806736</v>
      </c>
      <c r="F892" s="8">
        <v>188.63619556473</v>
      </c>
      <c r="G892" s="7">
        <v>72134</v>
      </c>
      <c r="H892" s="9">
        <v>13607083.33086624</v>
      </c>
      <c r="I892" s="5" t="s">
        <v>2021</v>
      </c>
    </row>
    <row r="893" spans="1:9" x14ac:dyDescent="0.25">
      <c r="A893" s="6">
        <v>45993.680555555547</v>
      </c>
      <c r="B893" s="5" t="s">
        <v>14</v>
      </c>
      <c r="C893" s="8">
        <v>188.4330892052545</v>
      </c>
      <c r="D893" s="8">
        <v>188.87837427041609</v>
      </c>
      <c r="E893" s="8">
        <v>188.36126906816881</v>
      </c>
      <c r="F893" s="8">
        <v>188.5857051993622</v>
      </c>
      <c r="G893" s="7">
        <v>38649</v>
      </c>
      <c r="H893" s="9">
        <v>7288648.9202501504</v>
      </c>
      <c r="I893" s="5" t="s">
        <v>2022</v>
      </c>
    </row>
    <row r="894" spans="1:9" x14ac:dyDescent="0.25">
      <c r="A894" s="6">
        <v>45993.684027777781</v>
      </c>
      <c r="B894" s="5" t="s">
        <v>14</v>
      </c>
      <c r="C894" s="8">
        <v>188.67814216954929</v>
      </c>
      <c r="D894" s="8">
        <v>188.79080536170409</v>
      </c>
      <c r="E894" s="8">
        <v>188.66094398900151</v>
      </c>
      <c r="F894" s="8">
        <v>188.73850120982419</v>
      </c>
      <c r="G894" s="7">
        <v>103549</v>
      </c>
      <c r="H894" s="9">
        <v>19543683.06177609</v>
      </c>
      <c r="I894" s="5" t="s">
        <v>2023</v>
      </c>
    </row>
    <row r="895" spans="1:9" x14ac:dyDescent="0.25">
      <c r="A895" s="6">
        <v>45993.6875</v>
      </c>
      <c r="B895" s="5" t="s">
        <v>14</v>
      </c>
      <c r="C895" s="8">
        <v>188.76808485656869</v>
      </c>
      <c r="D895" s="8">
        <v>188.8822075139133</v>
      </c>
      <c r="E895" s="8">
        <v>188.7124753765784</v>
      </c>
      <c r="F895" s="8">
        <v>188.7560842219558</v>
      </c>
      <c r="G895" s="7">
        <v>76004</v>
      </c>
      <c r="H895" s="9">
        <v>14346217.425205531</v>
      </c>
      <c r="I895" s="5" t="s">
        <v>2024</v>
      </c>
    </row>
    <row r="896" spans="1:9" x14ac:dyDescent="0.25">
      <c r="A896" s="6">
        <v>45993.690972222219</v>
      </c>
      <c r="B896" s="5" t="s">
        <v>14</v>
      </c>
      <c r="C896" s="8">
        <v>188.7783451626631</v>
      </c>
      <c r="D896" s="8">
        <v>188.8958820241252</v>
      </c>
      <c r="E896" s="8">
        <v>188.71328077630051</v>
      </c>
      <c r="F896" s="8">
        <v>188.73753197633511</v>
      </c>
      <c r="G896" s="7">
        <v>69227</v>
      </c>
      <c r="H896" s="9">
        <v>13065733.126125749</v>
      </c>
      <c r="I896" s="5" t="s">
        <v>2025</v>
      </c>
    </row>
    <row r="897" spans="1:9" x14ac:dyDescent="0.25">
      <c r="A897" s="6">
        <v>45993.694444444453</v>
      </c>
      <c r="B897" s="5" t="s">
        <v>14</v>
      </c>
      <c r="C897" s="8">
        <v>188.75528296187821</v>
      </c>
      <c r="D897" s="8">
        <v>188.82902085286861</v>
      </c>
      <c r="E897" s="8">
        <v>188.61575834065249</v>
      </c>
      <c r="F897" s="8">
        <v>188.68517658964441</v>
      </c>
      <c r="G897" s="7">
        <v>43270</v>
      </c>
      <c r="H897" s="9">
        <v>8164407.5910339113</v>
      </c>
      <c r="I897" s="5" t="s">
        <v>2026</v>
      </c>
    </row>
    <row r="898" spans="1:9" x14ac:dyDescent="0.25">
      <c r="A898" s="6">
        <v>45993.697916666657</v>
      </c>
      <c r="B898" s="5" t="s">
        <v>14</v>
      </c>
      <c r="C898" s="8">
        <v>188.6436632070033</v>
      </c>
      <c r="D898" s="8">
        <v>188.729069311578</v>
      </c>
      <c r="E898" s="8">
        <v>188.51672481112769</v>
      </c>
      <c r="F898" s="8">
        <v>188.68456500874669</v>
      </c>
      <c r="G898" s="7">
        <v>78768</v>
      </c>
      <c r="H898" s="9">
        <v>14862305.81660896</v>
      </c>
      <c r="I898" s="5" t="s">
        <v>2027</v>
      </c>
    </row>
    <row r="899" spans="1:9" x14ac:dyDescent="0.25">
      <c r="A899" s="6">
        <v>45993.701388888891</v>
      </c>
      <c r="B899" s="5" t="s">
        <v>14</v>
      </c>
      <c r="C899" s="8">
        <v>188.73237440293951</v>
      </c>
      <c r="D899" s="8">
        <v>188.82626445864321</v>
      </c>
      <c r="E899" s="8">
        <v>188.45480632806769</v>
      </c>
      <c r="F899" s="8">
        <v>188.7149166289451</v>
      </c>
      <c r="G899" s="7">
        <v>60804</v>
      </c>
      <c r="H899" s="9">
        <v>11474621.790706379</v>
      </c>
      <c r="I899" s="5" t="s">
        <v>2028</v>
      </c>
    </row>
    <row r="900" spans="1:9" x14ac:dyDescent="0.25">
      <c r="A900" s="6">
        <v>45993.704861111109</v>
      </c>
      <c r="B900" s="5" t="s">
        <v>14</v>
      </c>
      <c r="C900" s="8">
        <v>188.7135310791906</v>
      </c>
      <c r="D900" s="8">
        <v>188.771755779503</v>
      </c>
      <c r="E900" s="8">
        <v>188.61425092801451</v>
      </c>
      <c r="F900" s="8">
        <v>188.67447278588321</v>
      </c>
      <c r="G900" s="7">
        <v>94678</v>
      </c>
      <c r="H900" s="9">
        <v>17863321.734421849</v>
      </c>
      <c r="I900" s="5" t="s">
        <v>2029</v>
      </c>
    </row>
    <row r="901" spans="1:9" x14ac:dyDescent="0.25">
      <c r="A901" s="6">
        <v>45993.708333333343</v>
      </c>
      <c r="B901" s="5" t="s">
        <v>14</v>
      </c>
      <c r="C901" s="8">
        <v>188.2970822428247</v>
      </c>
      <c r="D901" s="8">
        <v>188.4955000806151</v>
      </c>
      <c r="E901" s="8">
        <v>188.13266559033011</v>
      </c>
      <c r="F901" s="8">
        <v>188.35707284335109</v>
      </c>
      <c r="G901" s="7">
        <v>45095</v>
      </c>
      <c r="H901" s="9">
        <v>8493962.1998709179</v>
      </c>
      <c r="I901" s="5" t="s">
        <v>2030</v>
      </c>
    </row>
    <row r="902" spans="1:9" x14ac:dyDescent="0.25">
      <c r="A902" s="6">
        <v>45993.711805555547</v>
      </c>
      <c r="B902" s="5" t="s">
        <v>14</v>
      </c>
      <c r="C902" s="8">
        <v>188.5988842962972</v>
      </c>
      <c r="D902" s="8">
        <v>188.7533866849345</v>
      </c>
      <c r="E902" s="8">
        <v>188.48107942554589</v>
      </c>
      <c r="F902" s="8">
        <v>188.54894817134911</v>
      </c>
      <c r="G902" s="7">
        <v>67548</v>
      </c>
      <c r="H902" s="9">
        <v>12736104.35107829</v>
      </c>
      <c r="I902" s="5" t="s">
        <v>2031</v>
      </c>
    </row>
    <row r="903" spans="1:9" x14ac:dyDescent="0.25">
      <c r="A903" s="6">
        <v>45993.715277777781</v>
      </c>
      <c r="B903" s="5" t="s">
        <v>14</v>
      </c>
      <c r="C903" s="8">
        <v>188.64088940447601</v>
      </c>
      <c r="D903" s="8">
        <v>188.71044637761261</v>
      </c>
      <c r="E903" s="8">
        <v>188.4354125477077</v>
      </c>
      <c r="F903" s="8">
        <v>188.53823663143629</v>
      </c>
      <c r="G903" s="7">
        <v>47669</v>
      </c>
      <c r="H903" s="9">
        <v>8987429.201983938</v>
      </c>
      <c r="I903" s="5" t="s">
        <v>2032</v>
      </c>
    </row>
    <row r="904" spans="1:9" x14ac:dyDescent="0.25">
      <c r="A904" s="6">
        <v>45993.71875</v>
      </c>
      <c r="B904" s="5" t="s">
        <v>14</v>
      </c>
      <c r="C904" s="8">
        <v>188.29658466724041</v>
      </c>
      <c r="D904" s="8">
        <v>188.4912101766198</v>
      </c>
      <c r="E904" s="8">
        <v>188.086174461746</v>
      </c>
      <c r="F904" s="8">
        <v>188.33070114367661</v>
      </c>
      <c r="G904" s="7">
        <v>45156</v>
      </c>
      <c r="H904" s="9">
        <v>8504261.1408438589</v>
      </c>
      <c r="I904" s="5" t="s">
        <v>2033</v>
      </c>
    </row>
    <row r="905" spans="1:9" x14ac:dyDescent="0.25">
      <c r="A905" s="6">
        <v>45993.722222222219</v>
      </c>
      <c r="B905" s="5" t="s">
        <v>14</v>
      </c>
      <c r="C905" s="8">
        <v>188.16755835590419</v>
      </c>
      <c r="D905" s="8">
        <v>188.45476337835069</v>
      </c>
      <c r="E905" s="8">
        <v>188.02562775536171</v>
      </c>
      <c r="F905" s="8">
        <v>188.30817853019519</v>
      </c>
      <c r="G905" s="7">
        <v>82089</v>
      </c>
      <c r="H905" s="9">
        <v>15458030.067365199</v>
      </c>
      <c r="I905" s="5" t="s">
        <v>2034</v>
      </c>
    </row>
    <row r="906" spans="1:9" x14ac:dyDescent="0.25">
      <c r="A906" s="6">
        <v>45993.725694444453</v>
      </c>
      <c r="B906" s="5" t="s">
        <v>14</v>
      </c>
      <c r="C906" s="8">
        <v>188.4523097642506</v>
      </c>
      <c r="D906" s="8">
        <v>188.62590556903649</v>
      </c>
      <c r="E906" s="8">
        <v>188.37030124631971</v>
      </c>
      <c r="F906" s="8">
        <v>188.52751451855781</v>
      </c>
      <c r="G906" s="7">
        <v>96888</v>
      </c>
      <c r="H906" s="9">
        <v>18266053.826674029</v>
      </c>
      <c r="I906" s="5" t="s">
        <v>2035</v>
      </c>
    </row>
    <row r="907" spans="1:9" x14ac:dyDescent="0.25">
      <c r="A907" s="6">
        <v>45993.729166666657</v>
      </c>
      <c r="B907" s="5" t="s">
        <v>14</v>
      </c>
      <c r="C907" s="8">
        <v>188.37981036557389</v>
      </c>
      <c r="D907" s="8">
        <v>188.47842466260281</v>
      </c>
      <c r="E907" s="8">
        <v>188.23587122752971</v>
      </c>
      <c r="F907" s="8">
        <v>188.43886621503719</v>
      </c>
      <c r="G907" s="7">
        <v>40655</v>
      </c>
      <c r="H907" s="9">
        <v>7660982.1059723375</v>
      </c>
      <c r="I907" s="5" t="s">
        <v>2036</v>
      </c>
    </row>
    <row r="908" spans="1:9" x14ac:dyDescent="0.25">
      <c r="A908" s="6">
        <v>45993.732638888891</v>
      </c>
      <c r="B908" s="5" t="s">
        <v>14</v>
      </c>
      <c r="C908" s="8">
        <v>188.3711940884867</v>
      </c>
      <c r="D908" s="8">
        <v>188.3941569417299</v>
      </c>
      <c r="E908" s="8">
        <v>188.21206073178519</v>
      </c>
      <c r="F908" s="8">
        <v>188.3052161903266</v>
      </c>
      <c r="G908" s="7">
        <v>59958</v>
      </c>
      <c r="H908" s="9">
        <v>11290404.1523396</v>
      </c>
      <c r="I908" s="5" t="s">
        <v>2037</v>
      </c>
    </row>
    <row r="909" spans="1:9" x14ac:dyDescent="0.25">
      <c r="A909" s="6">
        <v>45993.736111111109</v>
      </c>
      <c r="B909" s="5" t="s">
        <v>14</v>
      </c>
      <c r="C909" s="8">
        <v>188.44497725638939</v>
      </c>
      <c r="D909" s="8">
        <v>188.47851040068491</v>
      </c>
      <c r="E909" s="8">
        <v>188.38530105362989</v>
      </c>
      <c r="F909" s="8">
        <v>188.3867888264285</v>
      </c>
      <c r="G909" s="7">
        <v>33207</v>
      </c>
      <c r="H909" s="9">
        <v>6255760.0965592116</v>
      </c>
      <c r="I909" s="5" t="s">
        <v>2038</v>
      </c>
    </row>
    <row r="910" spans="1:9" x14ac:dyDescent="0.25">
      <c r="A910" s="6">
        <v>45993.739583333343</v>
      </c>
      <c r="B910" s="5" t="s">
        <v>14</v>
      </c>
      <c r="C910" s="8">
        <v>188.5074226850663</v>
      </c>
      <c r="D910" s="8">
        <v>188.5305939397941</v>
      </c>
      <c r="E910" s="8">
        <v>188.47632379645981</v>
      </c>
      <c r="F910" s="8">
        <v>188.4784203481104</v>
      </c>
      <c r="G910" s="7">
        <v>62484</v>
      </c>
      <c r="H910" s="9">
        <v>11776885.61703133</v>
      </c>
      <c r="I910" s="5" t="s">
        <v>2039</v>
      </c>
    </row>
    <row r="911" spans="1:9" x14ac:dyDescent="0.25">
      <c r="A911" s="6">
        <v>45993.743055555547</v>
      </c>
      <c r="B911" s="5" t="s">
        <v>14</v>
      </c>
      <c r="C911" s="8">
        <v>188.6194197940473</v>
      </c>
      <c r="D911" s="8">
        <v>188.77782560155819</v>
      </c>
      <c r="E911" s="8">
        <v>188.51741112951549</v>
      </c>
      <c r="F911" s="8">
        <v>188.6405897034895</v>
      </c>
      <c r="G911" s="7">
        <v>52394</v>
      </c>
      <c r="H911" s="9">
        <v>9883635.0569246281</v>
      </c>
      <c r="I911" s="5" t="s">
        <v>2040</v>
      </c>
    </row>
    <row r="912" spans="1:9" x14ac:dyDescent="0.25">
      <c r="A912" s="6">
        <v>45993.746527777781</v>
      </c>
      <c r="B912" s="5" t="s">
        <v>14</v>
      </c>
      <c r="C912" s="8">
        <v>188.61634501821629</v>
      </c>
      <c r="D912" s="8">
        <v>188.6454377810426</v>
      </c>
      <c r="E912" s="8">
        <v>188.58376813890791</v>
      </c>
      <c r="F912" s="8">
        <v>188.59208339652679</v>
      </c>
      <c r="G912" s="7">
        <v>40386</v>
      </c>
      <c r="H912" s="9">
        <v>7616479.8800521307</v>
      </c>
      <c r="I912" s="5" t="s">
        <v>2041</v>
      </c>
    </row>
    <row r="913" spans="1:9" x14ac:dyDescent="0.25">
      <c r="A913" s="6">
        <v>45993.75</v>
      </c>
      <c r="B913" s="5" t="s">
        <v>14</v>
      </c>
      <c r="C913" s="8">
        <v>188.73703650246671</v>
      </c>
      <c r="D913" s="8">
        <v>188.962398782208</v>
      </c>
      <c r="E913" s="8">
        <v>188.5927625286443</v>
      </c>
      <c r="F913" s="8">
        <v>188.81333908758461</v>
      </c>
      <c r="G913" s="7">
        <v>46552</v>
      </c>
      <c r="H913" s="9">
        <v>8789638.56120524</v>
      </c>
      <c r="I913" s="5" t="s">
        <v>2042</v>
      </c>
    </row>
    <row r="914" spans="1:9" x14ac:dyDescent="0.25">
      <c r="A914" s="6">
        <v>45993.753472222219</v>
      </c>
      <c r="B914" s="5" t="s">
        <v>14</v>
      </c>
      <c r="C914" s="8">
        <v>188.78977970694359</v>
      </c>
      <c r="D914" s="8">
        <v>188.81167752862871</v>
      </c>
      <c r="E914" s="8">
        <v>188.6871885409262</v>
      </c>
      <c r="F914" s="8">
        <v>188.7404091785163</v>
      </c>
      <c r="G914" s="7">
        <v>38555</v>
      </c>
      <c r="H914" s="9">
        <v>7276886.4758776948</v>
      </c>
      <c r="I914" s="5" t="s">
        <v>2043</v>
      </c>
    </row>
    <row r="915" spans="1:9" x14ac:dyDescent="0.25">
      <c r="A915" s="6">
        <v>45993.756944444453</v>
      </c>
      <c r="B915" s="5" t="s">
        <v>14</v>
      </c>
      <c r="C915" s="8">
        <v>188.91040014447731</v>
      </c>
      <c r="D915" s="8">
        <v>188.95702682193749</v>
      </c>
      <c r="E915" s="8">
        <v>188.88665670449271</v>
      </c>
      <c r="F915" s="8">
        <v>188.90897168177759</v>
      </c>
      <c r="G915" s="7">
        <v>50024</v>
      </c>
      <c r="H915" s="9">
        <v>9449982.399409242</v>
      </c>
      <c r="I915" s="5" t="s">
        <v>2044</v>
      </c>
    </row>
    <row r="916" spans="1:9" x14ac:dyDescent="0.25">
      <c r="A916" s="6">
        <v>45993.760416666657</v>
      </c>
      <c r="B916" s="5" t="s">
        <v>14</v>
      </c>
      <c r="C916" s="8">
        <v>189.0368745553441</v>
      </c>
      <c r="D916" s="8">
        <v>189.16563097987131</v>
      </c>
      <c r="E916" s="8">
        <v>188.99915761031639</v>
      </c>
      <c r="F916" s="8">
        <v>189.02057119324769</v>
      </c>
      <c r="G916" s="7">
        <v>36388</v>
      </c>
      <c r="H916" s="9">
        <v>6878080.5445798971</v>
      </c>
      <c r="I916" s="5" t="s">
        <v>2045</v>
      </c>
    </row>
    <row r="917" spans="1:9" x14ac:dyDescent="0.25">
      <c r="A917" s="6">
        <v>45993.763888888891</v>
      </c>
      <c r="B917" s="5" t="s">
        <v>14</v>
      </c>
      <c r="C917" s="8">
        <v>189.1526104754528</v>
      </c>
      <c r="D917" s="8">
        <v>189.17969909972979</v>
      </c>
      <c r="E917" s="8">
        <v>188.7965719845472</v>
      </c>
      <c r="F917" s="8">
        <v>189.15004416230019</v>
      </c>
      <c r="G917" s="7">
        <v>44134</v>
      </c>
      <c r="H917" s="9">
        <v>8347948.049058957</v>
      </c>
      <c r="I917" s="5" t="s">
        <v>2046</v>
      </c>
    </row>
    <row r="918" spans="1:9" x14ac:dyDescent="0.25">
      <c r="A918" s="6">
        <v>45993.767361111109</v>
      </c>
      <c r="B918" s="5" t="s">
        <v>14</v>
      </c>
      <c r="C918" s="8">
        <v>189.1412572825997</v>
      </c>
      <c r="D918" s="8">
        <v>189.20549270968979</v>
      </c>
      <c r="E918" s="8">
        <v>189.0740105236485</v>
      </c>
      <c r="F918" s="8">
        <v>189.17733720504131</v>
      </c>
      <c r="G918" s="7">
        <v>59405</v>
      </c>
      <c r="H918" s="9">
        <v>11238079.71666548</v>
      </c>
      <c r="I918" s="5" t="s">
        <v>2047</v>
      </c>
    </row>
    <row r="919" spans="1:9" x14ac:dyDescent="0.25">
      <c r="A919" s="6">
        <v>45993.770833333343</v>
      </c>
      <c r="B919" s="5" t="s">
        <v>14</v>
      </c>
      <c r="C919" s="8">
        <v>189.0405118165107</v>
      </c>
      <c r="D919" s="8">
        <v>189.08111076117851</v>
      </c>
      <c r="E919" s="8">
        <v>188.98763592469439</v>
      </c>
      <c r="F919" s="8">
        <v>189.0163873648325</v>
      </c>
      <c r="G919" s="7">
        <v>30745</v>
      </c>
      <c r="H919" s="9">
        <v>5811308.8295317758</v>
      </c>
      <c r="I919" s="5" t="s">
        <v>2048</v>
      </c>
    </row>
    <row r="920" spans="1:9" x14ac:dyDescent="0.25">
      <c r="A920" s="6">
        <v>45993.774305555547</v>
      </c>
      <c r="B920" s="5" t="s">
        <v>14</v>
      </c>
      <c r="C920" s="8">
        <v>188.84907481337609</v>
      </c>
      <c r="D920" s="8">
        <v>188.87958387496101</v>
      </c>
      <c r="E920" s="8">
        <v>188.5994231833414</v>
      </c>
      <c r="F920" s="8">
        <v>188.80422968683209</v>
      </c>
      <c r="G920" s="7">
        <v>55944</v>
      </c>
      <c r="H920" s="9">
        <v>10562463.82560014</v>
      </c>
      <c r="I920" s="5" t="s">
        <v>2049</v>
      </c>
    </row>
    <row r="921" spans="1:9" x14ac:dyDescent="0.25">
      <c r="A921" s="6">
        <v>45993.777777777781</v>
      </c>
      <c r="B921" s="5" t="s">
        <v>14</v>
      </c>
      <c r="C921" s="8">
        <v>188.8454459418777</v>
      </c>
      <c r="D921" s="8">
        <v>188.89317367241259</v>
      </c>
      <c r="E921" s="8">
        <v>188.76865780916981</v>
      </c>
      <c r="F921" s="8">
        <v>188.8099082859884</v>
      </c>
      <c r="G921" s="7">
        <v>45470</v>
      </c>
      <c r="H921" s="9">
        <v>8585186.5297638942</v>
      </c>
      <c r="I921" s="5" t="s">
        <v>2050</v>
      </c>
    </row>
    <row r="922" spans="1:9" x14ac:dyDescent="0.25">
      <c r="A922" s="6">
        <v>45993.78125</v>
      </c>
      <c r="B922" s="5" t="s">
        <v>14</v>
      </c>
      <c r="C922" s="8">
        <v>188.4860765032553</v>
      </c>
      <c r="D922" s="8">
        <v>188.67521333607979</v>
      </c>
      <c r="E922" s="8">
        <v>188.31250943391009</v>
      </c>
      <c r="F922" s="8">
        <v>188.5219792026021</v>
      </c>
      <c r="G922" s="7">
        <v>81359</v>
      </c>
      <c r="H922" s="9">
        <v>15337959.705944501</v>
      </c>
      <c r="I922" s="5" t="s">
        <v>2051</v>
      </c>
    </row>
    <row r="923" spans="1:9" x14ac:dyDescent="0.25">
      <c r="A923" s="6">
        <v>45993.784722222219</v>
      </c>
      <c r="B923" s="5" t="s">
        <v>14</v>
      </c>
      <c r="C923" s="8">
        <v>188.18851453903949</v>
      </c>
      <c r="D923" s="8">
        <v>188.272585607271</v>
      </c>
      <c r="E923" s="8">
        <v>188.09331043276339</v>
      </c>
      <c r="F923" s="8">
        <v>188.2634442494311</v>
      </c>
      <c r="G923" s="7">
        <v>54474</v>
      </c>
      <c r="H923" s="9">
        <v>10255462.862043509</v>
      </c>
      <c r="I923" s="5" t="s">
        <v>2052</v>
      </c>
    </row>
    <row r="924" spans="1:9" x14ac:dyDescent="0.25">
      <c r="A924" s="6">
        <v>45993.788194444453</v>
      </c>
      <c r="B924" s="5" t="s">
        <v>14</v>
      </c>
      <c r="C924" s="8">
        <v>188.06892434485229</v>
      </c>
      <c r="D924" s="8">
        <v>188.16216842457601</v>
      </c>
      <c r="E924" s="8">
        <v>187.89439985809429</v>
      </c>
      <c r="F924" s="8">
        <v>188.06307408789871</v>
      </c>
      <c r="G924" s="7">
        <v>71718</v>
      </c>
      <c r="H924" s="9">
        <v>13487507.547435921</v>
      </c>
      <c r="I924" s="5" t="s">
        <v>2053</v>
      </c>
    </row>
    <row r="925" spans="1:9" x14ac:dyDescent="0.25">
      <c r="A925" s="6">
        <v>45993.791666666657</v>
      </c>
      <c r="B925" s="5" t="s">
        <v>14</v>
      </c>
      <c r="C925" s="8">
        <v>188.16420023231379</v>
      </c>
      <c r="D925" s="8">
        <v>188.42530902298549</v>
      </c>
      <c r="E925" s="8">
        <v>188.02384598984389</v>
      </c>
      <c r="F925" s="8">
        <v>188.12154486713001</v>
      </c>
      <c r="G925" s="7">
        <v>39462</v>
      </c>
      <c r="H925" s="9">
        <v>7423652.4035466844</v>
      </c>
      <c r="I925" s="5" t="s">
        <v>2054</v>
      </c>
    </row>
    <row r="926" spans="1:9" x14ac:dyDescent="0.25">
      <c r="A926" s="6">
        <v>45993.795138888891</v>
      </c>
      <c r="B926" s="5" t="s">
        <v>14</v>
      </c>
      <c r="C926" s="8">
        <v>188.04587040421879</v>
      </c>
      <c r="D926" s="8">
        <v>188.1922135806322</v>
      </c>
      <c r="E926" s="8">
        <v>187.9439585334267</v>
      </c>
      <c r="F926" s="8">
        <v>188.07300871182139</v>
      </c>
      <c r="G926" s="7">
        <v>45759</v>
      </c>
      <c r="H926" s="9">
        <v>8606032.8056442328</v>
      </c>
      <c r="I926" s="5" t="s">
        <v>2055</v>
      </c>
    </row>
    <row r="927" spans="1:9" x14ac:dyDescent="0.25">
      <c r="A927" s="6">
        <v>45993.798611111109</v>
      </c>
      <c r="B927" s="5" t="s">
        <v>14</v>
      </c>
      <c r="C927" s="8">
        <v>188.1340823692841</v>
      </c>
      <c r="D927" s="8">
        <v>188.17227113373789</v>
      </c>
      <c r="E927" s="8">
        <v>188.01132185419269</v>
      </c>
      <c r="F927" s="8">
        <v>188.09524057097471</v>
      </c>
      <c r="G927" s="7">
        <v>62191</v>
      </c>
      <c r="H927" s="9">
        <v>11697831.106349491</v>
      </c>
      <c r="I927" s="5" t="s">
        <v>2056</v>
      </c>
    </row>
    <row r="928" spans="1:9" x14ac:dyDescent="0.25">
      <c r="A928" s="6">
        <v>45993.802083333343</v>
      </c>
      <c r="B928" s="5" t="s">
        <v>14</v>
      </c>
      <c r="C928" s="8">
        <v>188.20510370762801</v>
      </c>
      <c r="D928" s="8">
        <v>188.29391597238609</v>
      </c>
      <c r="E928" s="8">
        <v>188.19528414288229</v>
      </c>
      <c r="F928" s="8">
        <v>188.28239140084</v>
      </c>
      <c r="G928" s="7">
        <v>61821</v>
      </c>
      <c r="H928" s="9">
        <v>11639805.71879133</v>
      </c>
      <c r="I928" s="5" t="s">
        <v>2057</v>
      </c>
    </row>
    <row r="929" spans="1:9" x14ac:dyDescent="0.25">
      <c r="A929" s="6">
        <v>45993.805555555547</v>
      </c>
      <c r="B929" s="5" t="s">
        <v>14</v>
      </c>
      <c r="C929" s="8">
        <v>188.37736630296331</v>
      </c>
      <c r="D929" s="8">
        <v>188.38864903124201</v>
      </c>
      <c r="E929" s="8">
        <v>188.28079446963619</v>
      </c>
      <c r="F929" s="8">
        <v>188.33431077309359</v>
      </c>
      <c r="G929" s="7">
        <v>53338</v>
      </c>
      <c r="H929" s="9">
        <v>10045375.46801527</v>
      </c>
      <c r="I929" s="5" t="s">
        <v>2058</v>
      </c>
    </row>
    <row r="930" spans="1:9" x14ac:dyDescent="0.25">
      <c r="A930" s="6">
        <v>45993.809027777781</v>
      </c>
      <c r="B930" s="5" t="s">
        <v>14</v>
      </c>
      <c r="C930" s="8">
        <v>188.26367503131729</v>
      </c>
      <c r="D930" s="8">
        <v>188.41775741652319</v>
      </c>
      <c r="E930" s="8">
        <v>188.18045818198939</v>
      </c>
      <c r="F930" s="8">
        <v>188.3017090678745</v>
      </c>
      <c r="G930" s="7">
        <v>92191</v>
      </c>
      <c r="H930" s="9">
        <v>17359722.860676419</v>
      </c>
      <c r="I930" s="5" t="s">
        <v>2059</v>
      </c>
    </row>
    <row r="931" spans="1:9" x14ac:dyDescent="0.25">
      <c r="A931" s="6">
        <v>45993.8125</v>
      </c>
      <c r="B931" s="5" t="s">
        <v>14</v>
      </c>
      <c r="C931" s="8">
        <v>188.20238549026419</v>
      </c>
      <c r="D931" s="8">
        <v>188.4881067978466</v>
      </c>
      <c r="E931" s="8">
        <v>188.086387159277</v>
      </c>
      <c r="F931" s="8">
        <v>188.21498076989661</v>
      </c>
      <c r="G931" s="7">
        <v>35514</v>
      </c>
      <c r="H931" s="9">
        <v>6684266.8270621086</v>
      </c>
      <c r="I931" s="5" t="s">
        <v>2060</v>
      </c>
    </row>
    <row r="932" spans="1:9" x14ac:dyDescent="0.25">
      <c r="A932" s="6">
        <v>45993.815972222219</v>
      </c>
      <c r="B932" s="5" t="s">
        <v>14</v>
      </c>
      <c r="C932" s="8">
        <v>188.34834629199531</v>
      </c>
      <c r="D932" s="8">
        <v>188.39194667068</v>
      </c>
      <c r="E932" s="8">
        <v>188.29488797555541</v>
      </c>
      <c r="F932" s="8">
        <v>188.33146075997729</v>
      </c>
      <c r="G932" s="7">
        <v>43788</v>
      </c>
      <c r="H932" s="9">
        <v>8246658.0037578857</v>
      </c>
      <c r="I932" s="5" t="s">
        <v>2061</v>
      </c>
    </row>
    <row r="933" spans="1:9" x14ac:dyDescent="0.25">
      <c r="A933" s="6">
        <v>45993.819444444453</v>
      </c>
      <c r="B933" s="5" t="s">
        <v>14</v>
      </c>
      <c r="C933" s="8">
        <v>188.18847080825051</v>
      </c>
      <c r="D933" s="8">
        <v>188.37132556416901</v>
      </c>
      <c r="E933" s="8">
        <v>188.13988321269579</v>
      </c>
      <c r="F933" s="8">
        <v>188.23456126192829</v>
      </c>
      <c r="G933" s="7">
        <v>43264</v>
      </c>
      <c r="H933" s="9">
        <v>8143780.0584360668</v>
      </c>
      <c r="I933" s="5" t="s">
        <v>2062</v>
      </c>
    </row>
    <row r="934" spans="1:9" x14ac:dyDescent="0.25">
      <c r="A934" s="6">
        <v>45993.822916666657</v>
      </c>
      <c r="B934" s="5" t="s">
        <v>14</v>
      </c>
      <c r="C934" s="8">
        <v>188.40290525920409</v>
      </c>
      <c r="D934" s="8">
        <v>188.4256828918441</v>
      </c>
      <c r="E934" s="8">
        <v>188.30370553955279</v>
      </c>
      <c r="F934" s="8">
        <v>188.34728438467101</v>
      </c>
      <c r="G934" s="7">
        <v>73542</v>
      </c>
      <c r="H934" s="9">
        <v>13851435.98821748</v>
      </c>
      <c r="I934" s="5" t="s">
        <v>2063</v>
      </c>
    </row>
    <row r="935" spans="1:9" x14ac:dyDescent="0.25">
      <c r="A935" s="6">
        <v>45993.826388888891</v>
      </c>
      <c r="B935" s="5" t="s">
        <v>14</v>
      </c>
      <c r="C935" s="8">
        <v>188.42989091986121</v>
      </c>
      <c r="D935" s="8">
        <v>188.73320731172259</v>
      </c>
      <c r="E935" s="8">
        <v>188.04994808383699</v>
      </c>
      <c r="F935" s="8">
        <v>188.31900593242531</v>
      </c>
      <c r="G935" s="7">
        <v>40082</v>
      </c>
      <c r="H935" s="9">
        <v>7548202.3957834728</v>
      </c>
      <c r="I935" s="5" t="s">
        <v>2064</v>
      </c>
    </row>
    <row r="936" spans="1:9" x14ac:dyDescent="0.25">
      <c r="A936" s="6">
        <v>45993.829861111109</v>
      </c>
      <c r="B936" s="5" t="s">
        <v>14</v>
      </c>
      <c r="C936" s="8">
        <v>188.4328717037682</v>
      </c>
      <c r="D936" s="8">
        <v>188.49140254215649</v>
      </c>
      <c r="E936" s="8">
        <v>188.38839359753129</v>
      </c>
      <c r="F936" s="8">
        <v>188.39157453022909</v>
      </c>
      <c r="G936" s="7">
        <v>53274</v>
      </c>
      <c r="H936" s="9">
        <v>10036372.74152343</v>
      </c>
      <c r="I936" s="5" t="s">
        <v>2065</v>
      </c>
    </row>
    <row r="937" spans="1:9" x14ac:dyDescent="0.25">
      <c r="A937" s="6">
        <v>45993.833333333343</v>
      </c>
      <c r="B937" s="5" t="s">
        <v>14</v>
      </c>
      <c r="C937" s="8">
        <v>188.578865350722</v>
      </c>
      <c r="D937" s="8">
        <v>188.84009099117091</v>
      </c>
      <c r="E937" s="8">
        <v>188.22060088027541</v>
      </c>
      <c r="F937" s="8">
        <v>188.46708517191331</v>
      </c>
      <c r="G937" s="7">
        <v>85459</v>
      </c>
      <c r="H937" s="9">
        <v>16106208.63170654</v>
      </c>
      <c r="I937" s="5" t="s">
        <v>2066</v>
      </c>
    </row>
    <row r="938" spans="1:9" x14ac:dyDescent="0.25">
      <c r="A938" s="6">
        <v>45993.836805555547</v>
      </c>
      <c r="B938" s="5" t="s">
        <v>14</v>
      </c>
      <c r="C938" s="8">
        <v>188.43409602097819</v>
      </c>
      <c r="D938" s="8">
        <v>188.4408774757114</v>
      </c>
      <c r="E938" s="8">
        <v>188.35816424111891</v>
      </c>
      <c r="F938" s="8">
        <v>188.40823133050691</v>
      </c>
      <c r="G938" s="7">
        <v>69887</v>
      </c>
      <c r="H938" s="9">
        <v>13167286.06299513</v>
      </c>
      <c r="I938" s="5" t="s">
        <v>2067</v>
      </c>
    </row>
    <row r="939" spans="1:9" x14ac:dyDescent="0.25">
      <c r="A939" s="6">
        <v>45993.840277777781</v>
      </c>
      <c r="B939" s="5" t="s">
        <v>14</v>
      </c>
      <c r="C939" s="8">
        <v>188.47595745511379</v>
      </c>
      <c r="D939" s="8">
        <v>188.60001868580241</v>
      </c>
      <c r="E939" s="8">
        <v>188.39804892601589</v>
      </c>
      <c r="F939" s="8">
        <v>188.53451161751161</v>
      </c>
      <c r="G939" s="7">
        <v>53378</v>
      </c>
      <c r="H939" s="9">
        <v>10063595.16111953</v>
      </c>
      <c r="I939" s="5" t="s">
        <v>2068</v>
      </c>
    </row>
    <row r="940" spans="1:9" x14ac:dyDescent="0.25">
      <c r="A940" s="6">
        <v>45993.84375</v>
      </c>
      <c r="B940" s="5" t="s">
        <v>14</v>
      </c>
      <c r="C940" s="8">
        <v>188.63752849528871</v>
      </c>
      <c r="D940" s="8">
        <v>188.6951889319777</v>
      </c>
      <c r="E940" s="8">
        <v>188.60397391490559</v>
      </c>
      <c r="F940" s="8">
        <v>188.66420009874579</v>
      </c>
      <c r="G940" s="7">
        <v>61478</v>
      </c>
      <c r="H940" s="9">
        <v>11598697.69367069</v>
      </c>
      <c r="I940" s="5" t="s">
        <v>2069</v>
      </c>
    </row>
    <row r="941" spans="1:9" x14ac:dyDescent="0.25">
      <c r="A941" s="6">
        <v>45993.847222222219</v>
      </c>
      <c r="B941" s="5" t="s">
        <v>14</v>
      </c>
      <c r="C941" s="8">
        <v>188.47883483562691</v>
      </c>
      <c r="D941" s="8">
        <v>188.49683681024919</v>
      </c>
      <c r="E941" s="8">
        <v>188.20298976314939</v>
      </c>
      <c r="F941" s="8">
        <v>188.45268213688681</v>
      </c>
      <c r="G941" s="7">
        <v>41277</v>
      </c>
      <c r="H941" s="9">
        <v>7778761.3605642747</v>
      </c>
      <c r="I941" s="5" t="s">
        <v>2070</v>
      </c>
    </row>
    <row r="942" spans="1:9" x14ac:dyDescent="0.25">
      <c r="A942" s="6">
        <v>45993.850694444453</v>
      </c>
      <c r="B942" s="5" t="s">
        <v>14</v>
      </c>
      <c r="C942" s="8">
        <v>188.60341212619039</v>
      </c>
      <c r="D942" s="8">
        <v>188.66459726039179</v>
      </c>
      <c r="E942" s="8">
        <v>188.41158152161631</v>
      </c>
      <c r="F942" s="8">
        <v>188.6283643538645</v>
      </c>
      <c r="G942" s="7">
        <v>56817</v>
      </c>
      <c r="H942" s="9">
        <v>10717297.77749352</v>
      </c>
      <c r="I942" s="5" t="s">
        <v>2071</v>
      </c>
    </row>
    <row r="943" spans="1:9" x14ac:dyDescent="0.25">
      <c r="A943" s="6">
        <v>45993.854166666657</v>
      </c>
      <c r="B943" s="5" t="s">
        <v>14</v>
      </c>
      <c r="C943" s="8">
        <v>188.76843113034431</v>
      </c>
      <c r="D943" s="8">
        <v>188.87226102173889</v>
      </c>
      <c r="E943" s="8">
        <v>188.7357947931153</v>
      </c>
      <c r="F943" s="8">
        <v>188.76192035397901</v>
      </c>
      <c r="G943" s="7">
        <v>51161</v>
      </c>
      <c r="H943" s="9">
        <v>9657248.607229922</v>
      </c>
      <c r="I943" s="5" t="s">
        <v>2072</v>
      </c>
    </row>
    <row r="944" spans="1:9" x14ac:dyDescent="0.25">
      <c r="A944" s="6">
        <v>45993.857638888891</v>
      </c>
      <c r="B944" s="5" t="s">
        <v>14</v>
      </c>
      <c r="C944" s="8">
        <v>188.82702034795031</v>
      </c>
      <c r="D944" s="8">
        <v>188.87892015882241</v>
      </c>
      <c r="E944" s="8">
        <v>188.52449072323861</v>
      </c>
      <c r="F944" s="8">
        <v>188.72195435130601</v>
      </c>
      <c r="G944" s="7">
        <v>115328</v>
      </c>
      <c r="H944" s="9">
        <v>21764925.551427409</v>
      </c>
      <c r="I944" s="5" t="s">
        <v>2073</v>
      </c>
    </row>
    <row r="945" spans="1:9" x14ac:dyDescent="0.25">
      <c r="A945" s="6">
        <v>45993.861111111109</v>
      </c>
      <c r="B945" s="5" t="s">
        <v>14</v>
      </c>
      <c r="C945" s="8">
        <v>188.8350479008738</v>
      </c>
      <c r="D945" s="8">
        <v>189.01157953430149</v>
      </c>
      <c r="E945" s="8">
        <v>188.6907301963258</v>
      </c>
      <c r="F945" s="8">
        <v>188.78465421371081</v>
      </c>
      <c r="G945" s="7">
        <v>67151</v>
      </c>
      <c r="H945" s="9">
        <v>12677078.315104891</v>
      </c>
      <c r="I945" s="5" t="s">
        <v>2074</v>
      </c>
    </row>
    <row r="946" spans="1:9" x14ac:dyDescent="0.25">
      <c r="A946" s="6">
        <v>45993.864583333343</v>
      </c>
      <c r="B946" s="5" t="s">
        <v>14</v>
      </c>
      <c r="C946" s="8">
        <v>188.73937007300611</v>
      </c>
      <c r="D946" s="8">
        <v>188.79417972403351</v>
      </c>
      <c r="E946" s="8">
        <v>188.72794541583789</v>
      </c>
      <c r="F946" s="8">
        <v>188.75940640287291</v>
      </c>
      <c r="G946" s="7">
        <v>90067</v>
      </c>
      <c r="H946" s="9">
        <v>17000993.456487551</v>
      </c>
      <c r="I946" s="5" t="s">
        <v>2075</v>
      </c>
    </row>
    <row r="947" spans="1:9" x14ac:dyDescent="0.25">
      <c r="A947" s="6">
        <v>45993.868055555547</v>
      </c>
      <c r="B947" s="5" t="s">
        <v>14</v>
      </c>
      <c r="C947" s="8">
        <v>188.907767104523</v>
      </c>
      <c r="D947" s="8">
        <v>189.04424586449269</v>
      </c>
      <c r="E947" s="8">
        <v>188.628740016303</v>
      </c>
      <c r="F947" s="8">
        <v>188.89137928266061</v>
      </c>
      <c r="G947" s="7">
        <v>60700</v>
      </c>
      <c r="H947" s="9">
        <v>11465706.7224575</v>
      </c>
      <c r="I947" s="5" t="s">
        <v>2076</v>
      </c>
    </row>
    <row r="948" spans="1:9" x14ac:dyDescent="0.25">
      <c r="A948" s="6">
        <v>45993.871527777781</v>
      </c>
      <c r="B948" s="5" t="s">
        <v>14</v>
      </c>
      <c r="C948" s="8">
        <v>188.97052770563161</v>
      </c>
      <c r="D948" s="8">
        <v>189.13183927789359</v>
      </c>
      <c r="E948" s="8">
        <v>188.9322559938293</v>
      </c>
      <c r="F948" s="8">
        <v>188.95247918874509</v>
      </c>
      <c r="G948" s="7">
        <v>97065</v>
      </c>
      <c r="H948" s="9">
        <v>18340672.392455541</v>
      </c>
      <c r="I948" s="5" t="s">
        <v>2077</v>
      </c>
    </row>
    <row r="949" spans="1:9" x14ac:dyDescent="0.25">
      <c r="A949" s="6">
        <v>45993.875</v>
      </c>
      <c r="B949" s="5" t="s">
        <v>14</v>
      </c>
      <c r="C949" s="8">
        <v>188.96350162651561</v>
      </c>
      <c r="D949" s="8">
        <v>188.9767920710643</v>
      </c>
      <c r="E949" s="8">
        <v>188.89669719226529</v>
      </c>
      <c r="F949" s="8">
        <v>188.92379106971401</v>
      </c>
      <c r="G949" s="7">
        <v>72075</v>
      </c>
      <c r="H949" s="9">
        <v>13616682.24134963</v>
      </c>
      <c r="I949" s="5" t="s">
        <v>2078</v>
      </c>
    </row>
    <row r="950" spans="1:9" x14ac:dyDescent="0.25">
      <c r="A950" s="6">
        <v>45994.604166666657</v>
      </c>
      <c r="B950" s="5" t="s">
        <v>14</v>
      </c>
      <c r="C950" s="8">
        <v>188.97323425217539</v>
      </c>
      <c r="D950" s="8">
        <v>189.13219598512219</v>
      </c>
      <c r="E950" s="8">
        <v>188.94498485996851</v>
      </c>
      <c r="F950" s="8">
        <v>189.02333170146409</v>
      </c>
      <c r="G950" s="7">
        <v>62266</v>
      </c>
      <c r="H950" s="9">
        <v>11769726.77172336</v>
      </c>
      <c r="I950" s="5" t="s">
        <v>2079</v>
      </c>
    </row>
    <row r="951" spans="1:9" x14ac:dyDescent="0.25">
      <c r="A951" s="6">
        <v>45994.607638888891</v>
      </c>
      <c r="B951" s="5" t="s">
        <v>14</v>
      </c>
      <c r="C951" s="8">
        <v>188.5676289735901</v>
      </c>
      <c r="D951" s="8">
        <v>188.7833997199875</v>
      </c>
      <c r="E951" s="8">
        <v>188.46848549348661</v>
      </c>
      <c r="F951" s="8">
        <v>188.56835505343469</v>
      </c>
      <c r="G951" s="7">
        <v>45770</v>
      </c>
      <c r="H951" s="9">
        <v>8630773.6107957084</v>
      </c>
      <c r="I951" s="5" t="s">
        <v>2080</v>
      </c>
    </row>
    <row r="952" spans="1:9" x14ac:dyDescent="0.25">
      <c r="A952" s="6">
        <v>45994.611111111109</v>
      </c>
      <c r="B952" s="5" t="s">
        <v>14</v>
      </c>
      <c r="C952" s="8">
        <v>188.48630639292861</v>
      </c>
      <c r="D952" s="8">
        <v>188.64470083429751</v>
      </c>
      <c r="E952" s="8">
        <v>188.4818150292285</v>
      </c>
      <c r="F952" s="8">
        <v>188.49557696618419</v>
      </c>
      <c r="G952" s="7">
        <v>39151</v>
      </c>
      <c r="H952" s="9">
        <v>7379790.3338030772</v>
      </c>
      <c r="I952" s="5" t="s">
        <v>2081</v>
      </c>
    </row>
    <row r="953" spans="1:9" x14ac:dyDescent="0.25">
      <c r="A953" s="6">
        <v>45994.614583333343</v>
      </c>
      <c r="B953" s="5" t="s">
        <v>14</v>
      </c>
      <c r="C953" s="8">
        <v>188.51104762747531</v>
      </c>
      <c r="D953" s="8">
        <v>188.65749553277109</v>
      </c>
      <c r="E953" s="8">
        <v>188.29837034980159</v>
      </c>
      <c r="F953" s="8">
        <v>188.46186016700969</v>
      </c>
      <c r="G953" s="7">
        <v>55528</v>
      </c>
      <c r="H953" s="9">
        <v>10464910.171353711</v>
      </c>
      <c r="I953" s="5" t="s">
        <v>2082</v>
      </c>
    </row>
    <row r="954" spans="1:9" x14ac:dyDescent="0.25">
      <c r="A954" s="6">
        <v>45994.618055555547</v>
      </c>
      <c r="B954" s="5" t="s">
        <v>14</v>
      </c>
      <c r="C954" s="8">
        <v>188.32933424845379</v>
      </c>
      <c r="D954" s="8">
        <v>188.50711714791629</v>
      </c>
      <c r="E954" s="8">
        <v>188.20338240658651</v>
      </c>
      <c r="F954" s="8">
        <v>188.30120726730459</v>
      </c>
      <c r="G954" s="7">
        <v>96653</v>
      </c>
      <c r="H954" s="9">
        <v>18199876.586006802</v>
      </c>
      <c r="I954" s="5" t="s">
        <v>2083</v>
      </c>
    </row>
    <row r="955" spans="1:9" x14ac:dyDescent="0.25">
      <c r="A955" s="6">
        <v>45994.621527777781</v>
      </c>
      <c r="B955" s="5" t="s">
        <v>14</v>
      </c>
      <c r="C955" s="8">
        <v>188.13107395133159</v>
      </c>
      <c r="D955" s="8">
        <v>188.2886758791964</v>
      </c>
      <c r="E955" s="8">
        <v>187.91766721363021</v>
      </c>
      <c r="F955" s="8">
        <v>188.2797918536431</v>
      </c>
      <c r="G955" s="7">
        <v>77313</v>
      </c>
      <c r="H955" s="9">
        <v>14556475.54758071</v>
      </c>
      <c r="I955" s="5" t="s">
        <v>2084</v>
      </c>
    </row>
    <row r="956" spans="1:9" x14ac:dyDescent="0.25">
      <c r="A956" s="6">
        <v>45994.625</v>
      </c>
      <c r="B956" s="5" t="s">
        <v>14</v>
      </c>
      <c r="C956" s="8">
        <v>188.48580374461341</v>
      </c>
      <c r="D956" s="8">
        <v>188.67519375808229</v>
      </c>
      <c r="E956" s="8">
        <v>188.19672082365361</v>
      </c>
      <c r="F956" s="8">
        <v>188.46254154444409</v>
      </c>
      <c r="G956" s="7">
        <v>41388</v>
      </c>
      <c r="H956" s="9">
        <v>7800087.6694414522</v>
      </c>
      <c r="I956" s="5" t="s">
        <v>2085</v>
      </c>
    </row>
    <row r="957" spans="1:9" x14ac:dyDescent="0.25">
      <c r="A957" s="6">
        <v>45994.628472222219</v>
      </c>
      <c r="B957" s="5" t="s">
        <v>14</v>
      </c>
      <c r="C957" s="8">
        <v>188.34219571361311</v>
      </c>
      <c r="D957" s="8">
        <v>188.48921797657681</v>
      </c>
      <c r="E957" s="8">
        <v>188.25304802065779</v>
      </c>
      <c r="F957" s="8">
        <v>188.39875799998899</v>
      </c>
      <c r="G957" s="7">
        <v>100215</v>
      </c>
      <c r="H957" s="9">
        <v>18880381.532968901</v>
      </c>
      <c r="I957" s="5" t="s">
        <v>2086</v>
      </c>
    </row>
    <row r="958" spans="1:9" x14ac:dyDescent="0.25">
      <c r="A958" s="6">
        <v>45994.631944444453</v>
      </c>
      <c r="B958" s="5" t="s">
        <v>14</v>
      </c>
      <c r="C958" s="8">
        <v>188.0526824812558</v>
      </c>
      <c r="D958" s="8">
        <v>188.12299256782339</v>
      </c>
      <c r="E958" s="8">
        <v>188.03050509390189</v>
      </c>
      <c r="F958" s="8">
        <v>188.1125521177772</v>
      </c>
      <c r="G958" s="7">
        <v>26275</v>
      </c>
      <c r="H958" s="9">
        <v>4942657.3068945967</v>
      </c>
      <c r="I958" s="5" t="s">
        <v>2087</v>
      </c>
    </row>
    <row r="959" spans="1:9" x14ac:dyDescent="0.25">
      <c r="A959" s="6">
        <v>45994.635416666657</v>
      </c>
      <c r="B959" s="5" t="s">
        <v>14</v>
      </c>
      <c r="C959" s="8">
        <v>188.65277851356231</v>
      </c>
      <c r="D959" s="8">
        <v>188.6943215004257</v>
      </c>
      <c r="E959" s="8">
        <v>188.39459003363709</v>
      </c>
      <c r="F959" s="8">
        <v>188.61240044656549</v>
      </c>
      <c r="G959" s="7">
        <v>66573</v>
      </c>
      <c r="H959" s="9">
        <v>12556493.3349292</v>
      </c>
      <c r="I959" s="5" t="s">
        <v>2088</v>
      </c>
    </row>
    <row r="960" spans="1:9" x14ac:dyDescent="0.25">
      <c r="A960" s="6">
        <v>45994.638888888891</v>
      </c>
      <c r="B960" s="5" t="s">
        <v>14</v>
      </c>
      <c r="C960" s="8">
        <v>188.4426452707992</v>
      </c>
      <c r="D960" s="8">
        <v>188.47674148447331</v>
      </c>
      <c r="E960" s="8">
        <v>188.4079466229735</v>
      </c>
      <c r="F960" s="8">
        <v>188.41338928097551</v>
      </c>
      <c r="G960" s="7">
        <v>69798</v>
      </c>
      <c r="H960" s="9">
        <v>13150877.745033531</v>
      </c>
      <c r="I960" s="5" t="s">
        <v>2089</v>
      </c>
    </row>
    <row r="961" spans="1:9" x14ac:dyDescent="0.25">
      <c r="A961" s="6">
        <v>45994.642361111109</v>
      </c>
      <c r="B961" s="5" t="s">
        <v>14</v>
      </c>
      <c r="C961" s="8">
        <v>188.32554741943181</v>
      </c>
      <c r="D961" s="8">
        <v>188.59763999704461</v>
      </c>
      <c r="E961" s="8">
        <v>188.2318310719219</v>
      </c>
      <c r="F961" s="8">
        <v>188.31527645172619</v>
      </c>
      <c r="G961" s="7">
        <v>56206</v>
      </c>
      <c r="H961" s="9">
        <v>10584448.42824572</v>
      </c>
      <c r="I961" s="5" t="s">
        <v>2090</v>
      </c>
    </row>
    <row r="962" spans="1:9" x14ac:dyDescent="0.25">
      <c r="A962" s="6">
        <v>45994.645833333343</v>
      </c>
      <c r="B962" s="5" t="s">
        <v>14</v>
      </c>
      <c r="C962" s="8">
        <v>188.75366467408529</v>
      </c>
      <c r="D962" s="8">
        <v>189.02002656958521</v>
      </c>
      <c r="E962" s="8">
        <v>188.5725604501302</v>
      </c>
      <c r="F962" s="8">
        <v>188.74736708849699</v>
      </c>
      <c r="G962" s="7">
        <v>46344</v>
      </c>
      <c r="H962" s="9">
        <v>8747307.9803493042</v>
      </c>
      <c r="I962" s="5" t="s">
        <v>2091</v>
      </c>
    </row>
    <row r="963" spans="1:9" x14ac:dyDescent="0.25">
      <c r="A963" s="6">
        <v>45994.649305555547</v>
      </c>
      <c r="B963" s="5" t="s">
        <v>14</v>
      </c>
      <c r="C963" s="8">
        <v>188.553127503171</v>
      </c>
      <c r="D963" s="8">
        <v>188.70194263669771</v>
      </c>
      <c r="E963" s="8">
        <v>188.33157209459659</v>
      </c>
      <c r="F963" s="8">
        <v>188.55544332983749</v>
      </c>
      <c r="G963" s="7">
        <v>52317</v>
      </c>
      <c r="H963" s="9">
        <v>9864655.1286871098</v>
      </c>
      <c r="I963" s="5" t="s">
        <v>2092</v>
      </c>
    </row>
    <row r="964" spans="1:9" x14ac:dyDescent="0.25">
      <c r="A964" s="6">
        <v>45994.652777777781</v>
      </c>
      <c r="B964" s="5" t="s">
        <v>14</v>
      </c>
      <c r="C964" s="8">
        <v>188.60622592153339</v>
      </c>
      <c r="D964" s="8">
        <v>188.68006403798671</v>
      </c>
      <c r="E964" s="8">
        <v>188.5359469951816</v>
      </c>
      <c r="F964" s="8">
        <v>188.5931394261234</v>
      </c>
      <c r="G964" s="7">
        <v>56996</v>
      </c>
      <c r="H964" s="9">
        <v>10749054.574731329</v>
      </c>
      <c r="I964" s="5" t="s">
        <v>2093</v>
      </c>
    </row>
    <row r="965" spans="1:9" x14ac:dyDescent="0.25">
      <c r="A965" s="6">
        <v>45994.65625</v>
      </c>
      <c r="B965" s="5" t="s">
        <v>14</v>
      </c>
      <c r="C965" s="8">
        <v>188.64395758632119</v>
      </c>
      <c r="D965" s="8">
        <v>188.86331802431559</v>
      </c>
      <c r="E965" s="8">
        <v>188.52893081809481</v>
      </c>
      <c r="F965" s="8">
        <v>188.5833286959257</v>
      </c>
      <c r="G965" s="7">
        <v>68349</v>
      </c>
      <c r="H965" s="9">
        <v>12889481.933037831</v>
      </c>
      <c r="I965" s="5" t="s">
        <v>2094</v>
      </c>
    </row>
    <row r="966" spans="1:9" x14ac:dyDescent="0.25">
      <c r="A966" s="6">
        <v>45994.659722222219</v>
      </c>
      <c r="B966" s="5" t="s">
        <v>14</v>
      </c>
      <c r="C966" s="8">
        <v>188.79607839299689</v>
      </c>
      <c r="D966" s="8">
        <v>188.8604906681343</v>
      </c>
      <c r="E966" s="8">
        <v>188.78420601718099</v>
      </c>
      <c r="F966" s="8">
        <v>188.81798754221629</v>
      </c>
      <c r="G966" s="7">
        <v>49062</v>
      </c>
      <c r="H966" s="9">
        <v>9263788.1047962178</v>
      </c>
      <c r="I966" s="5" t="s">
        <v>2095</v>
      </c>
    </row>
    <row r="967" spans="1:9" x14ac:dyDescent="0.25">
      <c r="A967" s="6">
        <v>45994.663194444453</v>
      </c>
      <c r="B967" s="5" t="s">
        <v>14</v>
      </c>
      <c r="C967" s="8">
        <v>188.6779522102606</v>
      </c>
      <c r="D967" s="8">
        <v>188.79197809921411</v>
      </c>
      <c r="E967" s="8">
        <v>188.56076238668749</v>
      </c>
      <c r="F967" s="8">
        <v>188.71606147667319</v>
      </c>
      <c r="G967" s="7">
        <v>48270</v>
      </c>
      <c r="H967" s="9">
        <v>9109324.2874790169</v>
      </c>
      <c r="I967" s="5" t="s">
        <v>2096</v>
      </c>
    </row>
    <row r="968" spans="1:9" x14ac:dyDescent="0.25">
      <c r="A968" s="6">
        <v>45994.666666666657</v>
      </c>
      <c r="B968" s="5" t="s">
        <v>14</v>
      </c>
      <c r="C968" s="8">
        <v>188.53940661309511</v>
      </c>
      <c r="D968" s="8">
        <v>188.73476143592609</v>
      </c>
      <c r="E968" s="8">
        <v>188.43266389151819</v>
      </c>
      <c r="F968" s="8">
        <v>188.58162126913561</v>
      </c>
      <c r="G968" s="7">
        <v>66520</v>
      </c>
      <c r="H968" s="9">
        <v>12544449.4468229</v>
      </c>
      <c r="I968" s="5" t="s">
        <v>2097</v>
      </c>
    </row>
    <row r="969" spans="1:9" x14ac:dyDescent="0.25">
      <c r="A969" s="6">
        <v>45994.670138888891</v>
      </c>
      <c r="B969" s="5" t="s">
        <v>14</v>
      </c>
      <c r="C969" s="8">
        <v>188.50875940478701</v>
      </c>
      <c r="D969" s="8">
        <v>188.6423333912428</v>
      </c>
      <c r="E969" s="8">
        <v>188.4799012043037</v>
      </c>
      <c r="F969" s="8">
        <v>188.57097598683939</v>
      </c>
      <c r="G969" s="7">
        <v>57406</v>
      </c>
      <c r="H969" s="9">
        <v>10825105.447500501</v>
      </c>
      <c r="I969" s="5" t="s">
        <v>2098</v>
      </c>
    </row>
    <row r="970" spans="1:9" x14ac:dyDescent="0.25">
      <c r="A970" s="6">
        <v>45994.673611111109</v>
      </c>
      <c r="B970" s="5" t="s">
        <v>14</v>
      </c>
      <c r="C970" s="8">
        <v>188.57690145428029</v>
      </c>
      <c r="D970" s="8">
        <v>188.6943757559572</v>
      </c>
      <c r="E970" s="8">
        <v>188.48535681675659</v>
      </c>
      <c r="F970" s="8">
        <v>188.5841630647657</v>
      </c>
      <c r="G970" s="7">
        <v>47274</v>
      </c>
      <c r="H970" s="9">
        <v>8915127.724723734</v>
      </c>
      <c r="I970" s="5" t="s">
        <v>2099</v>
      </c>
    </row>
    <row r="971" spans="1:9" x14ac:dyDescent="0.25">
      <c r="A971" s="6">
        <v>45994.677083333343</v>
      </c>
      <c r="B971" s="5" t="s">
        <v>14</v>
      </c>
      <c r="C971" s="8">
        <v>188.59492793100929</v>
      </c>
      <c r="D971" s="8">
        <v>188.66797707470141</v>
      </c>
      <c r="E971" s="8">
        <v>188.49220372397269</v>
      </c>
      <c r="F971" s="8">
        <v>188.60720210683621</v>
      </c>
      <c r="G971" s="7">
        <v>96715</v>
      </c>
      <c r="H971" s="9">
        <v>18241145.551762659</v>
      </c>
      <c r="I971" s="5" t="s">
        <v>2100</v>
      </c>
    </row>
    <row r="972" spans="1:9" x14ac:dyDescent="0.25">
      <c r="A972" s="6">
        <v>45994.680555555547</v>
      </c>
      <c r="B972" s="5" t="s">
        <v>14</v>
      </c>
      <c r="C972" s="8">
        <v>188.75162922105639</v>
      </c>
      <c r="D972" s="8">
        <v>188.78784901991531</v>
      </c>
      <c r="E972" s="8">
        <v>188.70835055191941</v>
      </c>
      <c r="F972" s="8">
        <v>188.76808622026931</v>
      </c>
      <c r="G972" s="7">
        <v>89440</v>
      </c>
      <c r="H972" s="9">
        <v>16883417.63154088</v>
      </c>
      <c r="I972" s="5" t="s">
        <v>2101</v>
      </c>
    </row>
    <row r="973" spans="1:9" x14ac:dyDescent="0.25">
      <c r="A973" s="6">
        <v>45994.684027777781</v>
      </c>
      <c r="B973" s="5" t="s">
        <v>14</v>
      </c>
      <c r="C973" s="8">
        <v>188.67909653545081</v>
      </c>
      <c r="D973" s="8">
        <v>188.84672412374371</v>
      </c>
      <c r="E973" s="8">
        <v>188.59493751165149</v>
      </c>
      <c r="F973" s="8">
        <v>188.7278706930968</v>
      </c>
      <c r="G973" s="7">
        <v>44000</v>
      </c>
      <c r="H973" s="9">
        <v>8304026.3104962585</v>
      </c>
      <c r="I973" s="5" t="s">
        <v>2102</v>
      </c>
    </row>
    <row r="974" spans="1:9" x14ac:dyDescent="0.25">
      <c r="A974" s="6">
        <v>45994.6875</v>
      </c>
      <c r="B974" s="5" t="s">
        <v>14</v>
      </c>
      <c r="C974" s="8">
        <v>188.3170034525248</v>
      </c>
      <c r="D974" s="8">
        <v>188.3543085500217</v>
      </c>
      <c r="E974" s="8">
        <v>188.190920196158</v>
      </c>
      <c r="F974" s="8">
        <v>188.2771409124191</v>
      </c>
      <c r="G974" s="7">
        <v>84563</v>
      </c>
      <c r="H974" s="9">
        <v>15921279.8669769</v>
      </c>
      <c r="I974" s="5" t="s">
        <v>2103</v>
      </c>
    </row>
    <row r="975" spans="1:9" x14ac:dyDescent="0.25">
      <c r="A975" s="6">
        <v>45994.690972222219</v>
      </c>
      <c r="B975" s="5" t="s">
        <v>14</v>
      </c>
      <c r="C975" s="8">
        <v>188.38567078936239</v>
      </c>
      <c r="D975" s="8">
        <v>188.39169006575599</v>
      </c>
      <c r="E975" s="8">
        <v>188.2748273520946</v>
      </c>
      <c r="F975" s="8">
        <v>188.36359871272199</v>
      </c>
      <c r="G975" s="7">
        <v>28558</v>
      </c>
      <c r="H975" s="9">
        <v>5379287.6520379139</v>
      </c>
      <c r="I975" s="5" t="s">
        <v>2104</v>
      </c>
    </row>
    <row r="976" spans="1:9" x14ac:dyDescent="0.25">
      <c r="A976" s="6">
        <v>45994.694444444453</v>
      </c>
      <c r="B976" s="5" t="s">
        <v>14</v>
      </c>
      <c r="C976" s="8">
        <v>188.05222919056109</v>
      </c>
      <c r="D976" s="8">
        <v>188.1430213321683</v>
      </c>
      <c r="E976" s="8">
        <v>188.02696139977081</v>
      </c>
      <c r="F976" s="8">
        <v>188.03100014044631</v>
      </c>
      <c r="G976" s="7">
        <v>45867</v>
      </c>
      <c r="H976" s="9">
        <v>8624417.8834418524</v>
      </c>
      <c r="I976" s="5" t="s">
        <v>2105</v>
      </c>
    </row>
    <row r="977" spans="1:9" x14ac:dyDescent="0.25">
      <c r="A977" s="6">
        <v>45994.697916666657</v>
      </c>
      <c r="B977" s="5" t="s">
        <v>14</v>
      </c>
      <c r="C977" s="8">
        <v>188.1384359123212</v>
      </c>
      <c r="D977" s="8">
        <v>188.14131579236039</v>
      </c>
      <c r="E977" s="8">
        <v>188.09810112871861</v>
      </c>
      <c r="F977" s="8">
        <v>188.13966627233759</v>
      </c>
      <c r="G977" s="7">
        <v>39815</v>
      </c>
      <c r="H977" s="9">
        <v>7490780.8126331223</v>
      </c>
      <c r="I977" s="5" t="s">
        <v>2106</v>
      </c>
    </row>
    <row r="978" spans="1:9" x14ac:dyDescent="0.25">
      <c r="A978" s="6">
        <v>45994.701388888891</v>
      </c>
      <c r="B978" s="5" t="s">
        <v>14</v>
      </c>
      <c r="C978" s="8">
        <v>187.99203361888459</v>
      </c>
      <c r="D978" s="8">
        <v>188.17598209950361</v>
      </c>
      <c r="E978" s="8">
        <v>187.77061639321539</v>
      </c>
      <c r="F978" s="8">
        <v>187.97002066729331</v>
      </c>
      <c r="G978" s="7">
        <v>56325</v>
      </c>
      <c r="H978" s="9">
        <v>10587411.414085301</v>
      </c>
      <c r="I978" s="5" t="s">
        <v>2107</v>
      </c>
    </row>
    <row r="979" spans="1:9" x14ac:dyDescent="0.25">
      <c r="A979" s="6">
        <v>45994.704861111109</v>
      </c>
      <c r="B979" s="5" t="s">
        <v>14</v>
      </c>
      <c r="C979" s="8">
        <v>188.04324054486099</v>
      </c>
      <c r="D979" s="8">
        <v>188.0659597830774</v>
      </c>
      <c r="E979" s="8">
        <v>187.99533548637049</v>
      </c>
      <c r="F979" s="8">
        <v>188.04766490569111</v>
      </c>
      <c r="G979" s="7">
        <v>82511</v>
      </c>
      <c r="H979" s="9">
        <v>15516000.87903348</v>
      </c>
      <c r="I979" s="5" t="s">
        <v>2108</v>
      </c>
    </row>
    <row r="980" spans="1:9" x14ac:dyDescent="0.25">
      <c r="A980" s="6">
        <v>45994.708333333343</v>
      </c>
      <c r="B980" s="5" t="s">
        <v>14</v>
      </c>
      <c r="C980" s="8">
        <v>187.9569104695303</v>
      </c>
      <c r="D980" s="8">
        <v>187.96968976644371</v>
      </c>
      <c r="E980" s="8">
        <v>187.74762924264789</v>
      </c>
      <c r="F980" s="8">
        <v>187.85653386600839</v>
      </c>
      <c r="G980" s="7">
        <v>135142</v>
      </c>
      <c r="H980" s="9">
        <v>25387307.699720111</v>
      </c>
      <c r="I980" s="5" t="s">
        <v>2109</v>
      </c>
    </row>
    <row r="981" spans="1:9" x14ac:dyDescent="0.25">
      <c r="A981" s="6">
        <v>45994.711805555547</v>
      </c>
      <c r="B981" s="5" t="s">
        <v>14</v>
      </c>
      <c r="C981" s="8">
        <v>187.70696936232079</v>
      </c>
      <c r="D981" s="8">
        <v>187.78918098580979</v>
      </c>
      <c r="E981" s="8">
        <v>187.57229495014971</v>
      </c>
      <c r="F981" s="8">
        <v>187.70825242889751</v>
      </c>
      <c r="G981" s="7">
        <v>23559</v>
      </c>
      <c r="H981" s="9">
        <v>4422218.718972397</v>
      </c>
      <c r="I981" s="5" t="s">
        <v>2110</v>
      </c>
    </row>
    <row r="982" spans="1:9" x14ac:dyDescent="0.25">
      <c r="A982" s="6">
        <v>45994.715277777781</v>
      </c>
      <c r="B982" s="5" t="s">
        <v>14</v>
      </c>
      <c r="C982" s="8">
        <v>187.67891882207149</v>
      </c>
      <c r="D982" s="8">
        <v>187.94461769611749</v>
      </c>
      <c r="E982" s="8">
        <v>187.44099832349269</v>
      </c>
      <c r="F982" s="8">
        <v>187.76764881334449</v>
      </c>
      <c r="G982" s="7">
        <v>81354</v>
      </c>
      <c r="H982" s="9">
        <v>15275649.30156083</v>
      </c>
      <c r="I982" s="5" t="s">
        <v>2111</v>
      </c>
    </row>
    <row r="983" spans="1:9" x14ac:dyDescent="0.25">
      <c r="A983" s="6">
        <v>45994.71875</v>
      </c>
      <c r="B983" s="5" t="s">
        <v>14</v>
      </c>
      <c r="C983" s="8">
        <v>187.70479742753369</v>
      </c>
      <c r="D983" s="8">
        <v>187.95371225124961</v>
      </c>
      <c r="E983" s="8">
        <v>187.6081338465722</v>
      </c>
      <c r="F983" s="8">
        <v>187.63836813274759</v>
      </c>
      <c r="G983" s="7">
        <v>52822</v>
      </c>
      <c r="H983" s="9">
        <v>9911433.8815079946</v>
      </c>
      <c r="I983" s="5" t="s">
        <v>2112</v>
      </c>
    </row>
    <row r="984" spans="1:9" x14ac:dyDescent="0.25">
      <c r="A984" s="6">
        <v>45994.722222222219</v>
      </c>
      <c r="B984" s="5" t="s">
        <v>14</v>
      </c>
      <c r="C984" s="8">
        <v>187.8148269428784</v>
      </c>
      <c r="D984" s="8">
        <v>187.92024089798991</v>
      </c>
      <c r="E984" s="8">
        <v>187.81047493603211</v>
      </c>
      <c r="F984" s="8">
        <v>187.88901143794459</v>
      </c>
      <c r="G984" s="7">
        <v>62840</v>
      </c>
      <c r="H984" s="9">
        <v>11806945.47876044</v>
      </c>
      <c r="I984" s="5" t="s">
        <v>2113</v>
      </c>
    </row>
    <row r="985" spans="1:9" x14ac:dyDescent="0.25">
      <c r="A985" s="6">
        <v>45994.725694444453</v>
      </c>
      <c r="B985" s="5" t="s">
        <v>14</v>
      </c>
      <c r="C985" s="8">
        <v>188.07089310740909</v>
      </c>
      <c r="D985" s="8">
        <v>188.2018031263303</v>
      </c>
      <c r="E985" s="8">
        <v>187.9139143613582</v>
      </c>
      <c r="F985" s="8">
        <v>188.07849757597421</v>
      </c>
      <c r="G985" s="7">
        <v>57145</v>
      </c>
      <c r="H985" s="9">
        <v>10747745.74397905</v>
      </c>
      <c r="I985" s="5" t="s">
        <v>2114</v>
      </c>
    </row>
    <row r="986" spans="1:9" x14ac:dyDescent="0.25">
      <c r="A986" s="6">
        <v>45994.729166666657</v>
      </c>
      <c r="B986" s="5" t="s">
        <v>14</v>
      </c>
      <c r="C986" s="8">
        <v>188.21455233360101</v>
      </c>
      <c r="D986" s="8">
        <v>188.2859690977163</v>
      </c>
      <c r="E986" s="8">
        <v>188.00499404415319</v>
      </c>
      <c r="F986" s="8">
        <v>188.15940897069549</v>
      </c>
      <c r="G986" s="7">
        <v>73393</v>
      </c>
      <c r="H986" s="9">
        <v>13809583.502586249</v>
      </c>
      <c r="I986" s="5" t="s">
        <v>2115</v>
      </c>
    </row>
    <row r="987" spans="1:9" x14ac:dyDescent="0.25">
      <c r="A987" s="6">
        <v>45994.732638888891</v>
      </c>
      <c r="B987" s="5" t="s">
        <v>14</v>
      </c>
      <c r="C987" s="8">
        <v>188.1232721616617</v>
      </c>
      <c r="D987" s="8">
        <v>188.15625188902251</v>
      </c>
      <c r="E987" s="8">
        <v>188.0187820647331</v>
      </c>
      <c r="F987" s="8">
        <v>188.04913471036329</v>
      </c>
      <c r="G987" s="7">
        <v>49478</v>
      </c>
      <c r="H987" s="9">
        <v>9304295.0871993583</v>
      </c>
      <c r="I987" s="5" t="s">
        <v>2116</v>
      </c>
    </row>
    <row r="988" spans="1:9" x14ac:dyDescent="0.25">
      <c r="A988" s="6">
        <v>45994.736111111109</v>
      </c>
      <c r="B988" s="5" t="s">
        <v>14</v>
      </c>
      <c r="C988" s="8">
        <v>188.21204253059901</v>
      </c>
      <c r="D988" s="8">
        <v>188.52987209524869</v>
      </c>
      <c r="E988" s="8">
        <v>188.07850649665269</v>
      </c>
      <c r="F988" s="8">
        <v>188.2175061447611</v>
      </c>
      <c r="G988" s="7">
        <v>39959</v>
      </c>
      <c r="H988" s="9">
        <v>7520983.3280385081</v>
      </c>
      <c r="I988" s="5" t="s">
        <v>2117</v>
      </c>
    </row>
    <row r="989" spans="1:9" x14ac:dyDescent="0.25">
      <c r="A989" s="6">
        <v>45994.739583333343</v>
      </c>
      <c r="B989" s="5" t="s">
        <v>14</v>
      </c>
      <c r="C989" s="8">
        <v>188.27404867682719</v>
      </c>
      <c r="D989" s="8">
        <v>188.3656954053497</v>
      </c>
      <c r="E989" s="8">
        <v>188.14302042258851</v>
      </c>
      <c r="F989" s="8">
        <v>188.21411307469401</v>
      </c>
      <c r="G989" s="7">
        <v>65719</v>
      </c>
      <c r="H989" s="9">
        <v>12369243.297155811</v>
      </c>
      <c r="I989" s="5" t="s">
        <v>2118</v>
      </c>
    </row>
    <row r="990" spans="1:9" x14ac:dyDescent="0.25">
      <c r="A990" s="6">
        <v>45994.743055555547</v>
      </c>
      <c r="B990" s="5" t="s">
        <v>14</v>
      </c>
      <c r="C990" s="8">
        <v>187.8726627463648</v>
      </c>
      <c r="D990" s="8">
        <v>188.04970353765339</v>
      </c>
      <c r="E990" s="8">
        <v>187.80376490019819</v>
      </c>
      <c r="F990" s="8">
        <v>187.95620576200071</v>
      </c>
      <c r="G990" s="7">
        <v>60726</v>
      </c>
      <c r="H990" s="9">
        <v>11413828.551103249</v>
      </c>
      <c r="I990" s="5" t="s">
        <v>2119</v>
      </c>
    </row>
    <row r="991" spans="1:9" x14ac:dyDescent="0.25">
      <c r="A991" s="6">
        <v>45994.746527777781</v>
      </c>
      <c r="B991" s="5" t="s">
        <v>14</v>
      </c>
      <c r="C991" s="8">
        <v>187.9623143036938</v>
      </c>
      <c r="D991" s="8">
        <v>188.2788253780088</v>
      </c>
      <c r="E991" s="8">
        <v>187.89980208886959</v>
      </c>
      <c r="F991" s="8">
        <v>188.0677645351754</v>
      </c>
      <c r="G991" s="7">
        <v>49118</v>
      </c>
      <c r="H991" s="9">
        <v>9237512.4584387448</v>
      </c>
      <c r="I991" s="5" t="s">
        <v>2120</v>
      </c>
    </row>
    <row r="992" spans="1:9" x14ac:dyDescent="0.25">
      <c r="A992" s="6">
        <v>45994.75</v>
      </c>
      <c r="B992" s="5" t="s">
        <v>14</v>
      </c>
      <c r="C992" s="8">
        <v>188.07717181872599</v>
      </c>
      <c r="D992" s="8">
        <v>188.10538523413291</v>
      </c>
      <c r="E992" s="8">
        <v>188.0071755984637</v>
      </c>
      <c r="F992" s="8">
        <v>188.011934530133</v>
      </c>
      <c r="G992" s="7">
        <v>66641</v>
      </c>
      <c r="H992" s="9">
        <v>12529303.32902259</v>
      </c>
      <c r="I992" s="5" t="s">
        <v>2121</v>
      </c>
    </row>
    <row r="993" spans="1:9" x14ac:dyDescent="0.25">
      <c r="A993" s="6">
        <v>45994.753472222219</v>
      </c>
      <c r="B993" s="5" t="s">
        <v>14</v>
      </c>
      <c r="C993" s="8">
        <v>187.8203210974344</v>
      </c>
      <c r="D993" s="8">
        <v>187.8678146686847</v>
      </c>
      <c r="E993" s="8">
        <v>187.66166953329699</v>
      </c>
      <c r="F993" s="8">
        <v>187.72168692007571</v>
      </c>
      <c r="G993" s="7">
        <v>89555</v>
      </c>
      <c r="H993" s="9">
        <v>16811415.672127381</v>
      </c>
      <c r="I993" s="5" t="s">
        <v>2122</v>
      </c>
    </row>
    <row r="994" spans="1:9" x14ac:dyDescent="0.25">
      <c r="A994" s="6">
        <v>45994.756944444453</v>
      </c>
      <c r="B994" s="5" t="s">
        <v>14</v>
      </c>
      <c r="C994" s="8">
        <v>187.5284030895476</v>
      </c>
      <c r="D994" s="8">
        <v>187.70406149374199</v>
      </c>
      <c r="E994" s="8">
        <v>187.50349794271409</v>
      </c>
      <c r="F994" s="8">
        <v>187.56658112247831</v>
      </c>
      <c r="G994" s="7">
        <v>46257</v>
      </c>
      <c r="H994" s="9">
        <v>8676267.3429824803</v>
      </c>
      <c r="I994" s="5" t="s">
        <v>2123</v>
      </c>
    </row>
    <row r="995" spans="1:9" x14ac:dyDescent="0.25">
      <c r="A995" s="6">
        <v>45994.760416666657</v>
      </c>
      <c r="B995" s="5" t="s">
        <v>14</v>
      </c>
      <c r="C995" s="8">
        <v>187.5750581714164</v>
      </c>
      <c r="D995" s="8">
        <v>187.6423910883363</v>
      </c>
      <c r="E995" s="8">
        <v>187.5250963613465</v>
      </c>
      <c r="F995" s="8">
        <v>187.61231046125769</v>
      </c>
      <c r="G995" s="7">
        <v>68814</v>
      </c>
      <c r="H995" s="9">
        <v>12910353.532080989</v>
      </c>
      <c r="I995" s="5" t="s">
        <v>2124</v>
      </c>
    </row>
    <row r="996" spans="1:9" x14ac:dyDescent="0.25">
      <c r="A996" s="6">
        <v>45994.763888888891</v>
      </c>
      <c r="B996" s="5" t="s">
        <v>14</v>
      </c>
      <c r="C996" s="8">
        <v>187.68166034885709</v>
      </c>
      <c r="D996" s="8">
        <v>187.77404552206639</v>
      </c>
      <c r="E996" s="8">
        <v>187.4533827177186</v>
      </c>
      <c r="F996" s="8">
        <v>187.676718129276</v>
      </c>
      <c r="G996" s="7">
        <v>67815</v>
      </c>
      <c r="H996" s="9">
        <v>12727296.639936849</v>
      </c>
      <c r="I996" s="5" t="s">
        <v>2125</v>
      </c>
    </row>
    <row r="997" spans="1:9" x14ac:dyDescent="0.25">
      <c r="A997" s="6">
        <v>45994.767361111109</v>
      </c>
      <c r="B997" s="5" t="s">
        <v>14</v>
      </c>
      <c r="C997" s="8">
        <v>187.45946268171369</v>
      </c>
      <c r="D997" s="8">
        <v>187.46488430590151</v>
      </c>
      <c r="E997" s="8">
        <v>187.43489822049861</v>
      </c>
      <c r="F997" s="8">
        <v>187.44014955453389</v>
      </c>
      <c r="G997" s="7">
        <v>60042</v>
      </c>
      <c r="H997" s="9">
        <v>11254281.459553329</v>
      </c>
      <c r="I997" s="5" t="s">
        <v>2126</v>
      </c>
    </row>
    <row r="998" spans="1:9" x14ac:dyDescent="0.25">
      <c r="A998" s="6">
        <v>45994.770833333343</v>
      </c>
      <c r="B998" s="5" t="s">
        <v>14</v>
      </c>
      <c r="C998" s="8">
        <v>187.48245912006399</v>
      </c>
      <c r="D998" s="8">
        <v>187.5728785330987</v>
      </c>
      <c r="E998" s="8">
        <v>187.36091959570149</v>
      </c>
      <c r="F998" s="8">
        <v>187.5371624061618</v>
      </c>
      <c r="G998" s="7">
        <v>78929</v>
      </c>
      <c r="H998" s="9">
        <v>14802120.691555951</v>
      </c>
      <c r="I998" s="5" t="s">
        <v>2127</v>
      </c>
    </row>
    <row r="999" spans="1:9" x14ac:dyDescent="0.25">
      <c r="A999" s="6">
        <v>45994.774305555547</v>
      </c>
      <c r="B999" s="5" t="s">
        <v>14</v>
      </c>
      <c r="C999" s="8">
        <v>187.70812353215931</v>
      </c>
      <c r="D999" s="8">
        <v>187.73286181238501</v>
      </c>
      <c r="E999" s="8">
        <v>187.49711698708921</v>
      </c>
      <c r="F999" s="8">
        <v>187.72370251075259</v>
      </c>
      <c r="G999" s="7">
        <v>71453</v>
      </c>
      <c r="H999" s="9">
        <v>13413421.715500809</v>
      </c>
      <c r="I999" s="5" t="s">
        <v>2128</v>
      </c>
    </row>
    <row r="1000" spans="1:9" x14ac:dyDescent="0.25">
      <c r="A1000" s="6">
        <v>45994.777777777781</v>
      </c>
      <c r="B1000" s="5" t="s">
        <v>14</v>
      </c>
      <c r="C1000" s="8">
        <v>187.8240519677415</v>
      </c>
      <c r="D1000" s="8">
        <v>187.92212158285491</v>
      </c>
      <c r="E1000" s="8">
        <v>187.7528330819834</v>
      </c>
      <c r="F1000" s="8">
        <v>187.7676797520059</v>
      </c>
      <c r="G1000" s="7">
        <v>69892</v>
      </c>
      <c r="H1000" s="9">
        <v>13123458.673227189</v>
      </c>
      <c r="I1000" s="5" t="s">
        <v>2129</v>
      </c>
    </row>
    <row r="1001" spans="1:9" x14ac:dyDescent="0.25">
      <c r="A1001" s="6">
        <v>45994.78125</v>
      </c>
      <c r="B1001" s="5" t="s">
        <v>14</v>
      </c>
      <c r="C1001" s="8">
        <v>187.84283148049161</v>
      </c>
      <c r="D1001" s="8">
        <v>187.8922632314617</v>
      </c>
      <c r="E1001" s="8">
        <v>187.65806730790709</v>
      </c>
      <c r="F1001" s="8">
        <v>187.7577252210427</v>
      </c>
      <c r="G1001" s="7">
        <v>44893</v>
      </c>
      <c r="H1001" s="9">
        <v>8429007.558348272</v>
      </c>
      <c r="I1001" s="5" t="s">
        <v>2130</v>
      </c>
    </row>
    <row r="1002" spans="1:9" x14ac:dyDescent="0.25">
      <c r="A1002" s="6">
        <v>45994.784722222219</v>
      </c>
      <c r="B1002" s="5" t="s">
        <v>14</v>
      </c>
      <c r="C1002" s="8">
        <v>187.7548562595365</v>
      </c>
      <c r="D1002" s="8">
        <v>187.81493009666909</v>
      </c>
      <c r="E1002" s="8">
        <v>187.69972564481449</v>
      </c>
      <c r="F1002" s="8">
        <v>187.75621161372521</v>
      </c>
      <c r="G1002" s="7">
        <v>59971</v>
      </c>
      <c r="H1002" s="9">
        <v>11259927.766686721</v>
      </c>
      <c r="I1002" s="5" t="s">
        <v>2131</v>
      </c>
    </row>
    <row r="1003" spans="1:9" x14ac:dyDescent="0.25">
      <c r="A1003" s="6">
        <v>45994.788194444453</v>
      </c>
      <c r="B1003" s="5" t="s">
        <v>14</v>
      </c>
      <c r="C1003" s="8">
        <v>187.972648811944</v>
      </c>
      <c r="D1003" s="8">
        <v>187.9765607941556</v>
      </c>
      <c r="E1003" s="8">
        <v>187.78175735264429</v>
      </c>
      <c r="F1003" s="8">
        <v>187.85464119085401</v>
      </c>
      <c r="G1003" s="7">
        <v>91433</v>
      </c>
      <c r="H1003" s="9">
        <v>17176113.408003349</v>
      </c>
      <c r="I1003" s="5" t="s">
        <v>2132</v>
      </c>
    </row>
    <row r="1004" spans="1:9" x14ac:dyDescent="0.25">
      <c r="A1004" s="6">
        <v>45994.791666666657</v>
      </c>
      <c r="B1004" s="5" t="s">
        <v>14</v>
      </c>
      <c r="C1004" s="8">
        <v>188.11703538437069</v>
      </c>
      <c r="D1004" s="8">
        <v>188.22644286474039</v>
      </c>
      <c r="E1004" s="8">
        <v>187.87694019702801</v>
      </c>
      <c r="F1004" s="8">
        <v>188.1061775288986</v>
      </c>
      <c r="G1004" s="7">
        <v>70848</v>
      </c>
      <c r="H1004" s="9">
        <v>13326946.46556741</v>
      </c>
      <c r="I1004" s="5" t="s">
        <v>2133</v>
      </c>
    </row>
    <row r="1005" spans="1:9" x14ac:dyDescent="0.25">
      <c r="A1005" s="6">
        <v>45994.795138888891</v>
      </c>
      <c r="B1005" s="5" t="s">
        <v>14</v>
      </c>
      <c r="C1005" s="8">
        <v>188.20148160375501</v>
      </c>
      <c r="D1005" s="8">
        <v>188.22869933276431</v>
      </c>
      <c r="E1005" s="8">
        <v>187.86872805394859</v>
      </c>
      <c r="F1005" s="8">
        <v>188.07687963411061</v>
      </c>
      <c r="G1005" s="7">
        <v>56413</v>
      </c>
      <c r="H1005" s="9">
        <v>10609981.01079908</v>
      </c>
      <c r="I1005" s="5" t="s">
        <v>2134</v>
      </c>
    </row>
    <row r="1006" spans="1:9" x14ac:dyDescent="0.25">
      <c r="A1006" s="6">
        <v>45994.798611111109</v>
      </c>
      <c r="B1006" s="5" t="s">
        <v>14</v>
      </c>
      <c r="C1006" s="8">
        <v>188.00347297119581</v>
      </c>
      <c r="D1006" s="8">
        <v>188.16281294037341</v>
      </c>
      <c r="E1006" s="8">
        <v>187.9413005934409</v>
      </c>
      <c r="F1006" s="8">
        <v>188.03269032438439</v>
      </c>
      <c r="G1006" s="7">
        <v>88442</v>
      </c>
      <c r="H1006" s="9">
        <v>16629987.197669201</v>
      </c>
      <c r="I1006" s="5" t="s">
        <v>2135</v>
      </c>
    </row>
    <row r="1007" spans="1:9" x14ac:dyDescent="0.25">
      <c r="A1007" s="6">
        <v>45994.802083333343</v>
      </c>
      <c r="B1007" s="5" t="s">
        <v>14</v>
      </c>
      <c r="C1007" s="8">
        <v>187.78345008439541</v>
      </c>
      <c r="D1007" s="8">
        <v>187.91021248189051</v>
      </c>
      <c r="E1007" s="8">
        <v>187.74663116977959</v>
      </c>
      <c r="F1007" s="8">
        <v>187.77728009138241</v>
      </c>
      <c r="G1007" s="7">
        <v>72213</v>
      </c>
      <c r="H1007" s="9">
        <v>13559960.727239</v>
      </c>
      <c r="I1007" s="5" t="s">
        <v>2136</v>
      </c>
    </row>
    <row r="1008" spans="1:9" x14ac:dyDescent="0.25">
      <c r="A1008" s="6">
        <v>45994.805555555547</v>
      </c>
      <c r="B1008" s="5" t="s">
        <v>14</v>
      </c>
      <c r="C1008" s="8">
        <v>187.86851270376559</v>
      </c>
      <c r="D1008" s="8">
        <v>188.08123252709279</v>
      </c>
      <c r="E1008" s="8">
        <v>187.667679537276</v>
      </c>
      <c r="F1008" s="8">
        <v>187.83828646474609</v>
      </c>
      <c r="G1008" s="7">
        <v>68341</v>
      </c>
      <c r="H1008" s="9">
        <v>12837056.33528721</v>
      </c>
      <c r="I1008" s="5" t="s">
        <v>2137</v>
      </c>
    </row>
    <row r="1009" spans="1:9" x14ac:dyDescent="0.25">
      <c r="A1009" s="6">
        <v>45994.809027777781</v>
      </c>
      <c r="B1009" s="5" t="s">
        <v>14</v>
      </c>
      <c r="C1009" s="8">
        <v>187.73344013613141</v>
      </c>
      <c r="D1009" s="8">
        <v>187.7618056262572</v>
      </c>
      <c r="E1009" s="8">
        <v>187.6546381239009</v>
      </c>
      <c r="F1009" s="8">
        <v>187.74881837090871</v>
      </c>
      <c r="G1009" s="7">
        <v>40061</v>
      </c>
      <c r="H1009" s="9">
        <v>7521405.4127569711</v>
      </c>
      <c r="I1009" s="5" t="s">
        <v>2138</v>
      </c>
    </row>
    <row r="1010" spans="1:9" x14ac:dyDescent="0.25">
      <c r="A1010" s="6">
        <v>45994.8125</v>
      </c>
      <c r="B1010" s="5" t="s">
        <v>14</v>
      </c>
      <c r="C1010" s="8">
        <v>187.46982952810239</v>
      </c>
      <c r="D1010" s="8">
        <v>187.6452031393797</v>
      </c>
      <c r="E1010" s="8">
        <v>187.37091668334079</v>
      </c>
      <c r="F1010" s="8">
        <v>187.54172725193189</v>
      </c>
      <c r="G1010" s="7">
        <v>63116</v>
      </c>
      <c r="H1010" s="9">
        <v>11836883.657232931</v>
      </c>
      <c r="I1010" s="5" t="s">
        <v>2139</v>
      </c>
    </row>
    <row r="1011" spans="1:9" x14ac:dyDescent="0.25">
      <c r="A1011" s="6">
        <v>45994.815972222219</v>
      </c>
      <c r="B1011" s="5" t="s">
        <v>14</v>
      </c>
      <c r="C1011" s="8">
        <v>187.35235128226631</v>
      </c>
      <c r="D1011" s="8">
        <v>187.40664850622301</v>
      </c>
      <c r="E1011" s="8">
        <v>187.27364293350479</v>
      </c>
      <c r="F1011" s="8">
        <v>187.35441803782891</v>
      </c>
      <c r="G1011" s="7">
        <v>89541</v>
      </c>
      <c r="H1011" s="9">
        <v>16775901.945525231</v>
      </c>
      <c r="I1011" s="5" t="s">
        <v>2140</v>
      </c>
    </row>
    <row r="1012" spans="1:9" x14ac:dyDescent="0.25">
      <c r="A1012" s="6">
        <v>45994.819444444453</v>
      </c>
      <c r="B1012" s="5" t="s">
        <v>14</v>
      </c>
      <c r="C1012" s="8">
        <v>187.3249000514889</v>
      </c>
      <c r="D1012" s="8">
        <v>187.6479767867223</v>
      </c>
      <c r="E1012" s="8">
        <v>187.2235513620316</v>
      </c>
      <c r="F1012" s="8">
        <v>187.37656496849669</v>
      </c>
      <c r="G1012" s="7">
        <v>40284</v>
      </c>
      <c r="H1012" s="9">
        <v>7548277.5431909207</v>
      </c>
      <c r="I1012" s="5" t="s">
        <v>2141</v>
      </c>
    </row>
    <row r="1013" spans="1:9" x14ac:dyDescent="0.25">
      <c r="A1013" s="6">
        <v>45994.822916666657</v>
      </c>
      <c r="B1013" s="5" t="s">
        <v>14</v>
      </c>
      <c r="C1013" s="8">
        <v>187.19273926664289</v>
      </c>
      <c r="D1013" s="8">
        <v>187.21963257539019</v>
      </c>
      <c r="E1013" s="8">
        <v>187.05932691475721</v>
      </c>
      <c r="F1013" s="8">
        <v>187.1007888228979</v>
      </c>
      <c r="G1013" s="7">
        <v>88958</v>
      </c>
      <c r="H1013" s="9">
        <v>16644111.972107351</v>
      </c>
      <c r="I1013" s="5" t="s">
        <v>2142</v>
      </c>
    </row>
    <row r="1014" spans="1:9" x14ac:dyDescent="0.25">
      <c r="A1014" s="6">
        <v>45994.826388888891</v>
      </c>
      <c r="B1014" s="5" t="s">
        <v>14</v>
      </c>
      <c r="C1014" s="8">
        <v>187.17070529692521</v>
      </c>
      <c r="D1014" s="8">
        <v>187.36259071679561</v>
      </c>
      <c r="E1014" s="8">
        <v>187.09518063136881</v>
      </c>
      <c r="F1014" s="8">
        <v>187.12818657570651</v>
      </c>
      <c r="G1014" s="7">
        <v>80529</v>
      </c>
      <c r="H1014" s="9">
        <v>15069245.736755069</v>
      </c>
      <c r="I1014" s="5" t="s">
        <v>2143</v>
      </c>
    </row>
    <row r="1015" spans="1:9" x14ac:dyDescent="0.25">
      <c r="A1015" s="6">
        <v>45994.829861111109</v>
      </c>
      <c r="B1015" s="5" t="s">
        <v>14</v>
      </c>
      <c r="C1015" s="8">
        <v>187.18142425276099</v>
      </c>
      <c r="D1015" s="8">
        <v>187.34613833991341</v>
      </c>
      <c r="E1015" s="8">
        <v>187.0999671808305</v>
      </c>
      <c r="F1015" s="8">
        <v>187.17073582126571</v>
      </c>
      <c r="G1015" s="7">
        <v>67106</v>
      </c>
      <c r="H1015" s="9">
        <v>12560279.39802186</v>
      </c>
      <c r="I1015" s="5" t="s">
        <v>2144</v>
      </c>
    </row>
    <row r="1016" spans="1:9" x14ac:dyDescent="0.25">
      <c r="A1016" s="6">
        <v>45994.833333333343</v>
      </c>
      <c r="B1016" s="5" t="s">
        <v>14</v>
      </c>
      <c r="C1016" s="8">
        <v>186.81513005753541</v>
      </c>
      <c r="D1016" s="8">
        <v>186.93312600497319</v>
      </c>
      <c r="E1016" s="8">
        <v>186.81146792548219</v>
      </c>
      <c r="F1016" s="8">
        <v>186.86207847961529</v>
      </c>
      <c r="G1016" s="7">
        <v>69463</v>
      </c>
      <c r="H1016" s="9">
        <v>12980000.55742952</v>
      </c>
      <c r="I1016" s="5" t="s">
        <v>2145</v>
      </c>
    </row>
    <row r="1017" spans="1:9" x14ac:dyDescent="0.25">
      <c r="A1017" s="6">
        <v>45994.836805555547</v>
      </c>
      <c r="B1017" s="5" t="s">
        <v>14</v>
      </c>
      <c r="C1017" s="8">
        <v>186.89108475208531</v>
      </c>
      <c r="D1017" s="8">
        <v>186.9413316456249</v>
      </c>
      <c r="E1017" s="8">
        <v>186.8456196771638</v>
      </c>
      <c r="F1017" s="8">
        <v>186.89714547259729</v>
      </c>
      <c r="G1017" s="7">
        <v>83258</v>
      </c>
      <c r="H1017" s="9">
        <v>15560682.53775751</v>
      </c>
      <c r="I1017" s="5" t="s">
        <v>2146</v>
      </c>
    </row>
    <row r="1018" spans="1:9" x14ac:dyDescent="0.25">
      <c r="A1018" s="6">
        <v>45994.840277777781</v>
      </c>
      <c r="B1018" s="5" t="s">
        <v>14</v>
      </c>
      <c r="C1018" s="8">
        <v>186.66873621277551</v>
      </c>
      <c r="D1018" s="8">
        <v>186.8921016098181</v>
      </c>
      <c r="E1018" s="8">
        <v>186.4765555466204</v>
      </c>
      <c r="F1018" s="8">
        <v>186.60914379788409</v>
      </c>
      <c r="G1018" s="7">
        <v>52508</v>
      </c>
      <c r="H1018" s="9">
        <v>9798472.9225393012</v>
      </c>
      <c r="I1018" s="5" t="s">
        <v>2147</v>
      </c>
    </row>
    <row r="1019" spans="1:9" x14ac:dyDescent="0.25">
      <c r="A1019" s="6">
        <v>45994.84375</v>
      </c>
      <c r="B1019" s="5" t="s">
        <v>14</v>
      </c>
      <c r="C1019" s="8">
        <v>186.4669128409611</v>
      </c>
      <c r="D1019" s="8">
        <v>186.622735364363</v>
      </c>
      <c r="E1019" s="8">
        <v>186.43071969569669</v>
      </c>
      <c r="F1019" s="8">
        <v>186.46747871801921</v>
      </c>
      <c r="G1019" s="7">
        <v>30259</v>
      </c>
      <c r="H1019" s="9">
        <v>5642319.4385285443</v>
      </c>
      <c r="I1019" s="5" t="s">
        <v>2148</v>
      </c>
    </row>
    <row r="1020" spans="1:9" x14ac:dyDescent="0.25">
      <c r="A1020" s="6">
        <v>45994.847222222219</v>
      </c>
      <c r="B1020" s="5" t="s">
        <v>14</v>
      </c>
      <c r="C1020" s="8">
        <v>185.93857301653551</v>
      </c>
      <c r="D1020" s="8">
        <v>186.20735318262601</v>
      </c>
      <c r="E1020" s="8">
        <v>185.75263742647971</v>
      </c>
      <c r="F1020" s="8">
        <v>185.92474258053321</v>
      </c>
      <c r="G1020" s="7">
        <v>48623</v>
      </c>
      <c r="H1020" s="9">
        <v>9040218.7584932651</v>
      </c>
      <c r="I1020" s="5" t="s">
        <v>2149</v>
      </c>
    </row>
    <row r="1021" spans="1:9" x14ac:dyDescent="0.25">
      <c r="A1021" s="6">
        <v>45994.850694444453</v>
      </c>
      <c r="B1021" s="5" t="s">
        <v>14</v>
      </c>
      <c r="C1021" s="8">
        <v>185.95218168613081</v>
      </c>
      <c r="D1021" s="8">
        <v>186.0521347829505</v>
      </c>
      <c r="E1021" s="8">
        <v>185.7589195918419</v>
      </c>
      <c r="F1021" s="8">
        <v>185.9334472913385</v>
      </c>
      <c r="G1021" s="7">
        <v>62565</v>
      </c>
      <c r="H1021" s="9">
        <v>11632926.129782589</v>
      </c>
      <c r="I1021" s="5" t="s">
        <v>2150</v>
      </c>
    </row>
    <row r="1022" spans="1:9" x14ac:dyDescent="0.25">
      <c r="A1022" s="6">
        <v>45994.854166666657</v>
      </c>
      <c r="B1022" s="5" t="s">
        <v>14</v>
      </c>
      <c r="C1022" s="8">
        <v>185.8733572013667</v>
      </c>
      <c r="D1022" s="8">
        <v>185.9174137253645</v>
      </c>
      <c r="E1022" s="8">
        <v>185.70171375183909</v>
      </c>
      <c r="F1022" s="8">
        <v>185.8265000467093</v>
      </c>
      <c r="G1022" s="7">
        <v>39171</v>
      </c>
      <c r="H1022" s="9">
        <v>7279009.8333296487</v>
      </c>
      <c r="I1022" s="5" t="s">
        <v>2151</v>
      </c>
    </row>
    <row r="1023" spans="1:9" x14ac:dyDescent="0.25">
      <c r="A1023" s="6">
        <v>45994.857638888891</v>
      </c>
      <c r="B1023" s="5" t="s">
        <v>14</v>
      </c>
      <c r="C1023" s="8">
        <v>185.6023546928574</v>
      </c>
      <c r="D1023" s="8">
        <v>185.69412335137159</v>
      </c>
      <c r="E1023" s="8">
        <v>185.52275478373059</v>
      </c>
      <c r="F1023" s="8">
        <v>185.641776244666</v>
      </c>
      <c r="G1023" s="7">
        <v>38580</v>
      </c>
      <c r="H1023" s="9">
        <v>7162059.727519216</v>
      </c>
      <c r="I1023" s="5" t="s">
        <v>2152</v>
      </c>
    </row>
    <row r="1024" spans="1:9" x14ac:dyDescent="0.25">
      <c r="A1024" s="6">
        <v>45994.861111111109</v>
      </c>
      <c r="B1024" s="5" t="s">
        <v>14</v>
      </c>
      <c r="C1024" s="8">
        <v>185.45305253265431</v>
      </c>
      <c r="D1024" s="8">
        <v>185.65248018179079</v>
      </c>
      <c r="E1024" s="8">
        <v>185.39749443018999</v>
      </c>
      <c r="F1024" s="8">
        <v>185.54373539375109</v>
      </c>
      <c r="G1024" s="7">
        <v>38260</v>
      </c>
      <c r="H1024" s="9">
        <v>7098903.3161649192</v>
      </c>
      <c r="I1024" s="5" t="s">
        <v>2153</v>
      </c>
    </row>
    <row r="1025" spans="1:9" x14ac:dyDescent="0.25">
      <c r="A1025" s="6">
        <v>45994.864583333343</v>
      </c>
      <c r="B1025" s="5" t="s">
        <v>14</v>
      </c>
      <c r="C1025" s="8">
        <v>185.47976447003001</v>
      </c>
      <c r="D1025" s="8">
        <v>185.6087009011236</v>
      </c>
      <c r="E1025" s="8">
        <v>185.43864985355049</v>
      </c>
      <c r="F1025" s="8">
        <v>185.5700963087676</v>
      </c>
      <c r="G1025" s="7">
        <v>108809</v>
      </c>
      <c r="H1025" s="9">
        <v>20191696.609260689</v>
      </c>
      <c r="I1025" s="5" t="s">
        <v>2154</v>
      </c>
    </row>
    <row r="1026" spans="1:9" x14ac:dyDescent="0.25">
      <c r="A1026" s="6">
        <v>45994.868055555547</v>
      </c>
      <c r="B1026" s="5" t="s">
        <v>14</v>
      </c>
      <c r="C1026" s="8">
        <v>185.61207519887151</v>
      </c>
      <c r="D1026" s="8">
        <v>185.75335056826069</v>
      </c>
      <c r="E1026" s="8">
        <v>185.60056826619419</v>
      </c>
      <c r="F1026" s="8">
        <v>185.65651823534211</v>
      </c>
      <c r="G1026" s="7">
        <v>74923</v>
      </c>
      <c r="H1026" s="9">
        <v>13909943.31574654</v>
      </c>
      <c r="I1026" s="5" t="s">
        <v>2155</v>
      </c>
    </row>
    <row r="1027" spans="1:9" x14ac:dyDescent="0.25">
      <c r="A1027" s="6">
        <v>45994.871527777781</v>
      </c>
      <c r="B1027" s="5" t="s">
        <v>14</v>
      </c>
      <c r="C1027" s="8">
        <v>185.11324306964659</v>
      </c>
      <c r="D1027" s="8">
        <v>185.19193947127829</v>
      </c>
      <c r="E1027" s="8">
        <v>184.97343097974601</v>
      </c>
      <c r="F1027" s="8">
        <v>185.13965520088479</v>
      </c>
      <c r="G1027" s="7">
        <v>40710</v>
      </c>
      <c r="H1027" s="9">
        <v>7537035.3632280221</v>
      </c>
      <c r="I1027" s="5" t="s">
        <v>2156</v>
      </c>
    </row>
    <row r="1028" spans="1:9" x14ac:dyDescent="0.25">
      <c r="A1028" s="6">
        <v>45994.875</v>
      </c>
      <c r="B1028" s="5" t="s">
        <v>14</v>
      </c>
      <c r="C1028" s="8">
        <v>185.18247004794861</v>
      </c>
      <c r="D1028" s="8">
        <v>185.34990587426071</v>
      </c>
      <c r="E1028" s="8">
        <v>185.1166503584989</v>
      </c>
      <c r="F1028" s="8">
        <v>185.19350927080481</v>
      </c>
      <c r="G1028" s="7">
        <v>71702</v>
      </c>
      <c r="H1028" s="9">
        <v>13278745.00173525</v>
      </c>
      <c r="I1028" s="5" t="s">
        <v>2157</v>
      </c>
    </row>
    <row r="1029" spans="1:9" x14ac:dyDescent="0.25">
      <c r="A1029" s="6">
        <v>45995.604166666657</v>
      </c>
      <c r="B1029" s="5" t="s">
        <v>14</v>
      </c>
      <c r="C1029" s="8">
        <v>185.14403206468521</v>
      </c>
      <c r="D1029" s="8">
        <v>185.1671426179459</v>
      </c>
      <c r="E1029" s="8">
        <v>185.13772322917771</v>
      </c>
      <c r="F1029" s="8">
        <v>185.15528845340199</v>
      </c>
      <c r="G1029" s="7">
        <v>66073</v>
      </c>
      <c r="H1029" s="9">
        <v>12233765.37398163</v>
      </c>
      <c r="I1029" s="5" t="s">
        <v>2158</v>
      </c>
    </row>
    <row r="1030" spans="1:9" x14ac:dyDescent="0.25">
      <c r="A1030" s="6">
        <v>45995.607638888891</v>
      </c>
      <c r="B1030" s="5" t="s">
        <v>14</v>
      </c>
      <c r="C1030" s="8">
        <v>185.05323776547689</v>
      </c>
      <c r="D1030" s="8">
        <v>185.16420730519391</v>
      </c>
      <c r="E1030" s="8">
        <v>185.04745739788081</v>
      </c>
      <c r="F1030" s="8">
        <v>185.13668471014961</v>
      </c>
      <c r="G1030" s="7">
        <v>104825</v>
      </c>
      <c r="H1030" s="9">
        <v>19406952.97474144</v>
      </c>
      <c r="I1030" s="5" t="s">
        <v>2159</v>
      </c>
    </row>
    <row r="1031" spans="1:9" x14ac:dyDescent="0.25">
      <c r="A1031" s="6">
        <v>45995.611111111109</v>
      </c>
      <c r="B1031" s="5" t="s">
        <v>14</v>
      </c>
      <c r="C1031" s="8">
        <v>185.04804539038389</v>
      </c>
      <c r="D1031" s="8">
        <v>185.11221582960809</v>
      </c>
      <c r="E1031" s="8">
        <v>184.7914778423449</v>
      </c>
      <c r="F1031" s="8">
        <v>184.96356827811289</v>
      </c>
      <c r="G1031" s="7">
        <v>28790</v>
      </c>
      <c r="H1031" s="9">
        <v>5325101.1307268701</v>
      </c>
      <c r="I1031" s="5" t="s">
        <v>2160</v>
      </c>
    </row>
    <row r="1032" spans="1:9" x14ac:dyDescent="0.25">
      <c r="A1032" s="6">
        <v>45995.614583333343</v>
      </c>
      <c r="B1032" s="5" t="s">
        <v>14</v>
      </c>
      <c r="C1032" s="8">
        <v>184.7772473945972</v>
      </c>
      <c r="D1032" s="8">
        <v>185.0753410735272</v>
      </c>
      <c r="E1032" s="8">
        <v>184.72316043658549</v>
      </c>
      <c r="F1032" s="8">
        <v>184.90961833441179</v>
      </c>
      <c r="G1032" s="7">
        <v>69600</v>
      </c>
      <c r="H1032" s="9">
        <v>12869709.43607506</v>
      </c>
      <c r="I1032" s="5" t="s">
        <v>2161</v>
      </c>
    </row>
    <row r="1033" spans="1:9" x14ac:dyDescent="0.25">
      <c r="A1033" s="6">
        <v>45995.618055555547</v>
      </c>
      <c r="B1033" s="5" t="s">
        <v>14</v>
      </c>
      <c r="C1033" s="8">
        <v>184.78268684819781</v>
      </c>
      <c r="D1033" s="8">
        <v>184.8796663479032</v>
      </c>
      <c r="E1033" s="8">
        <v>184.60004297950249</v>
      </c>
      <c r="F1033" s="8">
        <v>184.77209428667021</v>
      </c>
      <c r="G1033" s="7">
        <v>47960</v>
      </c>
      <c r="H1033" s="9">
        <v>8861669.6419887003</v>
      </c>
      <c r="I1033" s="5" t="s">
        <v>2162</v>
      </c>
    </row>
    <row r="1034" spans="1:9" x14ac:dyDescent="0.25">
      <c r="A1034" s="6">
        <v>45995.621527777781</v>
      </c>
      <c r="B1034" s="5" t="s">
        <v>14</v>
      </c>
      <c r="C1034" s="8">
        <v>185.1859785295018</v>
      </c>
      <c r="D1034" s="8">
        <v>185.29261420968419</v>
      </c>
      <c r="E1034" s="8">
        <v>185.03667226635781</v>
      </c>
      <c r="F1034" s="8">
        <v>185.0891031565028</v>
      </c>
      <c r="G1034" s="7">
        <v>49974</v>
      </c>
      <c r="H1034" s="9">
        <v>9249642.8411430717</v>
      </c>
      <c r="I1034" s="5" t="s">
        <v>2163</v>
      </c>
    </row>
    <row r="1035" spans="1:9" x14ac:dyDescent="0.25">
      <c r="A1035" s="6">
        <v>45995.625</v>
      </c>
      <c r="B1035" s="5" t="s">
        <v>14</v>
      </c>
      <c r="C1035" s="8">
        <v>185.3390551153733</v>
      </c>
      <c r="D1035" s="8">
        <v>185.53557850332169</v>
      </c>
      <c r="E1035" s="8">
        <v>185.29781719638609</v>
      </c>
      <c r="F1035" s="8">
        <v>185.323956460055</v>
      </c>
      <c r="G1035" s="7">
        <v>53007</v>
      </c>
      <c r="H1035" s="9">
        <v>9823466.960078137</v>
      </c>
      <c r="I1035" s="5" t="s">
        <v>2164</v>
      </c>
    </row>
    <row r="1036" spans="1:9" x14ac:dyDescent="0.25">
      <c r="A1036" s="6">
        <v>45995.628472222219</v>
      </c>
      <c r="B1036" s="5" t="s">
        <v>14</v>
      </c>
      <c r="C1036" s="8">
        <v>185.18983066426691</v>
      </c>
      <c r="D1036" s="8">
        <v>185.23013533253311</v>
      </c>
      <c r="E1036" s="8">
        <v>185.1838457123601</v>
      </c>
      <c r="F1036" s="8">
        <v>185.1854575830944</v>
      </c>
      <c r="G1036" s="7">
        <v>65291</v>
      </c>
      <c r="H1036" s="9">
        <v>12090943.711057819</v>
      </c>
      <c r="I1036" s="5" t="s">
        <v>2165</v>
      </c>
    </row>
    <row r="1037" spans="1:9" x14ac:dyDescent="0.25">
      <c r="A1037" s="6">
        <v>45995.631944444453</v>
      </c>
      <c r="B1037" s="5" t="s">
        <v>14</v>
      </c>
      <c r="C1037" s="8">
        <v>185.29532841234351</v>
      </c>
      <c r="D1037" s="8">
        <v>185.37945395558361</v>
      </c>
      <c r="E1037" s="8">
        <v>185.17824969422239</v>
      </c>
      <c r="F1037" s="8">
        <v>185.30242570351919</v>
      </c>
      <c r="G1037" s="7">
        <v>48330</v>
      </c>
      <c r="H1037" s="9">
        <v>8955666.2342510838</v>
      </c>
      <c r="I1037" s="5" t="s">
        <v>2166</v>
      </c>
    </row>
    <row r="1038" spans="1:9" x14ac:dyDescent="0.25">
      <c r="A1038" s="6">
        <v>45995.635416666657</v>
      </c>
      <c r="B1038" s="5" t="s">
        <v>14</v>
      </c>
      <c r="C1038" s="8">
        <v>185.2917997815874</v>
      </c>
      <c r="D1038" s="8">
        <v>185.3881456872476</v>
      </c>
      <c r="E1038" s="8">
        <v>185.152482325894</v>
      </c>
      <c r="F1038" s="8">
        <v>185.2381187721237</v>
      </c>
      <c r="G1038" s="7">
        <v>72597</v>
      </c>
      <c r="H1038" s="9">
        <v>13447731.70849986</v>
      </c>
      <c r="I1038" s="5" t="s">
        <v>2167</v>
      </c>
    </row>
    <row r="1039" spans="1:9" x14ac:dyDescent="0.25">
      <c r="A1039" s="6">
        <v>45995.638888888891</v>
      </c>
      <c r="B1039" s="5" t="s">
        <v>14</v>
      </c>
      <c r="C1039" s="8">
        <v>185.1239849794145</v>
      </c>
      <c r="D1039" s="8">
        <v>185.3079497195269</v>
      </c>
      <c r="E1039" s="8">
        <v>184.97627343991471</v>
      </c>
      <c r="F1039" s="8">
        <v>185.08029715369119</v>
      </c>
      <c r="G1039" s="7">
        <v>55446</v>
      </c>
      <c r="H1039" s="9">
        <v>10261962.15598356</v>
      </c>
      <c r="I1039" s="5" t="s">
        <v>2168</v>
      </c>
    </row>
    <row r="1040" spans="1:9" x14ac:dyDescent="0.25">
      <c r="A1040" s="6">
        <v>45995.642361111109</v>
      </c>
      <c r="B1040" s="5" t="s">
        <v>14</v>
      </c>
      <c r="C1040" s="8">
        <v>185.10612766480031</v>
      </c>
      <c r="D1040" s="8">
        <v>185.2349320859654</v>
      </c>
      <c r="E1040" s="8">
        <v>185.0962904008243</v>
      </c>
      <c r="F1040" s="8">
        <v>185.1142056554915</v>
      </c>
      <c r="G1040" s="7">
        <v>59344</v>
      </c>
      <c r="H1040" s="9">
        <v>10985417.42041949</v>
      </c>
      <c r="I1040" s="5" t="s">
        <v>2169</v>
      </c>
    </row>
    <row r="1041" spans="1:9" x14ac:dyDescent="0.25">
      <c r="A1041" s="6">
        <v>45995.645833333343</v>
      </c>
      <c r="B1041" s="5" t="s">
        <v>14</v>
      </c>
      <c r="C1041" s="8">
        <v>185.26694484829099</v>
      </c>
      <c r="D1041" s="8">
        <v>185.39995770038931</v>
      </c>
      <c r="E1041" s="8">
        <v>185.17616522965281</v>
      </c>
      <c r="F1041" s="8">
        <v>185.23422267866189</v>
      </c>
      <c r="G1041" s="7">
        <v>39759</v>
      </c>
      <c r="H1041" s="9">
        <v>7364727.459480918</v>
      </c>
      <c r="I1041" s="5" t="s">
        <v>2170</v>
      </c>
    </row>
    <row r="1042" spans="1:9" x14ac:dyDescent="0.25">
      <c r="A1042" s="6">
        <v>45995.649305555547</v>
      </c>
      <c r="B1042" s="5" t="s">
        <v>14</v>
      </c>
      <c r="C1042" s="8">
        <v>185.2903860016994</v>
      </c>
      <c r="D1042" s="8">
        <v>185.4415037953932</v>
      </c>
      <c r="E1042" s="8">
        <v>185.28609798748869</v>
      </c>
      <c r="F1042" s="8">
        <v>185.35874458990611</v>
      </c>
      <c r="G1042" s="7">
        <v>44312</v>
      </c>
      <c r="H1042" s="9">
        <v>8213616.6902679186</v>
      </c>
      <c r="I1042" s="5" t="s">
        <v>2171</v>
      </c>
    </row>
    <row r="1043" spans="1:9" x14ac:dyDescent="0.25">
      <c r="A1043" s="6">
        <v>45995.652777777781</v>
      </c>
      <c r="B1043" s="5" t="s">
        <v>14</v>
      </c>
      <c r="C1043" s="8">
        <v>185.3431959579367</v>
      </c>
      <c r="D1043" s="8">
        <v>185.41385668235529</v>
      </c>
      <c r="E1043" s="8">
        <v>185.1861704053504</v>
      </c>
      <c r="F1043" s="8">
        <v>185.28870561908411</v>
      </c>
      <c r="G1043" s="7">
        <v>37805</v>
      </c>
      <c r="H1043" s="9">
        <v>7004839.5159294726</v>
      </c>
      <c r="I1043" s="5" t="s">
        <v>2172</v>
      </c>
    </row>
    <row r="1044" spans="1:9" x14ac:dyDescent="0.25">
      <c r="A1044" s="6">
        <v>45995.65625</v>
      </c>
      <c r="B1044" s="5" t="s">
        <v>14</v>
      </c>
      <c r="C1044" s="8">
        <v>185.72918217362209</v>
      </c>
      <c r="D1044" s="8">
        <v>185.75675272640271</v>
      </c>
      <c r="E1044" s="8">
        <v>185.72640403908099</v>
      </c>
      <c r="F1044" s="8">
        <v>185.75547693623321</v>
      </c>
      <c r="G1044" s="7">
        <v>87708</v>
      </c>
      <c r="H1044" s="9">
        <v>16292241.371123141</v>
      </c>
      <c r="I1044" s="5" t="s">
        <v>2173</v>
      </c>
    </row>
    <row r="1045" spans="1:9" x14ac:dyDescent="0.25">
      <c r="A1045" s="6">
        <v>45995.659722222219</v>
      </c>
      <c r="B1045" s="5" t="s">
        <v>14</v>
      </c>
      <c r="C1045" s="8">
        <v>185.60566474383779</v>
      </c>
      <c r="D1045" s="8">
        <v>185.70158491834809</v>
      </c>
      <c r="E1045" s="8">
        <v>185.51664283121539</v>
      </c>
      <c r="F1045" s="8">
        <v>185.65683642064889</v>
      </c>
      <c r="G1045" s="7">
        <v>36051</v>
      </c>
      <c r="H1045" s="9">
        <v>6693114.6098008128</v>
      </c>
      <c r="I1045" s="5" t="s">
        <v>2174</v>
      </c>
    </row>
    <row r="1046" spans="1:9" x14ac:dyDescent="0.25">
      <c r="A1046" s="6">
        <v>45995.663194444453</v>
      </c>
      <c r="B1046" s="5" t="s">
        <v>14</v>
      </c>
      <c r="C1046" s="8">
        <v>185.34143753604849</v>
      </c>
      <c r="D1046" s="8">
        <v>185.3905939099597</v>
      </c>
      <c r="E1046" s="8">
        <v>185.1878472666796</v>
      </c>
      <c r="F1046" s="8">
        <v>185.34022409898341</v>
      </c>
      <c r="G1046" s="7">
        <v>49617</v>
      </c>
      <c r="H1046" s="9">
        <v>9196025.8991192579</v>
      </c>
      <c r="I1046" s="5" t="s">
        <v>2175</v>
      </c>
    </row>
    <row r="1047" spans="1:9" x14ac:dyDescent="0.25">
      <c r="A1047" s="6">
        <v>45995.666666666657</v>
      </c>
      <c r="B1047" s="5" t="s">
        <v>14</v>
      </c>
      <c r="C1047" s="8">
        <v>185.34355377315791</v>
      </c>
      <c r="D1047" s="8">
        <v>185.5327724726661</v>
      </c>
      <c r="E1047" s="8">
        <v>185.1925027572654</v>
      </c>
      <c r="F1047" s="8">
        <v>185.27733924906511</v>
      </c>
      <c r="G1047" s="7">
        <v>44551</v>
      </c>
      <c r="H1047" s="9">
        <v>8254290.7408850985</v>
      </c>
      <c r="I1047" s="5" t="s">
        <v>2176</v>
      </c>
    </row>
    <row r="1048" spans="1:9" x14ac:dyDescent="0.25">
      <c r="A1048" s="6">
        <v>45995.670138888891</v>
      </c>
      <c r="B1048" s="5" t="s">
        <v>14</v>
      </c>
      <c r="C1048" s="8">
        <v>185.10448185840451</v>
      </c>
      <c r="D1048" s="8">
        <v>185.1158025606268</v>
      </c>
      <c r="E1048" s="8">
        <v>184.9568587802913</v>
      </c>
      <c r="F1048" s="8">
        <v>185.08485119753661</v>
      </c>
      <c r="G1048" s="7">
        <v>64820</v>
      </c>
      <c r="H1048" s="9">
        <v>11997200.054624319</v>
      </c>
      <c r="I1048" s="5" t="s">
        <v>2177</v>
      </c>
    </row>
    <row r="1049" spans="1:9" x14ac:dyDescent="0.25">
      <c r="A1049" s="6">
        <v>45995.673611111109</v>
      </c>
      <c r="B1049" s="5" t="s">
        <v>14</v>
      </c>
      <c r="C1049" s="8">
        <v>185.38363230179951</v>
      </c>
      <c r="D1049" s="8">
        <v>185.3947684662524</v>
      </c>
      <c r="E1049" s="8">
        <v>185.27565106811139</v>
      </c>
      <c r="F1049" s="8">
        <v>185.3392407494849</v>
      </c>
      <c r="G1049" s="7">
        <v>57714</v>
      </c>
      <c r="H1049" s="9">
        <v>10696668.940615769</v>
      </c>
      <c r="I1049" s="5" t="s">
        <v>2178</v>
      </c>
    </row>
    <row r="1050" spans="1:9" x14ac:dyDescent="0.25">
      <c r="A1050" s="6">
        <v>45995.677083333343</v>
      </c>
      <c r="B1050" s="5" t="s">
        <v>14</v>
      </c>
      <c r="C1050" s="8">
        <v>185.40218447838799</v>
      </c>
      <c r="D1050" s="8">
        <v>185.46428602554599</v>
      </c>
      <c r="E1050" s="8">
        <v>185.29606555195329</v>
      </c>
      <c r="F1050" s="8">
        <v>185.41556679837029</v>
      </c>
      <c r="G1050" s="7">
        <v>35488</v>
      </c>
      <c r="H1050" s="9">
        <v>6580027.6345405644</v>
      </c>
      <c r="I1050" s="5" t="s">
        <v>2179</v>
      </c>
    </row>
    <row r="1051" spans="1:9" x14ac:dyDescent="0.25">
      <c r="A1051" s="6">
        <v>45995.680555555547</v>
      </c>
      <c r="B1051" s="5" t="s">
        <v>14</v>
      </c>
      <c r="C1051" s="8">
        <v>185.46779631668659</v>
      </c>
      <c r="D1051" s="8">
        <v>185.499336343576</v>
      </c>
      <c r="E1051" s="8">
        <v>185.36745898181599</v>
      </c>
      <c r="F1051" s="8">
        <v>185.44085203306889</v>
      </c>
      <c r="G1051" s="7">
        <v>100732</v>
      </c>
      <c r="H1051" s="9">
        <v>18679827.906995092</v>
      </c>
      <c r="I1051" s="5" t="s">
        <v>2180</v>
      </c>
    </row>
    <row r="1052" spans="1:9" x14ac:dyDescent="0.25">
      <c r="A1052" s="6">
        <v>45995.684027777781</v>
      </c>
      <c r="B1052" s="5" t="s">
        <v>14</v>
      </c>
      <c r="C1052" s="8">
        <v>185.4179374983469</v>
      </c>
      <c r="D1052" s="8">
        <v>185.4854757554248</v>
      </c>
      <c r="E1052" s="8">
        <v>185.38274417467969</v>
      </c>
      <c r="F1052" s="8">
        <v>185.42370119266971</v>
      </c>
      <c r="G1052" s="7">
        <v>53575</v>
      </c>
      <c r="H1052" s="9">
        <v>9934074.7913972791</v>
      </c>
      <c r="I1052" s="5" t="s">
        <v>2181</v>
      </c>
    </row>
    <row r="1053" spans="1:9" x14ac:dyDescent="0.25">
      <c r="A1053" s="6">
        <v>45995.6875</v>
      </c>
      <c r="B1053" s="5" t="s">
        <v>14</v>
      </c>
      <c r="C1053" s="8">
        <v>185.32007297915641</v>
      </c>
      <c r="D1053" s="8">
        <v>185.58452528605801</v>
      </c>
      <c r="E1053" s="8">
        <v>185.24887177723059</v>
      </c>
      <c r="F1053" s="8">
        <v>185.40401361488691</v>
      </c>
      <c r="G1053" s="7">
        <v>52824</v>
      </c>
      <c r="H1053" s="9">
        <v>9793781.615192784</v>
      </c>
      <c r="I1053" s="5" t="s">
        <v>2182</v>
      </c>
    </row>
    <row r="1054" spans="1:9" x14ac:dyDescent="0.25">
      <c r="A1054" s="6">
        <v>45995.690972222219</v>
      </c>
      <c r="B1054" s="5" t="s">
        <v>14</v>
      </c>
      <c r="C1054" s="8">
        <v>185.34301408916161</v>
      </c>
      <c r="D1054" s="8">
        <v>185.3491807311334</v>
      </c>
      <c r="E1054" s="8">
        <v>185.2277509034561</v>
      </c>
      <c r="F1054" s="8">
        <v>185.30483266384101</v>
      </c>
      <c r="G1054" s="7">
        <v>64301</v>
      </c>
      <c r="H1054" s="9">
        <v>11915286.045117641</v>
      </c>
      <c r="I1054" s="5" t="s">
        <v>2183</v>
      </c>
    </row>
    <row r="1055" spans="1:9" x14ac:dyDescent="0.25">
      <c r="A1055" s="6">
        <v>45995.694444444453</v>
      </c>
      <c r="B1055" s="5" t="s">
        <v>14</v>
      </c>
      <c r="C1055" s="8">
        <v>184.9546483777888</v>
      </c>
      <c r="D1055" s="8">
        <v>185.1118715182337</v>
      </c>
      <c r="E1055" s="8">
        <v>184.9158888901253</v>
      </c>
      <c r="F1055" s="8">
        <v>184.92971310485899</v>
      </c>
      <c r="G1055" s="7">
        <v>58129</v>
      </c>
      <c r="H1055" s="9">
        <v>10749779.29307235</v>
      </c>
      <c r="I1055" s="5" t="s">
        <v>2184</v>
      </c>
    </row>
    <row r="1056" spans="1:9" x14ac:dyDescent="0.25">
      <c r="A1056" s="6">
        <v>45995.697916666657</v>
      </c>
      <c r="B1056" s="5" t="s">
        <v>14</v>
      </c>
      <c r="C1056" s="8">
        <v>184.74736678315281</v>
      </c>
      <c r="D1056" s="8">
        <v>184.8642323292668</v>
      </c>
      <c r="E1056" s="8">
        <v>184.53985408646531</v>
      </c>
      <c r="F1056" s="8">
        <v>184.73532529743329</v>
      </c>
      <c r="G1056" s="7">
        <v>64246</v>
      </c>
      <c r="H1056" s="9">
        <v>11868505.709058899</v>
      </c>
      <c r="I1056" s="5" t="s">
        <v>2185</v>
      </c>
    </row>
    <row r="1057" spans="1:9" x14ac:dyDescent="0.25">
      <c r="A1057" s="6">
        <v>45995.701388888891</v>
      </c>
      <c r="B1057" s="5" t="s">
        <v>14</v>
      </c>
      <c r="C1057" s="8">
        <v>184.85208804451321</v>
      </c>
      <c r="D1057" s="8">
        <v>184.89088328149251</v>
      </c>
      <c r="E1057" s="8">
        <v>184.77520811987429</v>
      </c>
      <c r="F1057" s="8">
        <v>184.86912157998151</v>
      </c>
      <c r="G1057" s="7">
        <v>103497</v>
      </c>
      <c r="H1057" s="9">
        <v>19133399.476163339</v>
      </c>
      <c r="I1057" s="5" t="s">
        <v>2186</v>
      </c>
    </row>
    <row r="1058" spans="1:9" x14ac:dyDescent="0.25">
      <c r="A1058" s="6">
        <v>45995.704861111109</v>
      </c>
      <c r="B1058" s="5" t="s">
        <v>14</v>
      </c>
      <c r="C1058" s="8">
        <v>184.90788994462221</v>
      </c>
      <c r="D1058" s="8">
        <v>184.9637982038725</v>
      </c>
      <c r="E1058" s="8">
        <v>184.8958474655536</v>
      </c>
      <c r="F1058" s="8">
        <v>184.92812613627359</v>
      </c>
      <c r="G1058" s="7">
        <v>86943</v>
      </c>
      <c r="H1058" s="9">
        <v>16078206.070666039</v>
      </c>
      <c r="I1058" s="5" t="s">
        <v>2187</v>
      </c>
    </row>
    <row r="1059" spans="1:9" x14ac:dyDescent="0.25">
      <c r="A1059" s="6">
        <v>45995.708333333343</v>
      </c>
      <c r="B1059" s="5" t="s">
        <v>14</v>
      </c>
      <c r="C1059" s="8">
        <v>184.7836329172801</v>
      </c>
      <c r="D1059" s="8">
        <v>184.86515767548801</v>
      </c>
      <c r="E1059" s="8">
        <v>184.76675220119799</v>
      </c>
      <c r="F1059" s="8">
        <v>184.83392808839119</v>
      </c>
      <c r="G1059" s="7">
        <v>35568</v>
      </c>
      <c r="H1059" s="9">
        <v>6574173.1542478995</v>
      </c>
      <c r="I1059" s="5" t="s">
        <v>2188</v>
      </c>
    </row>
    <row r="1060" spans="1:9" x14ac:dyDescent="0.25">
      <c r="A1060" s="6">
        <v>45995.711805555547</v>
      </c>
      <c r="B1060" s="5" t="s">
        <v>14</v>
      </c>
      <c r="C1060" s="8">
        <v>184.78898183027761</v>
      </c>
      <c r="D1060" s="8">
        <v>184.85623333886639</v>
      </c>
      <c r="E1060" s="8">
        <v>184.77629131100329</v>
      </c>
      <c r="F1060" s="8">
        <v>184.8079236139709</v>
      </c>
      <c r="G1060" s="7">
        <v>64291</v>
      </c>
      <c r="H1060" s="9">
        <v>11881486.2170658</v>
      </c>
      <c r="I1060" s="5" t="s">
        <v>2189</v>
      </c>
    </row>
    <row r="1061" spans="1:9" x14ac:dyDescent="0.25">
      <c r="A1061" s="6">
        <v>45995.715277777781</v>
      </c>
      <c r="B1061" s="5" t="s">
        <v>14</v>
      </c>
      <c r="C1061" s="8">
        <v>185.11236882058401</v>
      </c>
      <c r="D1061" s="8">
        <v>185.20144620236459</v>
      </c>
      <c r="E1061" s="8">
        <v>185.0263965501986</v>
      </c>
      <c r="F1061" s="8">
        <v>185.07967369579299</v>
      </c>
      <c r="G1061" s="7">
        <v>59277</v>
      </c>
      <c r="H1061" s="9">
        <v>10970967.817665519</v>
      </c>
      <c r="I1061" s="5" t="s">
        <v>2190</v>
      </c>
    </row>
    <row r="1062" spans="1:9" x14ac:dyDescent="0.25">
      <c r="A1062" s="6">
        <v>45995.71875</v>
      </c>
      <c r="B1062" s="5" t="s">
        <v>14</v>
      </c>
      <c r="C1062" s="8">
        <v>184.92340950755721</v>
      </c>
      <c r="D1062" s="8">
        <v>185.0515665766487</v>
      </c>
      <c r="E1062" s="8">
        <v>184.68780237225289</v>
      </c>
      <c r="F1062" s="8">
        <v>184.9634760386526</v>
      </c>
      <c r="G1062" s="7">
        <v>75426</v>
      </c>
      <c r="H1062" s="9">
        <v>13951055.143691409</v>
      </c>
      <c r="I1062" s="5" t="s">
        <v>2191</v>
      </c>
    </row>
    <row r="1063" spans="1:9" x14ac:dyDescent="0.25">
      <c r="A1063" s="6">
        <v>45995.722222222219</v>
      </c>
      <c r="B1063" s="5" t="s">
        <v>14</v>
      </c>
      <c r="C1063" s="8">
        <v>185.05284739507019</v>
      </c>
      <c r="D1063" s="8">
        <v>185.13730908182279</v>
      </c>
      <c r="E1063" s="8">
        <v>185.01315792788699</v>
      </c>
      <c r="F1063" s="8">
        <v>185.0252262982446</v>
      </c>
      <c r="G1063" s="7">
        <v>57997</v>
      </c>
      <c r="H1063" s="9">
        <v>10730908.049619289</v>
      </c>
      <c r="I1063" s="5" t="s">
        <v>2192</v>
      </c>
    </row>
    <row r="1064" spans="1:9" x14ac:dyDescent="0.25">
      <c r="A1064" s="6">
        <v>45995.725694444453</v>
      </c>
      <c r="B1064" s="5" t="s">
        <v>14</v>
      </c>
      <c r="C1064" s="8">
        <v>185.2100464585709</v>
      </c>
      <c r="D1064" s="8">
        <v>185.21540979178189</v>
      </c>
      <c r="E1064" s="8">
        <v>184.93720276146669</v>
      </c>
      <c r="F1064" s="8">
        <v>185.12331556820561</v>
      </c>
      <c r="G1064" s="7">
        <v>77702</v>
      </c>
      <c r="H1064" s="9">
        <v>14384451.86628071</v>
      </c>
      <c r="I1064" s="5" t="s">
        <v>2193</v>
      </c>
    </row>
    <row r="1065" spans="1:9" x14ac:dyDescent="0.25">
      <c r="A1065" s="6">
        <v>45995.729166666657</v>
      </c>
      <c r="B1065" s="5" t="s">
        <v>14</v>
      </c>
      <c r="C1065" s="8">
        <v>185.1064919519022</v>
      </c>
      <c r="D1065" s="8">
        <v>185.2468696728908</v>
      </c>
      <c r="E1065" s="8">
        <v>184.75462581646579</v>
      </c>
      <c r="F1065" s="8">
        <v>185.15168971714539</v>
      </c>
      <c r="G1065" s="7">
        <v>45290</v>
      </c>
      <c r="H1065" s="9">
        <v>8385520.0272895126</v>
      </c>
      <c r="I1065" s="5" t="s">
        <v>2194</v>
      </c>
    </row>
    <row r="1066" spans="1:9" x14ac:dyDescent="0.25">
      <c r="A1066" s="6">
        <v>45995.732638888891</v>
      </c>
      <c r="B1066" s="5" t="s">
        <v>14</v>
      </c>
      <c r="C1066" s="8">
        <v>185.13662595269409</v>
      </c>
      <c r="D1066" s="8">
        <v>185.1460248744728</v>
      </c>
      <c r="E1066" s="8">
        <v>184.99799894400701</v>
      </c>
      <c r="F1066" s="8">
        <v>185.1103187000582</v>
      </c>
      <c r="G1066" s="7">
        <v>51332</v>
      </c>
      <c r="H1066" s="9">
        <v>9502082.8795113862</v>
      </c>
      <c r="I1066" s="5" t="s">
        <v>2195</v>
      </c>
    </row>
    <row r="1067" spans="1:9" x14ac:dyDescent="0.25">
      <c r="A1067" s="6">
        <v>45995.736111111109</v>
      </c>
      <c r="B1067" s="5" t="s">
        <v>14</v>
      </c>
      <c r="C1067" s="8">
        <v>185.14311624076049</v>
      </c>
      <c r="D1067" s="8">
        <v>185.1714538356027</v>
      </c>
      <c r="E1067" s="8">
        <v>185.02207591423061</v>
      </c>
      <c r="F1067" s="8">
        <v>185.1124638258774</v>
      </c>
      <c r="G1067" s="7">
        <v>30444</v>
      </c>
      <c r="H1067" s="9">
        <v>5635563.848715012</v>
      </c>
      <c r="I1067" s="5" t="s">
        <v>2196</v>
      </c>
    </row>
    <row r="1068" spans="1:9" x14ac:dyDescent="0.25">
      <c r="A1068" s="6">
        <v>45995.739583333343</v>
      </c>
      <c r="B1068" s="5" t="s">
        <v>14</v>
      </c>
      <c r="C1068" s="8">
        <v>185.15565385354631</v>
      </c>
      <c r="D1068" s="8">
        <v>185.262549852044</v>
      </c>
      <c r="E1068" s="8">
        <v>185.1218503814614</v>
      </c>
      <c r="F1068" s="8">
        <v>185.1412552005703</v>
      </c>
      <c r="G1068" s="7">
        <v>49574</v>
      </c>
      <c r="H1068" s="9">
        <v>9178192.5853130743</v>
      </c>
      <c r="I1068" s="5" t="s">
        <v>2197</v>
      </c>
    </row>
    <row r="1069" spans="1:9" x14ac:dyDescent="0.25">
      <c r="A1069" s="6">
        <v>45995.743055555547</v>
      </c>
      <c r="B1069" s="5" t="s">
        <v>14</v>
      </c>
      <c r="C1069" s="8">
        <v>184.8638223865</v>
      </c>
      <c r="D1069" s="8">
        <v>184.9930221393914</v>
      </c>
      <c r="E1069" s="8">
        <v>184.80272703787799</v>
      </c>
      <c r="F1069" s="8">
        <v>184.93636265998461</v>
      </c>
      <c r="G1069" s="7">
        <v>86708</v>
      </c>
      <c r="H1069" s="9">
        <v>16035462.13352195</v>
      </c>
      <c r="I1069" s="5" t="s">
        <v>2198</v>
      </c>
    </row>
    <row r="1070" spans="1:9" x14ac:dyDescent="0.25">
      <c r="A1070" s="6">
        <v>45995.746527777781</v>
      </c>
      <c r="B1070" s="5" t="s">
        <v>14</v>
      </c>
      <c r="C1070" s="8">
        <v>185.08223668714649</v>
      </c>
      <c r="D1070" s="8">
        <v>185.2018832564581</v>
      </c>
      <c r="E1070" s="8">
        <v>185.0326841673118</v>
      </c>
      <c r="F1070" s="8">
        <v>185.05659056921189</v>
      </c>
      <c r="G1070" s="7">
        <v>54151</v>
      </c>
      <c r="H1070" s="9">
        <v>10020999.435913401</v>
      </c>
      <c r="I1070" s="5" t="s">
        <v>2199</v>
      </c>
    </row>
    <row r="1071" spans="1:9" x14ac:dyDescent="0.25">
      <c r="A1071" s="6">
        <v>45995.75</v>
      </c>
      <c r="B1071" s="5" t="s">
        <v>14</v>
      </c>
      <c r="C1071" s="8">
        <v>185.33734123653139</v>
      </c>
      <c r="D1071" s="8">
        <v>185.5297273089412</v>
      </c>
      <c r="E1071" s="8">
        <v>185.2252081215585</v>
      </c>
      <c r="F1071" s="8">
        <v>185.38602240395019</v>
      </c>
      <c r="G1071" s="7">
        <v>84540</v>
      </c>
      <c r="H1071" s="9">
        <v>15672534.33402995</v>
      </c>
      <c r="I1071" s="5" t="s">
        <v>2200</v>
      </c>
    </row>
    <row r="1072" spans="1:9" x14ac:dyDescent="0.25">
      <c r="A1072" s="6">
        <v>45995.753472222219</v>
      </c>
      <c r="B1072" s="5" t="s">
        <v>14</v>
      </c>
      <c r="C1072" s="8">
        <v>185.31874423763739</v>
      </c>
      <c r="D1072" s="8">
        <v>185.37620338758981</v>
      </c>
      <c r="E1072" s="8">
        <v>185.16631095042831</v>
      </c>
      <c r="F1072" s="8">
        <v>185.2789735312729</v>
      </c>
      <c r="G1072" s="7">
        <v>34969</v>
      </c>
      <c r="H1072" s="9">
        <v>6479020.4254150819</v>
      </c>
      <c r="I1072" s="5" t="s">
        <v>2201</v>
      </c>
    </row>
    <row r="1073" spans="1:9" x14ac:dyDescent="0.25">
      <c r="A1073" s="6">
        <v>45995.756944444453</v>
      </c>
      <c r="B1073" s="5" t="s">
        <v>14</v>
      </c>
      <c r="C1073" s="8">
        <v>185.23564748342869</v>
      </c>
      <c r="D1073" s="8">
        <v>185.26232836961881</v>
      </c>
      <c r="E1073" s="8">
        <v>185.1033288317758</v>
      </c>
      <c r="F1073" s="8">
        <v>185.2033216109055</v>
      </c>
      <c r="G1073" s="7">
        <v>98192</v>
      </c>
      <c r="H1073" s="9">
        <v>18185484.55561804</v>
      </c>
      <c r="I1073" s="5" t="s">
        <v>2202</v>
      </c>
    </row>
    <row r="1074" spans="1:9" x14ac:dyDescent="0.25">
      <c r="A1074" s="6">
        <v>45995.760416666657</v>
      </c>
      <c r="B1074" s="5" t="s">
        <v>14</v>
      </c>
      <c r="C1074" s="8">
        <v>184.9223057375961</v>
      </c>
      <c r="D1074" s="8">
        <v>185.09351842816531</v>
      </c>
      <c r="E1074" s="8">
        <v>184.73560660725019</v>
      </c>
      <c r="F1074" s="8">
        <v>184.96960357798321</v>
      </c>
      <c r="G1074" s="7">
        <v>59551</v>
      </c>
      <c r="H1074" s="9">
        <v>11015124.862672471</v>
      </c>
      <c r="I1074" s="5" t="s">
        <v>2203</v>
      </c>
    </row>
    <row r="1075" spans="1:9" x14ac:dyDescent="0.25">
      <c r="A1075" s="6">
        <v>45995.763888888891</v>
      </c>
      <c r="B1075" s="5" t="s">
        <v>14</v>
      </c>
      <c r="C1075" s="8">
        <v>184.69001079192091</v>
      </c>
      <c r="D1075" s="8">
        <v>184.85659587922839</v>
      </c>
      <c r="E1075" s="8">
        <v>184.67890088596849</v>
      </c>
      <c r="F1075" s="8">
        <v>184.76089320383301</v>
      </c>
      <c r="G1075" s="7">
        <v>94821</v>
      </c>
      <c r="H1075" s="9">
        <v>17519212.654480651</v>
      </c>
      <c r="I1075" s="5" t="s">
        <v>2204</v>
      </c>
    </row>
    <row r="1076" spans="1:9" x14ac:dyDescent="0.25">
      <c r="A1076" s="6">
        <v>45995.767361111109</v>
      </c>
      <c r="B1076" s="5" t="s">
        <v>14</v>
      </c>
      <c r="C1076" s="8">
        <v>184.96142095687421</v>
      </c>
      <c r="D1076" s="8">
        <v>185.01687566244311</v>
      </c>
      <c r="E1076" s="8">
        <v>184.82802236447461</v>
      </c>
      <c r="F1076" s="8">
        <v>184.908943924379</v>
      </c>
      <c r="G1076" s="7">
        <v>78767</v>
      </c>
      <c r="H1076" s="9">
        <v>14564722.78609156</v>
      </c>
      <c r="I1076" s="5" t="s">
        <v>2205</v>
      </c>
    </row>
    <row r="1077" spans="1:9" x14ac:dyDescent="0.25">
      <c r="A1077" s="6">
        <v>45995.770833333343</v>
      </c>
      <c r="B1077" s="5" t="s">
        <v>14</v>
      </c>
      <c r="C1077" s="8">
        <v>185.0464043547677</v>
      </c>
      <c r="D1077" s="8">
        <v>185.09297481676739</v>
      </c>
      <c r="E1077" s="8">
        <v>184.9245463388099</v>
      </c>
      <c r="F1077" s="8">
        <v>185.04756356869609</v>
      </c>
      <c r="G1077" s="7">
        <v>103047</v>
      </c>
      <c r="H1077" s="9">
        <v>19068596.283063419</v>
      </c>
      <c r="I1077" s="5" t="s">
        <v>2206</v>
      </c>
    </row>
    <row r="1078" spans="1:9" x14ac:dyDescent="0.25">
      <c r="A1078" s="6">
        <v>45995.774305555547</v>
      </c>
      <c r="B1078" s="5" t="s">
        <v>14</v>
      </c>
      <c r="C1078" s="8">
        <v>185.0299622756921</v>
      </c>
      <c r="D1078" s="8">
        <v>185.15015243548771</v>
      </c>
      <c r="E1078" s="8">
        <v>184.84253827197119</v>
      </c>
      <c r="F1078" s="8">
        <v>185.01051232303041</v>
      </c>
      <c r="G1078" s="7">
        <v>110236</v>
      </c>
      <c r="H1078" s="9">
        <v>20394818.83644158</v>
      </c>
      <c r="I1078" s="5" t="s">
        <v>2207</v>
      </c>
    </row>
    <row r="1079" spans="1:9" x14ac:dyDescent="0.25">
      <c r="A1079" s="6">
        <v>45995.777777777781</v>
      </c>
      <c r="B1079" s="5" t="s">
        <v>14</v>
      </c>
      <c r="C1079" s="8">
        <v>185.0869943974561</v>
      </c>
      <c r="D1079" s="8">
        <v>185.21804533461491</v>
      </c>
      <c r="E1079" s="8">
        <v>184.77597218533779</v>
      </c>
      <c r="F1079" s="8">
        <v>185.0166981920309</v>
      </c>
      <c r="G1079" s="7">
        <v>51724</v>
      </c>
      <c r="H1079" s="9">
        <v>9569803.6972846054</v>
      </c>
      <c r="I1079" s="5" t="s">
        <v>2208</v>
      </c>
    </row>
    <row r="1080" spans="1:9" x14ac:dyDescent="0.25">
      <c r="A1080" s="6">
        <v>45995.78125</v>
      </c>
      <c r="B1080" s="5" t="s">
        <v>14</v>
      </c>
      <c r="C1080" s="8">
        <v>184.9932012834245</v>
      </c>
      <c r="D1080" s="8">
        <v>185.09116947385269</v>
      </c>
      <c r="E1080" s="8">
        <v>184.97341516135319</v>
      </c>
      <c r="F1080" s="8">
        <v>185.07551867796201</v>
      </c>
      <c r="G1080" s="7">
        <v>59507</v>
      </c>
      <c r="H1080" s="9">
        <v>11013288.889969479</v>
      </c>
      <c r="I1080" s="5" t="s">
        <v>2209</v>
      </c>
    </row>
    <row r="1081" spans="1:9" x14ac:dyDescent="0.25">
      <c r="A1081" s="6">
        <v>45995.784722222219</v>
      </c>
      <c r="B1081" s="5" t="s">
        <v>14</v>
      </c>
      <c r="C1081" s="8">
        <v>185.18263800960469</v>
      </c>
      <c r="D1081" s="8">
        <v>185.210968047569</v>
      </c>
      <c r="E1081" s="8">
        <v>185.0704121238314</v>
      </c>
      <c r="F1081" s="8">
        <v>185.1208555019625</v>
      </c>
      <c r="G1081" s="7">
        <v>72418</v>
      </c>
      <c r="H1081" s="9">
        <v>13406082.11374112</v>
      </c>
      <c r="I1081" s="5" t="s">
        <v>2210</v>
      </c>
    </row>
    <row r="1082" spans="1:9" x14ac:dyDescent="0.25">
      <c r="A1082" s="6">
        <v>45995.788194444453</v>
      </c>
      <c r="B1082" s="5" t="s">
        <v>14</v>
      </c>
      <c r="C1082" s="8">
        <v>185.27327329415829</v>
      </c>
      <c r="D1082" s="8">
        <v>185.44731930021419</v>
      </c>
      <c r="E1082" s="8">
        <v>185.1914767820617</v>
      </c>
      <c r="F1082" s="8">
        <v>185.29703563380889</v>
      </c>
      <c r="G1082" s="7">
        <v>52561</v>
      </c>
      <c r="H1082" s="9">
        <v>9739397.4899486322</v>
      </c>
      <c r="I1082" s="5" t="s">
        <v>2211</v>
      </c>
    </row>
    <row r="1083" spans="1:9" x14ac:dyDescent="0.25">
      <c r="A1083" s="6">
        <v>45995.791666666657</v>
      </c>
      <c r="B1083" s="5" t="s">
        <v>14</v>
      </c>
      <c r="C1083" s="8">
        <v>185.24903635789721</v>
      </c>
      <c r="D1083" s="8">
        <v>185.36760723815169</v>
      </c>
      <c r="E1083" s="8">
        <v>185.23748231696709</v>
      </c>
      <c r="F1083" s="8">
        <v>185.29212306075229</v>
      </c>
      <c r="G1083" s="7">
        <v>119009</v>
      </c>
      <c r="H1083" s="9">
        <v>22051430.27333707</v>
      </c>
      <c r="I1083" s="5" t="s">
        <v>2212</v>
      </c>
    </row>
    <row r="1084" spans="1:9" x14ac:dyDescent="0.25">
      <c r="A1084" s="6">
        <v>45995.795138888891</v>
      </c>
      <c r="B1084" s="5" t="s">
        <v>14</v>
      </c>
      <c r="C1084" s="8">
        <v>184.8007161281399</v>
      </c>
      <c r="D1084" s="8">
        <v>184.92302590657749</v>
      </c>
      <c r="E1084" s="8">
        <v>184.74316437939689</v>
      </c>
      <c r="F1084" s="8">
        <v>184.8672632305281</v>
      </c>
      <c r="G1084" s="7">
        <v>52855</v>
      </c>
      <c r="H1084" s="9">
        <v>9771159.1980495639</v>
      </c>
      <c r="I1084" s="5" t="s">
        <v>2213</v>
      </c>
    </row>
    <row r="1085" spans="1:9" x14ac:dyDescent="0.25">
      <c r="A1085" s="6">
        <v>45995.798611111109</v>
      </c>
      <c r="B1085" s="5" t="s">
        <v>14</v>
      </c>
      <c r="C1085" s="8">
        <v>184.77322807327121</v>
      </c>
      <c r="D1085" s="8">
        <v>184.81943663482841</v>
      </c>
      <c r="E1085" s="8">
        <v>184.7234479364059</v>
      </c>
      <c r="F1085" s="8">
        <v>184.7500013761028</v>
      </c>
      <c r="G1085" s="7">
        <v>81629</v>
      </c>
      <c r="H1085" s="9">
        <v>15080957.862329889</v>
      </c>
      <c r="I1085" s="5" t="s">
        <v>2214</v>
      </c>
    </row>
    <row r="1086" spans="1:9" x14ac:dyDescent="0.25">
      <c r="A1086" s="6">
        <v>45995.802083333343</v>
      </c>
      <c r="B1086" s="5" t="s">
        <v>14</v>
      </c>
      <c r="C1086" s="8">
        <v>184.8255356460707</v>
      </c>
      <c r="D1086" s="8">
        <v>184.99122199652419</v>
      </c>
      <c r="E1086" s="8">
        <v>184.7769623897444</v>
      </c>
      <c r="F1086" s="8">
        <v>184.9106168905985</v>
      </c>
      <c r="G1086" s="7">
        <v>56377</v>
      </c>
      <c r="H1086" s="9">
        <v>10424705.848441269</v>
      </c>
      <c r="I1086" s="5" t="s">
        <v>2215</v>
      </c>
    </row>
    <row r="1087" spans="1:9" x14ac:dyDescent="0.25">
      <c r="A1087" s="6">
        <v>45995.805555555547</v>
      </c>
      <c r="B1087" s="5" t="s">
        <v>14</v>
      </c>
      <c r="C1087" s="8">
        <v>184.81814404015611</v>
      </c>
      <c r="D1087" s="8">
        <v>184.82817076328081</v>
      </c>
      <c r="E1087" s="8">
        <v>184.73471892853229</v>
      </c>
      <c r="F1087" s="8">
        <v>184.78489735207989</v>
      </c>
      <c r="G1087" s="7">
        <v>81726</v>
      </c>
      <c r="H1087" s="9">
        <v>15101730.520996081</v>
      </c>
      <c r="I1087" s="5" t="s">
        <v>2216</v>
      </c>
    </row>
    <row r="1088" spans="1:9" x14ac:dyDescent="0.25">
      <c r="A1088" s="6">
        <v>45995.809027777781</v>
      </c>
      <c r="B1088" s="5" t="s">
        <v>14</v>
      </c>
      <c r="C1088" s="8">
        <v>184.7806963071146</v>
      </c>
      <c r="D1088" s="8">
        <v>184.801304012267</v>
      </c>
      <c r="E1088" s="8">
        <v>184.69446914216189</v>
      </c>
      <c r="F1088" s="8">
        <v>184.72443685454101</v>
      </c>
      <c r="G1088" s="7">
        <v>85524</v>
      </c>
      <c r="H1088" s="9">
        <v>15798372.73754777</v>
      </c>
      <c r="I1088" s="5" t="s">
        <v>2217</v>
      </c>
    </row>
    <row r="1089" spans="1:9" x14ac:dyDescent="0.25">
      <c r="A1089" s="6">
        <v>45995.8125</v>
      </c>
      <c r="B1089" s="5" t="s">
        <v>14</v>
      </c>
      <c r="C1089" s="8">
        <v>184.37375535164961</v>
      </c>
      <c r="D1089" s="8">
        <v>184.58669897460561</v>
      </c>
      <c r="E1089" s="8">
        <v>184.2793722582478</v>
      </c>
      <c r="F1089" s="8">
        <v>184.46310806242181</v>
      </c>
      <c r="G1089" s="7">
        <v>62630</v>
      </c>
      <c r="H1089" s="9">
        <v>11552924.45794948</v>
      </c>
      <c r="I1089" s="5" t="s">
        <v>2218</v>
      </c>
    </row>
    <row r="1090" spans="1:9" x14ac:dyDescent="0.25">
      <c r="A1090" s="6">
        <v>45995.815972222219</v>
      </c>
      <c r="B1090" s="5" t="s">
        <v>14</v>
      </c>
      <c r="C1090" s="8">
        <v>184.31828906673931</v>
      </c>
      <c r="D1090" s="8">
        <v>184.55786139585871</v>
      </c>
      <c r="E1090" s="8">
        <v>184.28545279389741</v>
      </c>
      <c r="F1090" s="8">
        <v>184.37424732251469</v>
      </c>
      <c r="G1090" s="7">
        <v>59541</v>
      </c>
      <c r="H1090" s="9">
        <v>10977827.05982985</v>
      </c>
      <c r="I1090" s="5" t="s">
        <v>2219</v>
      </c>
    </row>
    <row r="1091" spans="1:9" x14ac:dyDescent="0.25">
      <c r="A1091" s="6">
        <v>45995.819444444453</v>
      </c>
      <c r="B1091" s="5" t="s">
        <v>14</v>
      </c>
      <c r="C1091" s="8">
        <v>184.48757088438271</v>
      </c>
      <c r="D1091" s="8">
        <v>184.51919504492221</v>
      </c>
      <c r="E1091" s="8">
        <v>184.29024030222291</v>
      </c>
      <c r="F1091" s="8">
        <v>184.43772380207361</v>
      </c>
      <c r="G1091" s="7">
        <v>52192</v>
      </c>
      <c r="H1091" s="9">
        <v>9626173.6806778274</v>
      </c>
      <c r="I1091" s="5" t="s">
        <v>2220</v>
      </c>
    </row>
    <row r="1092" spans="1:9" x14ac:dyDescent="0.25">
      <c r="A1092" s="6">
        <v>45995.822916666657</v>
      </c>
      <c r="B1092" s="5" t="s">
        <v>14</v>
      </c>
      <c r="C1092" s="8">
        <v>184.70682316247519</v>
      </c>
      <c r="D1092" s="8">
        <v>184.76440543798969</v>
      </c>
      <c r="E1092" s="8">
        <v>184.66310225826831</v>
      </c>
      <c r="F1092" s="8">
        <v>184.68328084834269</v>
      </c>
      <c r="G1092" s="7">
        <v>126100</v>
      </c>
      <c r="H1092" s="9">
        <v>23288561.71497602</v>
      </c>
      <c r="I1092" s="5" t="s">
        <v>2221</v>
      </c>
    </row>
    <row r="1093" spans="1:9" x14ac:dyDescent="0.25">
      <c r="A1093" s="6">
        <v>45995.826388888891</v>
      </c>
      <c r="B1093" s="5" t="s">
        <v>14</v>
      </c>
      <c r="C1093" s="8">
        <v>184.44779738293329</v>
      </c>
      <c r="D1093" s="8">
        <v>184.52549441341799</v>
      </c>
      <c r="E1093" s="8">
        <v>184.42898980489389</v>
      </c>
      <c r="F1093" s="8">
        <v>184.48021408792249</v>
      </c>
      <c r="G1093" s="7">
        <v>61246</v>
      </c>
      <c r="H1093" s="9">
        <v>11298675.192028901</v>
      </c>
      <c r="I1093" s="5" t="s">
        <v>2222</v>
      </c>
    </row>
    <row r="1094" spans="1:9" x14ac:dyDescent="0.25">
      <c r="A1094" s="6">
        <v>45995.829861111109</v>
      </c>
      <c r="B1094" s="5" t="s">
        <v>14</v>
      </c>
      <c r="C1094" s="8">
        <v>184.77295445650739</v>
      </c>
      <c r="D1094" s="8">
        <v>184.85590041144721</v>
      </c>
      <c r="E1094" s="8">
        <v>184.71828163182349</v>
      </c>
      <c r="F1094" s="8">
        <v>184.7838548404531</v>
      </c>
      <c r="G1094" s="7">
        <v>40953</v>
      </c>
      <c r="H1094" s="9">
        <v>7567453.2072810773</v>
      </c>
      <c r="I1094" s="5" t="s">
        <v>2223</v>
      </c>
    </row>
    <row r="1095" spans="1:9" x14ac:dyDescent="0.25">
      <c r="A1095" s="6">
        <v>45995.833333333343</v>
      </c>
      <c r="B1095" s="5" t="s">
        <v>14</v>
      </c>
      <c r="C1095" s="8">
        <v>184.745769608437</v>
      </c>
      <c r="D1095" s="8">
        <v>184.8322005149189</v>
      </c>
      <c r="E1095" s="8">
        <v>184.6030841564893</v>
      </c>
      <c r="F1095" s="8">
        <v>184.75916294713781</v>
      </c>
      <c r="G1095" s="7">
        <v>51275</v>
      </c>
      <c r="H1095" s="9">
        <v>9473526.0801144931</v>
      </c>
      <c r="I1095" s="5" t="s">
        <v>2224</v>
      </c>
    </row>
    <row r="1096" spans="1:9" x14ac:dyDescent="0.25">
      <c r="A1096" s="6">
        <v>45995.836805555547</v>
      </c>
      <c r="B1096" s="5" t="s">
        <v>14</v>
      </c>
      <c r="C1096" s="8">
        <v>184.88037994345501</v>
      </c>
      <c r="D1096" s="8">
        <v>185.1245829052389</v>
      </c>
      <c r="E1096" s="8">
        <v>184.72091361993779</v>
      </c>
      <c r="F1096" s="8">
        <v>184.9355423489377</v>
      </c>
      <c r="G1096" s="7">
        <v>50221</v>
      </c>
      <c r="H1096" s="9">
        <v>9287647.8723060004</v>
      </c>
      <c r="I1096" s="5" t="s">
        <v>2225</v>
      </c>
    </row>
    <row r="1097" spans="1:9" x14ac:dyDescent="0.25">
      <c r="A1097" s="6">
        <v>45995.840277777781</v>
      </c>
      <c r="B1097" s="5" t="s">
        <v>14</v>
      </c>
      <c r="C1097" s="8">
        <v>184.95418539029069</v>
      </c>
      <c r="D1097" s="8">
        <v>185.097971433749</v>
      </c>
      <c r="E1097" s="8">
        <v>184.87929970409081</v>
      </c>
      <c r="F1097" s="8">
        <v>184.97489202665889</v>
      </c>
      <c r="G1097" s="7">
        <v>42407</v>
      </c>
      <c r="H1097" s="9">
        <v>7844230.2461745245</v>
      </c>
      <c r="I1097" s="5" t="s">
        <v>2226</v>
      </c>
    </row>
    <row r="1098" spans="1:9" x14ac:dyDescent="0.25">
      <c r="A1098" s="6">
        <v>45995.84375</v>
      </c>
      <c r="B1098" s="5" t="s">
        <v>14</v>
      </c>
      <c r="C1098" s="8">
        <v>185.04960811251729</v>
      </c>
      <c r="D1098" s="8">
        <v>185.2397362129006</v>
      </c>
      <c r="E1098" s="8">
        <v>184.96163820305651</v>
      </c>
      <c r="F1098" s="8">
        <v>185.12914804293899</v>
      </c>
      <c r="G1098" s="7">
        <v>71193</v>
      </c>
      <c r="H1098" s="9">
        <v>13179899.43662096</v>
      </c>
      <c r="I1098" s="5" t="s">
        <v>2227</v>
      </c>
    </row>
    <row r="1099" spans="1:9" x14ac:dyDescent="0.25">
      <c r="A1099" s="6">
        <v>45995.847222222219</v>
      </c>
      <c r="B1099" s="5" t="s">
        <v>14</v>
      </c>
      <c r="C1099" s="8">
        <v>185.28457859652991</v>
      </c>
      <c r="D1099" s="8">
        <v>185.30408838798661</v>
      </c>
      <c r="E1099" s="8">
        <v>185.16147562223</v>
      </c>
      <c r="F1099" s="8">
        <v>185.29642722554459</v>
      </c>
      <c r="G1099" s="7">
        <v>41770</v>
      </c>
      <c r="H1099" s="9">
        <v>7739831.7652109964</v>
      </c>
      <c r="I1099" s="5" t="s">
        <v>2228</v>
      </c>
    </row>
    <row r="1100" spans="1:9" x14ac:dyDescent="0.25">
      <c r="A1100" s="6">
        <v>45995.850694444453</v>
      </c>
      <c r="B1100" s="5" t="s">
        <v>14</v>
      </c>
      <c r="C1100" s="8">
        <v>185.2368670961329</v>
      </c>
      <c r="D1100" s="8">
        <v>185.276718813689</v>
      </c>
      <c r="E1100" s="8">
        <v>185.20439558441109</v>
      </c>
      <c r="F1100" s="8">
        <v>185.24971085888541</v>
      </c>
      <c r="G1100" s="7">
        <v>25860</v>
      </c>
      <c r="H1100" s="9">
        <v>4790557.5228107749</v>
      </c>
      <c r="I1100" s="5" t="s">
        <v>2229</v>
      </c>
    </row>
    <row r="1101" spans="1:9" x14ac:dyDescent="0.25">
      <c r="A1101" s="6">
        <v>45995.854166666657</v>
      </c>
      <c r="B1101" s="5" t="s">
        <v>14</v>
      </c>
      <c r="C1101" s="8">
        <v>185.25583217939689</v>
      </c>
      <c r="D1101" s="8">
        <v>185.3865653197069</v>
      </c>
      <c r="E1101" s="8">
        <v>185.16059265981789</v>
      </c>
      <c r="F1101" s="8">
        <v>185.24248945804609</v>
      </c>
      <c r="G1101" s="7">
        <v>48361</v>
      </c>
      <c r="H1101" s="9">
        <v>8958512.0326805674</v>
      </c>
      <c r="I1101" s="5" t="s">
        <v>2230</v>
      </c>
    </row>
    <row r="1102" spans="1:9" x14ac:dyDescent="0.25">
      <c r="A1102" s="6">
        <v>45995.857638888891</v>
      </c>
      <c r="B1102" s="5" t="s">
        <v>14</v>
      </c>
      <c r="C1102" s="8">
        <v>185.14002683720179</v>
      </c>
      <c r="D1102" s="8">
        <v>185.23561020321469</v>
      </c>
      <c r="E1102" s="8">
        <v>185.0701109634785</v>
      </c>
      <c r="F1102" s="8">
        <v>185.19254565903739</v>
      </c>
      <c r="G1102" s="7">
        <v>85684</v>
      </c>
      <c r="H1102" s="9">
        <v>15868038.08224896</v>
      </c>
      <c r="I1102" s="5" t="s">
        <v>2231</v>
      </c>
    </row>
    <row r="1103" spans="1:9" x14ac:dyDescent="0.25">
      <c r="A1103" s="6">
        <v>45995.861111111109</v>
      </c>
      <c r="B1103" s="5" t="s">
        <v>14</v>
      </c>
      <c r="C1103" s="8">
        <v>185.27819187575579</v>
      </c>
      <c r="D1103" s="8">
        <v>185.32272105979661</v>
      </c>
      <c r="E1103" s="8">
        <v>185.22690304608159</v>
      </c>
      <c r="F1103" s="8">
        <v>185.2480071185779</v>
      </c>
      <c r="G1103" s="7">
        <v>70365</v>
      </c>
      <c r="H1103" s="9">
        <v>13034976.020898741</v>
      </c>
      <c r="I1103" s="5" t="s">
        <v>2232</v>
      </c>
    </row>
    <row r="1104" spans="1:9" x14ac:dyDescent="0.25">
      <c r="A1104" s="6">
        <v>45995.864583333343</v>
      </c>
      <c r="B1104" s="5" t="s">
        <v>14</v>
      </c>
      <c r="C1104" s="8">
        <v>185.13872193386251</v>
      </c>
      <c r="D1104" s="8">
        <v>185.22895674187109</v>
      </c>
      <c r="E1104" s="8">
        <v>185.04619091013799</v>
      </c>
      <c r="F1104" s="8">
        <v>185.1126849438966</v>
      </c>
      <c r="G1104" s="7">
        <v>59078</v>
      </c>
      <c r="H1104" s="9">
        <v>10936087.201115521</v>
      </c>
      <c r="I1104" s="5" t="s">
        <v>2233</v>
      </c>
    </row>
    <row r="1105" spans="1:9" x14ac:dyDescent="0.25">
      <c r="A1105" s="6">
        <v>45995.868055555547</v>
      </c>
      <c r="B1105" s="5" t="s">
        <v>14</v>
      </c>
      <c r="C1105" s="8">
        <v>185.05626102417</v>
      </c>
      <c r="D1105" s="8">
        <v>185.10132688699539</v>
      </c>
      <c r="E1105" s="8">
        <v>184.85374733637661</v>
      </c>
      <c r="F1105" s="8">
        <v>184.96858996566201</v>
      </c>
      <c r="G1105" s="7">
        <v>55102</v>
      </c>
      <c r="H1105" s="9">
        <v>10192139.24428791</v>
      </c>
      <c r="I1105" s="5" t="s">
        <v>2234</v>
      </c>
    </row>
    <row r="1106" spans="1:9" x14ac:dyDescent="0.25">
      <c r="A1106" s="6">
        <v>45995.871527777781</v>
      </c>
      <c r="B1106" s="5" t="s">
        <v>14</v>
      </c>
      <c r="C1106" s="8">
        <v>184.81664960916839</v>
      </c>
      <c r="D1106" s="8">
        <v>184.9700441062746</v>
      </c>
      <c r="E1106" s="8">
        <v>184.6430079112196</v>
      </c>
      <c r="F1106" s="8">
        <v>184.82287481124641</v>
      </c>
      <c r="G1106" s="7">
        <v>77714</v>
      </c>
      <c r="H1106" s="9">
        <v>14363324.893081199</v>
      </c>
      <c r="I1106" s="5" t="s">
        <v>2235</v>
      </c>
    </row>
    <row r="1107" spans="1:9" x14ac:dyDescent="0.25">
      <c r="A1107" s="6">
        <v>45995.875</v>
      </c>
      <c r="B1107" s="5" t="s">
        <v>14</v>
      </c>
      <c r="C1107" s="8">
        <v>184.83974868138</v>
      </c>
      <c r="D1107" s="8">
        <v>184.95598318870111</v>
      </c>
      <c r="E1107" s="8">
        <v>184.7071846232306</v>
      </c>
      <c r="F1107" s="8">
        <v>184.8184635987094</v>
      </c>
      <c r="G1107" s="7">
        <v>80894</v>
      </c>
      <c r="H1107" s="9">
        <v>14950704.794353999</v>
      </c>
      <c r="I1107" s="5" t="s">
        <v>2236</v>
      </c>
    </row>
    <row r="1108" spans="1:9" x14ac:dyDescent="0.25">
      <c r="A1108" s="6">
        <v>45996.604166666657</v>
      </c>
      <c r="B1108" s="5" t="s">
        <v>14</v>
      </c>
      <c r="C1108" s="8">
        <v>184.70021287020029</v>
      </c>
      <c r="D1108" s="8">
        <v>184.7794353453709</v>
      </c>
      <c r="E1108" s="8">
        <v>184.65484833779959</v>
      </c>
      <c r="F1108" s="8">
        <v>184.68590061515999</v>
      </c>
      <c r="G1108" s="7">
        <v>62079</v>
      </c>
      <c r="H1108" s="9">
        <v>11465116.02428852</v>
      </c>
      <c r="I1108" s="5" t="s">
        <v>2237</v>
      </c>
    </row>
    <row r="1109" spans="1:9" x14ac:dyDescent="0.25">
      <c r="A1109" s="6">
        <v>45996.607638888891</v>
      </c>
      <c r="B1109" s="5" t="s">
        <v>14</v>
      </c>
      <c r="C1109" s="8">
        <v>184.87504265824609</v>
      </c>
      <c r="D1109" s="8">
        <v>184.93231668821781</v>
      </c>
      <c r="E1109" s="8">
        <v>184.77652417537561</v>
      </c>
      <c r="F1109" s="8">
        <v>184.89602772172159</v>
      </c>
      <c r="G1109" s="7">
        <v>64093</v>
      </c>
      <c r="H1109" s="9">
        <v>11850541.1047683</v>
      </c>
      <c r="I1109" s="5" t="s">
        <v>2238</v>
      </c>
    </row>
    <row r="1110" spans="1:9" x14ac:dyDescent="0.25">
      <c r="A1110" s="6">
        <v>45996.611111111109</v>
      </c>
      <c r="B1110" s="5" t="s">
        <v>14</v>
      </c>
      <c r="C1110" s="8">
        <v>185.01508603063931</v>
      </c>
      <c r="D1110" s="8">
        <v>185.22435001207171</v>
      </c>
      <c r="E1110" s="8">
        <v>184.96606161537949</v>
      </c>
      <c r="F1110" s="8">
        <v>185.02018810454271</v>
      </c>
      <c r="G1110" s="7">
        <v>74545</v>
      </c>
      <c r="H1110" s="9">
        <v>13792329.922253139</v>
      </c>
      <c r="I1110" s="5" t="s">
        <v>2239</v>
      </c>
    </row>
    <row r="1111" spans="1:9" x14ac:dyDescent="0.25">
      <c r="A1111" s="6">
        <v>45996.614583333343</v>
      </c>
      <c r="B1111" s="5" t="s">
        <v>14</v>
      </c>
      <c r="C1111" s="8">
        <v>184.8727450882748</v>
      </c>
      <c r="D1111" s="8">
        <v>184.88918249955279</v>
      </c>
      <c r="E1111" s="8">
        <v>184.79131547266479</v>
      </c>
      <c r="F1111" s="8">
        <v>184.8843936168451</v>
      </c>
      <c r="G1111" s="7">
        <v>65867</v>
      </c>
      <c r="H1111" s="9">
        <v>12177780.354360741</v>
      </c>
      <c r="I1111" s="5" t="s">
        <v>2240</v>
      </c>
    </row>
    <row r="1112" spans="1:9" x14ac:dyDescent="0.25">
      <c r="A1112" s="6">
        <v>45996.618055555547</v>
      </c>
      <c r="B1112" s="5" t="s">
        <v>14</v>
      </c>
      <c r="C1112" s="8">
        <v>184.83874796734881</v>
      </c>
      <c r="D1112" s="8">
        <v>185.19495873496501</v>
      </c>
      <c r="E1112" s="8">
        <v>184.74034518118239</v>
      </c>
      <c r="F1112" s="8">
        <v>184.9002818323842</v>
      </c>
      <c r="G1112" s="7">
        <v>96968</v>
      </c>
      <c r="H1112" s="9">
        <v>17929410.528722629</v>
      </c>
      <c r="I1112" s="5" t="s">
        <v>2241</v>
      </c>
    </row>
    <row r="1113" spans="1:9" x14ac:dyDescent="0.25">
      <c r="A1113" s="6">
        <v>45996.621527777781</v>
      </c>
      <c r="B1113" s="5" t="s">
        <v>14</v>
      </c>
      <c r="C1113" s="8">
        <v>185.07860600898209</v>
      </c>
      <c r="D1113" s="8">
        <v>185.20995148363289</v>
      </c>
      <c r="E1113" s="8">
        <v>184.9221168250516</v>
      </c>
      <c r="F1113" s="8">
        <v>185.09533319580899</v>
      </c>
      <c r="G1113" s="7">
        <v>76089</v>
      </c>
      <c r="H1113" s="9">
        <v>14083718.807535909</v>
      </c>
      <c r="I1113" s="5" t="s">
        <v>2242</v>
      </c>
    </row>
    <row r="1114" spans="1:9" x14ac:dyDescent="0.25">
      <c r="A1114" s="6">
        <v>45996.625</v>
      </c>
      <c r="B1114" s="5" t="s">
        <v>14</v>
      </c>
      <c r="C1114" s="8">
        <v>185.39791764840001</v>
      </c>
      <c r="D1114" s="8">
        <v>185.4462866916991</v>
      </c>
      <c r="E1114" s="8">
        <v>185.28771792630349</v>
      </c>
      <c r="F1114" s="8">
        <v>185.29766490135319</v>
      </c>
      <c r="G1114" s="7">
        <v>46327</v>
      </c>
      <c r="H1114" s="9">
        <v>8584284.9218849912</v>
      </c>
      <c r="I1114" s="5" t="s">
        <v>2243</v>
      </c>
    </row>
    <row r="1115" spans="1:9" x14ac:dyDescent="0.25">
      <c r="A1115" s="6">
        <v>45996.628472222219</v>
      </c>
      <c r="B1115" s="5" t="s">
        <v>14</v>
      </c>
      <c r="C1115" s="8">
        <v>185.2685424365871</v>
      </c>
      <c r="D1115" s="8">
        <v>185.43770482318581</v>
      </c>
      <c r="E1115" s="8">
        <v>185.24524554595081</v>
      </c>
      <c r="F1115" s="8">
        <v>185.32174543093871</v>
      </c>
      <c r="G1115" s="7">
        <v>102553</v>
      </c>
      <c r="H1115" s="9">
        <v>19005300.959179059</v>
      </c>
      <c r="I1115" s="5" t="s">
        <v>2244</v>
      </c>
    </row>
    <row r="1116" spans="1:9" x14ac:dyDescent="0.25">
      <c r="A1116" s="6">
        <v>45996.631944444453</v>
      </c>
      <c r="B1116" s="5" t="s">
        <v>14</v>
      </c>
      <c r="C1116" s="8">
        <v>185.29112160957811</v>
      </c>
      <c r="D1116" s="8">
        <v>185.37512187853989</v>
      </c>
      <c r="E1116" s="8">
        <v>185.17170053968869</v>
      </c>
      <c r="F1116" s="8">
        <v>185.26707847972719</v>
      </c>
      <c r="G1116" s="7">
        <v>45307</v>
      </c>
      <c r="H1116" s="9">
        <v>8393895.5246810019</v>
      </c>
      <c r="I1116" s="5" t="s">
        <v>2245</v>
      </c>
    </row>
    <row r="1117" spans="1:9" x14ac:dyDescent="0.25">
      <c r="A1117" s="6">
        <v>45996.635416666657</v>
      </c>
      <c r="B1117" s="5" t="s">
        <v>14</v>
      </c>
      <c r="C1117" s="8">
        <v>185.50865143177359</v>
      </c>
      <c r="D1117" s="8">
        <v>185.70720294975669</v>
      </c>
      <c r="E1117" s="8">
        <v>185.32954682266219</v>
      </c>
      <c r="F1117" s="8">
        <v>185.47868755021909</v>
      </c>
      <c r="G1117" s="7">
        <v>65068</v>
      </c>
      <c r="H1117" s="9">
        <v>12068727.241517659</v>
      </c>
      <c r="I1117" s="5" t="s">
        <v>2246</v>
      </c>
    </row>
    <row r="1118" spans="1:9" x14ac:dyDescent="0.25">
      <c r="A1118" s="6">
        <v>45996.638888888891</v>
      </c>
      <c r="B1118" s="5" t="s">
        <v>14</v>
      </c>
      <c r="C1118" s="8">
        <v>185.57850644204439</v>
      </c>
      <c r="D1118" s="8">
        <v>185.67379616788199</v>
      </c>
      <c r="E1118" s="8">
        <v>185.4480386458535</v>
      </c>
      <c r="F1118" s="8">
        <v>185.47013072200161</v>
      </c>
      <c r="G1118" s="7">
        <v>59938</v>
      </c>
      <c r="H1118" s="9">
        <v>11116708.69521533</v>
      </c>
      <c r="I1118" s="5" t="s">
        <v>2247</v>
      </c>
    </row>
    <row r="1119" spans="1:9" x14ac:dyDescent="0.25">
      <c r="A1119" s="6">
        <v>45996.642361111109</v>
      </c>
      <c r="B1119" s="5" t="s">
        <v>14</v>
      </c>
      <c r="C1119" s="8">
        <v>185.60242981192471</v>
      </c>
      <c r="D1119" s="8">
        <v>185.6113497516796</v>
      </c>
      <c r="E1119" s="8">
        <v>185.33658681591169</v>
      </c>
      <c r="F1119" s="8">
        <v>185.50866636584081</v>
      </c>
      <c r="G1119" s="7">
        <v>102672</v>
      </c>
      <c r="H1119" s="9">
        <v>19046545.793113612</v>
      </c>
      <c r="I1119" s="5" t="s">
        <v>2248</v>
      </c>
    </row>
    <row r="1120" spans="1:9" x14ac:dyDescent="0.25">
      <c r="A1120" s="6">
        <v>45996.645833333343</v>
      </c>
      <c r="B1120" s="5" t="s">
        <v>14</v>
      </c>
      <c r="C1120" s="8">
        <v>185.498532133948</v>
      </c>
      <c r="D1120" s="8">
        <v>185.6506630993851</v>
      </c>
      <c r="E1120" s="8">
        <v>185.4657447266994</v>
      </c>
      <c r="F1120" s="8">
        <v>185.57893415836079</v>
      </c>
      <c r="G1120" s="7">
        <v>62720</v>
      </c>
      <c r="H1120" s="9">
        <v>11639510.75041239</v>
      </c>
      <c r="I1120" s="5" t="s">
        <v>2249</v>
      </c>
    </row>
    <row r="1121" spans="1:9" x14ac:dyDescent="0.25">
      <c r="A1121" s="6">
        <v>45996.649305555547</v>
      </c>
      <c r="B1121" s="5" t="s">
        <v>14</v>
      </c>
      <c r="C1121" s="8">
        <v>185.69862854873381</v>
      </c>
      <c r="D1121" s="8">
        <v>185.76707083548749</v>
      </c>
      <c r="E1121" s="8">
        <v>185.59398889100081</v>
      </c>
      <c r="F1121" s="8">
        <v>185.71119941836309</v>
      </c>
      <c r="G1121" s="7">
        <v>56726</v>
      </c>
      <c r="H1121" s="9">
        <v>10534653.49820606</v>
      </c>
      <c r="I1121" s="5" t="s">
        <v>2250</v>
      </c>
    </row>
    <row r="1122" spans="1:9" x14ac:dyDescent="0.25">
      <c r="A1122" s="6">
        <v>45996.652777777781</v>
      </c>
      <c r="B1122" s="5" t="s">
        <v>14</v>
      </c>
      <c r="C1122" s="8">
        <v>185.75034637672081</v>
      </c>
      <c r="D1122" s="8">
        <v>185.9845409951408</v>
      </c>
      <c r="E1122" s="8">
        <v>185.628823307277</v>
      </c>
      <c r="F1122" s="8">
        <v>185.72454052524321</v>
      </c>
      <c r="G1122" s="7">
        <v>70629</v>
      </c>
      <c r="H1122" s="9">
        <v>13117538.572757401</v>
      </c>
      <c r="I1122" s="5" t="s">
        <v>2251</v>
      </c>
    </row>
    <row r="1123" spans="1:9" x14ac:dyDescent="0.25">
      <c r="A1123" s="6">
        <v>45996.65625</v>
      </c>
      <c r="B1123" s="5" t="s">
        <v>14</v>
      </c>
      <c r="C1123" s="8">
        <v>186.05124783717139</v>
      </c>
      <c r="D1123" s="8">
        <v>186.29929629931871</v>
      </c>
      <c r="E1123" s="8">
        <v>185.7909665572561</v>
      </c>
      <c r="F1123" s="8">
        <v>186.00141819376029</v>
      </c>
      <c r="G1123" s="7">
        <v>72766</v>
      </c>
      <c r="H1123" s="9">
        <v>13534579.196287161</v>
      </c>
      <c r="I1123" s="5" t="s">
        <v>2252</v>
      </c>
    </row>
    <row r="1124" spans="1:9" x14ac:dyDescent="0.25">
      <c r="A1124" s="6">
        <v>45996.659722222219</v>
      </c>
      <c r="B1124" s="5" t="s">
        <v>14</v>
      </c>
      <c r="C1124" s="8">
        <v>186.01298626303239</v>
      </c>
      <c r="D1124" s="8">
        <v>186.22897123743871</v>
      </c>
      <c r="E1124" s="8">
        <v>185.89423583275831</v>
      </c>
      <c r="F1124" s="8">
        <v>186.00929094259291</v>
      </c>
      <c r="G1124" s="7">
        <v>90648</v>
      </c>
      <c r="H1124" s="9">
        <v>16861370.20536416</v>
      </c>
      <c r="I1124" s="5" t="s">
        <v>2253</v>
      </c>
    </row>
    <row r="1125" spans="1:9" x14ac:dyDescent="0.25">
      <c r="A1125" s="6">
        <v>45996.663194444453</v>
      </c>
      <c r="B1125" s="5" t="s">
        <v>14</v>
      </c>
      <c r="C1125" s="8">
        <v>185.99625278774869</v>
      </c>
      <c r="D1125" s="8">
        <v>186.25544430480801</v>
      </c>
      <c r="E1125" s="8">
        <v>185.86858369553889</v>
      </c>
      <c r="F1125" s="8">
        <v>186.0281982751419</v>
      </c>
      <c r="G1125" s="7">
        <v>100951</v>
      </c>
      <c r="H1125" s="9">
        <v>18779732.644073851</v>
      </c>
      <c r="I1125" s="5" t="s">
        <v>2254</v>
      </c>
    </row>
    <row r="1126" spans="1:9" x14ac:dyDescent="0.25">
      <c r="A1126" s="6">
        <v>45996.666666666657</v>
      </c>
      <c r="B1126" s="5" t="s">
        <v>14</v>
      </c>
      <c r="C1126" s="8">
        <v>186.08802219595751</v>
      </c>
      <c r="D1126" s="8">
        <v>186.15213177584289</v>
      </c>
      <c r="E1126" s="8">
        <v>186.02719360840791</v>
      </c>
      <c r="F1126" s="8">
        <v>186.04382360259891</v>
      </c>
      <c r="G1126" s="7">
        <v>79951</v>
      </c>
      <c r="H1126" s="9">
        <v>14874389.740851389</v>
      </c>
      <c r="I1126" s="5" t="s">
        <v>2255</v>
      </c>
    </row>
    <row r="1127" spans="1:9" x14ac:dyDescent="0.25">
      <c r="A1127" s="6">
        <v>45996.670138888891</v>
      </c>
      <c r="B1127" s="5" t="s">
        <v>14</v>
      </c>
      <c r="C1127" s="8">
        <v>186.08679638580199</v>
      </c>
      <c r="D1127" s="8">
        <v>186.131088204593</v>
      </c>
      <c r="E1127" s="8">
        <v>186.0078123221094</v>
      </c>
      <c r="F1127" s="8">
        <v>186.09661577296191</v>
      </c>
      <c r="G1127" s="7">
        <v>66154</v>
      </c>
      <c r="H1127" s="9">
        <v>12311035.519844521</v>
      </c>
      <c r="I1127" s="5" t="s">
        <v>2256</v>
      </c>
    </row>
    <row r="1128" spans="1:9" x14ac:dyDescent="0.25">
      <c r="A1128" s="6">
        <v>45996.673611111109</v>
      </c>
      <c r="B1128" s="5" t="s">
        <v>14</v>
      </c>
      <c r="C1128" s="8">
        <v>186.1276335192226</v>
      </c>
      <c r="D1128" s="8">
        <v>186.16103150494669</v>
      </c>
      <c r="E1128" s="8">
        <v>185.9679048532783</v>
      </c>
      <c r="F1128" s="8">
        <v>186.0667464032102</v>
      </c>
      <c r="G1128" s="7">
        <v>31669</v>
      </c>
      <c r="H1128" s="9">
        <v>5892547.7918432644</v>
      </c>
      <c r="I1128" s="5" t="s">
        <v>2257</v>
      </c>
    </row>
    <row r="1129" spans="1:9" x14ac:dyDescent="0.25">
      <c r="A1129" s="6">
        <v>45996.677083333343</v>
      </c>
      <c r="B1129" s="5" t="s">
        <v>14</v>
      </c>
      <c r="C1129" s="8">
        <v>186.3286099641945</v>
      </c>
      <c r="D1129" s="8">
        <v>186.3318802869334</v>
      </c>
      <c r="E1129" s="8">
        <v>185.95004253226281</v>
      </c>
      <c r="F1129" s="8">
        <v>186.19191941303089</v>
      </c>
      <c r="G1129" s="7">
        <v>82513</v>
      </c>
      <c r="H1129" s="9">
        <v>15363253.84652742</v>
      </c>
      <c r="I1129" s="5" t="s">
        <v>2258</v>
      </c>
    </row>
    <row r="1130" spans="1:9" x14ac:dyDescent="0.25">
      <c r="A1130" s="6">
        <v>45996.680555555547</v>
      </c>
      <c r="B1130" s="5" t="s">
        <v>14</v>
      </c>
      <c r="C1130" s="8">
        <v>186.1212962769321</v>
      </c>
      <c r="D1130" s="8">
        <v>186.16169773549629</v>
      </c>
      <c r="E1130" s="8">
        <v>186.00450174241999</v>
      </c>
      <c r="F1130" s="8">
        <v>186.0830556598417</v>
      </c>
      <c r="G1130" s="7">
        <v>62524</v>
      </c>
      <c r="H1130" s="9">
        <v>11634656.972075939</v>
      </c>
      <c r="I1130" s="5" t="s">
        <v>2259</v>
      </c>
    </row>
    <row r="1131" spans="1:9" x14ac:dyDescent="0.25">
      <c r="A1131" s="6">
        <v>45996.684027777781</v>
      </c>
      <c r="B1131" s="5" t="s">
        <v>14</v>
      </c>
      <c r="C1131" s="8">
        <v>186.09791773331821</v>
      </c>
      <c r="D1131" s="8">
        <v>186.12915700782551</v>
      </c>
      <c r="E1131" s="8">
        <v>185.91050273401669</v>
      </c>
      <c r="F1131" s="8">
        <v>186.039191370309</v>
      </c>
      <c r="G1131" s="7">
        <v>48841</v>
      </c>
      <c r="H1131" s="9">
        <v>9086340.1457172595</v>
      </c>
      <c r="I1131" s="5" t="s">
        <v>2260</v>
      </c>
    </row>
    <row r="1132" spans="1:9" x14ac:dyDescent="0.25">
      <c r="A1132" s="6">
        <v>45996.6875</v>
      </c>
      <c r="B1132" s="5" t="s">
        <v>14</v>
      </c>
      <c r="C1132" s="8">
        <v>186.0238181149482</v>
      </c>
      <c r="D1132" s="8">
        <v>186.16634847115901</v>
      </c>
      <c r="E1132" s="8">
        <v>185.9504718028569</v>
      </c>
      <c r="F1132" s="8">
        <v>186.06432368786429</v>
      </c>
      <c r="G1132" s="7">
        <v>45288</v>
      </c>
      <c r="H1132" s="9">
        <v>8426481.0911759995</v>
      </c>
      <c r="I1132" s="5" t="s">
        <v>2261</v>
      </c>
    </row>
    <row r="1133" spans="1:9" x14ac:dyDescent="0.25">
      <c r="A1133" s="6">
        <v>45996.690972222219</v>
      </c>
      <c r="B1133" s="5" t="s">
        <v>14</v>
      </c>
      <c r="C1133" s="8">
        <v>186.23870205289569</v>
      </c>
      <c r="D1133" s="8">
        <v>186.24786019068949</v>
      </c>
      <c r="E1133" s="8">
        <v>186.1118315826065</v>
      </c>
      <c r="F1133" s="8">
        <v>186.22007808213621</v>
      </c>
      <c r="G1133" s="7">
        <v>58890</v>
      </c>
      <c r="H1133" s="9">
        <v>10966500.398257</v>
      </c>
      <c r="I1133" s="5" t="s">
        <v>2262</v>
      </c>
    </row>
    <row r="1134" spans="1:9" x14ac:dyDescent="0.25">
      <c r="A1134" s="6">
        <v>45996.694444444453</v>
      </c>
      <c r="B1134" s="5" t="s">
        <v>14</v>
      </c>
      <c r="C1134" s="8">
        <v>186.32169362765251</v>
      </c>
      <c r="D1134" s="8">
        <v>186.39927685939381</v>
      </c>
      <c r="E1134" s="8">
        <v>186.2308831667282</v>
      </c>
      <c r="F1134" s="8">
        <v>186.2853857611195</v>
      </c>
      <c r="G1134" s="7">
        <v>31263</v>
      </c>
      <c r="H1134" s="9">
        <v>5823840.0150498794</v>
      </c>
      <c r="I1134" s="5" t="s">
        <v>2263</v>
      </c>
    </row>
    <row r="1135" spans="1:9" x14ac:dyDescent="0.25">
      <c r="A1135" s="6">
        <v>45996.697916666657</v>
      </c>
      <c r="B1135" s="5" t="s">
        <v>14</v>
      </c>
      <c r="C1135" s="8">
        <v>186.24501153407991</v>
      </c>
      <c r="D1135" s="8">
        <v>186.37255186438841</v>
      </c>
      <c r="E1135" s="8">
        <v>186.19762708261649</v>
      </c>
      <c r="F1135" s="8">
        <v>186.29498802325239</v>
      </c>
      <c r="G1135" s="7">
        <v>131109</v>
      </c>
      <c r="H1135" s="9">
        <v>24424949.584740601</v>
      </c>
      <c r="I1135" s="5" t="s">
        <v>2264</v>
      </c>
    </row>
    <row r="1136" spans="1:9" x14ac:dyDescent="0.25">
      <c r="A1136" s="6">
        <v>45996.701388888891</v>
      </c>
      <c r="B1136" s="5" t="s">
        <v>14</v>
      </c>
      <c r="C1136" s="8">
        <v>186.33663859811699</v>
      </c>
      <c r="D1136" s="8">
        <v>186.58491533226851</v>
      </c>
      <c r="E1136" s="8">
        <v>186.16734434019159</v>
      </c>
      <c r="F1136" s="8">
        <v>186.31936707602259</v>
      </c>
      <c r="G1136" s="7">
        <v>84482</v>
      </c>
      <c r="H1136" s="9">
        <v>15740632.769316539</v>
      </c>
      <c r="I1136" s="5" t="s">
        <v>2265</v>
      </c>
    </row>
    <row r="1137" spans="1:9" x14ac:dyDescent="0.25">
      <c r="A1137" s="6">
        <v>45996.704861111109</v>
      </c>
      <c r="B1137" s="5" t="s">
        <v>14</v>
      </c>
      <c r="C1137" s="8">
        <v>186.2662845018412</v>
      </c>
      <c r="D1137" s="8">
        <v>186.3454777801262</v>
      </c>
      <c r="E1137" s="8">
        <v>186.14127495026031</v>
      </c>
      <c r="F1137" s="8">
        <v>186.20622278526</v>
      </c>
      <c r="G1137" s="7">
        <v>45271</v>
      </c>
      <c r="H1137" s="9">
        <v>8429741.9117115065</v>
      </c>
      <c r="I1137" s="5" t="s">
        <v>2266</v>
      </c>
    </row>
    <row r="1138" spans="1:9" x14ac:dyDescent="0.25">
      <c r="A1138" s="6">
        <v>45996.708333333343</v>
      </c>
      <c r="B1138" s="5" t="s">
        <v>14</v>
      </c>
      <c r="C1138" s="8">
        <v>186.31047087841881</v>
      </c>
      <c r="D1138" s="8">
        <v>186.4069901390036</v>
      </c>
      <c r="E1138" s="8">
        <v>186.19218492542069</v>
      </c>
      <c r="F1138" s="8">
        <v>186.27467953315769</v>
      </c>
      <c r="G1138" s="7">
        <v>38183</v>
      </c>
      <c r="H1138" s="9">
        <v>7112526.0886145616</v>
      </c>
      <c r="I1138" s="5" t="s">
        <v>2267</v>
      </c>
    </row>
    <row r="1139" spans="1:9" x14ac:dyDescent="0.25">
      <c r="A1139" s="6">
        <v>45996.711805555547</v>
      </c>
      <c r="B1139" s="5" t="s">
        <v>14</v>
      </c>
      <c r="C1139" s="8">
        <v>186.3743638768054</v>
      </c>
      <c r="D1139" s="8">
        <v>186.44596385912391</v>
      </c>
      <c r="E1139" s="8">
        <v>186.2290283904095</v>
      </c>
      <c r="F1139" s="8">
        <v>186.36299702926681</v>
      </c>
      <c r="G1139" s="7">
        <v>76851</v>
      </c>
      <c r="H1139" s="9">
        <v>14322182.684696181</v>
      </c>
      <c r="I1139" s="5" t="s">
        <v>2268</v>
      </c>
    </row>
    <row r="1140" spans="1:9" x14ac:dyDescent="0.25">
      <c r="A1140" s="6">
        <v>45996.715277777781</v>
      </c>
      <c r="B1140" s="5" t="s">
        <v>14</v>
      </c>
      <c r="C1140" s="8">
        <v>186.27300027763499</v>
      </c>
      <c r="D1140" s="8">
        <v>186.38383719032149</v>
      </c>
      <c r="E1140" s="8">
        <v>186.17411555814971</v>
      </c>
      <c r="F1140" s="8">
        <v>186.33249136238129</v>
      </c>
      <c r="G1140" s="7">
        <v>63103</v>
      </c>
      <c r="H1140" s="9">
        <v>11758139.202440349</v>
      </c>
      <c r="I1140" s="5" t="s">
        <v>2269</v>
      </c>
    </row>
    <row r="1141" spans="1:9" x14ac:dyDescent="0.25">
      <c r="A1141" s="6">
        <v>45996.71875</v>
      </c>
      <c r="B1141" s="5" t="s">
        <v>14</v>
      </c>
      <c r="C1141" s="8">
        <v>186.35859610516701</v>
      </c>
      <c r="D1141" s="8">
        <v>186.40246949375319</v>
      </c>
      <c r="E1141" s="8">
        <v>186.22162643859471</v>
      </c>
      <c r="F1141" s="8">
        <v>186.3546064224598</v>
      </c>
      <c r="G1141" s="7">
        <v>60205</v>
      </c>
      <c r="H1141" s="9">
        <v>11219479.079664189</v>
      </c>
      <c r="I1141" s="5" t="s">
        <v>2270</v>
      </c>
    </row>
    <row r="1142" spans="1:9" x14ac:dyDescent="0.25">
      <c r="A1142" s="6">
        <v>45996.722222222219</v>
      </c>
      <c r="B1142" s="5" t="s">
        <v>14</v>
      </c>
      <c r="C1142" s="8">
        <v>186.03663421822051</v>
      </c>
      <c r="D1142" s="8">
        <v>186.17712594107039</v>
      </c>
      <c r="E1142" s="8">
        <v>185.99415874029319</v>
      </c>
      <c r="F1142" s="8">
        <v>186.11584366988009</v>
      </c>
      <c r="G1142" s="7">
        <v>76750</v>
      </c>
      <c r="H1142" s="9">
        <v>14284391.001663299</v>
      </c>
      <c r="I1142" s="5" t="s">
        <v>2271</v>
      </c>
    </row>
    <row r="1143" spans="1:9" x14ac:dyDescent="0.25">
      <c r="A1143" s="6">
        <v>45996.725694444453</v>
      </c>
      <c r="B1143" s="5" t="s">
        <v>14</v>
      </c>
      <c r="C1143" s="8">
        <v>185.72842860672699</v>
      </c>
      <c r="D1143" s="8">
        <v>185.85625868530369</v>
      </c>
      <c r="E1143" s="8">
        <v>185.63440749080141</v>
      </c>
      <c r="F1143" s="8">
        <v>185.68708187966729</v>
      </c>
      <c r="G1143" s="7">
        <v>91922</v>
      </c>
      <c r="H1143" s="9">
        <v>17068727.94054278</v>
      </c>
      <c r="I1143" s="5" t="s">
        <v>2272</v>
      </c>
    </row>
    <row r="1144" spans="1:9" x14ac:dyDescent="0.25">
      <c r="A1144" s="6">
        <v>45996.729166666657</v>
      </c>
      <c r="B1144" s="5" t="s">
        <v>14</v>
      </c>
      <c r="C1144" s="8">
        <v>185.56546407108101</v>
      </c>
      <c r="D1144" s="8">
        <v>185.6294367037986</v>
      </c>
      <c r="E1144" s="8">
        <v>185.3905444049156</v>
      </c>
      <c r="F1144" s="8">
        <v>185.57470865212261</v>
      </c>
      <c r="G1144" s="7">
        <v>88985</v>
      </c>
      <c r="H1144" s="9">
        <v>16513365.449409129</v>
      </c>
      <c r="I1144" s="5" t="s">
        <v>2273</v>
      </c>
    </row>
    <row r="1145" spans="1:9" x14ac:dyDescent="0.25">
      <c r="A1145" s="6">
        <v>45996.732638888891</v>
      </c>
      <c r="B1145" s="5" t="s">
        <v>14</v>
      </c>
      <c r="C1145" s="8">
        <v>185.69226724323701</v>
      </c>
      <c r="D1145" s="8">
        <v>185.7655618126098</v>
      </c>
      <c r="E1145" s="8">
        <v>185.56730104524169</v>
      </c>
      <c r="F1145" s="8">
        <v>185.7548026107859</v>
      </c>
      <c r="G1145" s="7">
        <v>63184</v>
      </c>
      <c r="H1145" s="9">
        <v>11736731.4481599</v>
      </c>
      <c r="I1145" s="5" t="s">
        <v>2274</v>
      </c>
    </row>
    <row r="1146" spans="1:9" x14ac:dyDescent="0.25">
      <c r="A1146" s="6">
        <v>45996.736111111109</v>
      </c>
      <c r="B1146" s="5" t="s">
        <v>14</v>
      </c>
      <c r="C1146" s="8">
        <v>185.92309320952421</v>
      </c>
      <c r="D1146" s="8">
        <v>185.9386758069397</v>
      </c>
      <c r="E1146" s="8">
        <v>185.82162347415701</v>
      </c>
      <c r="F1146" s="8">
        <v>185.84745490275591</v>
      </c>
      <c r="G1146" s="7">
        <v>57099</v>
      </c>
      <c r="H1146" s="9">
        <v>10611703.827492461</v>
      </c>
      <c r="I1146" s="5" t="s">
        <v>2275</v>
      </c>
    </row>
    <row r="1147" spans="1:9" x14ac:dyDescent="0.25">
      <c r="A1147" s="6">
        <v>45996.739583333343</v>
      </c>
      <c r="B1147" s="5" t="s">
        <v>14</v>
      </c>
      <c r="C1147" s="8">
        <v>185.76287820559861</v>
      </c>
      <c r="D1147" s="8">
        <v>185.80574105615571</v>
      </c>
      <c r="E1147" s="8">
        <v>185.51141075458179</v>
      </c>
      <c r="F1147" s="8">
        <v>185.67128038995631</v>
      </c>
      <c r="G1147" s="7">
        <v>80271</v>
      </c>
      <c r="H1147" s="9">
        <v>14904019.348182181</v>
      </c>
      <c r="I1147" s="5" t="s">
        <v>2276</v>
      </c>
    </row>
    <row r="1148" spans="1:9" x14ac:dyDescent="0.25">
      <c r="A1148" s="6">
        <v>45996.743055555547</v>
      </c>
      <c r="B1148" s="5" t="s">
        <v>14</v>
      </c>
      <c r="C1148" s="8">
        <v>185.42796603241541</v>
      </c>
      <c r="D1148" s="8">
        <v>185.53829223972039</v>
      </c>
      <c r="E1148" s="8">
        <v>185.3329348617934</v>
      </c>
      <c r="F1148" s="8">
        <v>185.4619091181838</v>
      </c>
      <c r="G1148" s="7">
        <v>76177</v>
      </c>
      <c r="H1148" s="9">
        <v>14127931.850895889</v>
      </c>
      <c r="I1148" s="5" t="s">
        <v>2277</v>
      </c>
    </row>
    <row r="1149" spans="1:9" x14ac:dyDescent="0.25">
      <c r="A1149" s="6">
        <v>45996.746527777781</v>
      </c>
      <c r="B1149" s="5" t="s">
        <v>14</v>
      </c>
      <c r="C1149" s="8">
        <v>185.51149558577379</v>
      </c>
      <c r="D1149" s="8">
        <v>185.6195824032207</v>
      </c>
      <c r="E1149" s="8">
        <v>185.43692001721311</v>
      </c>
      <c r="F1149" s="8">
        <v>185.46355397278651</v>
      </c>
      <c r="G1149" s="7">
        <v>40142</v>
      </c>
      <c r="H1149" s="9">
        <v>7444877.9835755955</v>
      </c>
      <c r="I1149" s="5" t="s">
        <v>2278</v>
      </c>
    </row>
    <row r="1150" spans="1:9" x14ac:dyDescent="0.25">
      <c r="A1150" s="6">
        <v>45996.75</v>
      </c>
      <c r="B1150" s="5" t="s">
        <v>14</v>
      </c>
      <c r="C1150" s="8">
        <v>185.64999710777059</v>
      </c>
      <c r="D1150" s="8">
        <v>185.7286107258374</v>
      </c>
      <c r="E1150" s="8">
        <v>185.6002349753004</v>
      </c>
      <c r="F1150" s="8">
        <v>185.62897029389799</v>
      </c>
      <c r="G1150" s="7">
        <v>24762</v>
      </c>
      <c r="H1150" s="9">
        <v>4596544.5624175034</v>
      </c>
      <c r="I1150" s="5" t="s">
        <v>2279</v>
      </c>
    </row>
    <row r="1151" spans="1:9" x14ac:dyDescent="0.25">
      <c r="A1151" s="6">
        <v>45996.753472222219</v>
      </c>
      <c r="B1151" s="5" t="s">
        <v>14</v>
      </c>
      <c r="C1151" s="8">
        <v>185.50643793505449</v>
      </c>
      <c r="D1151" s="8">
        <v>185.51260983898351</v>
      </c>
      <c r="E1151" s="8">
        <v>185.39585203080031</v>
      </c>
      <c r="F1151" s="8">
        <v>185.49782908286929</v>
      </c>
      <c r="G1151" s="7">
        <v>88510</v>
      </c>
      <c r="H1151" s="9">
        <v>16418412.85212476</v>
      </c>
      <c r="I1151" s="5" t="s">
        <v>2280</v>
      </c>
    </row>
    <row r="1152" spans="1:9" x14ac:dyDescent="0.25">
      <c r="A1152" s="6">
        <v>45996.756944444453</v>
      </c>
      <c r="B1152" s="5" t="s">
        <v>14</v>
      </c>
      <c r="C1152" s="8">
        <v>185.44847129581089</v>
      </c>
      <c r="D1152" s="8">
        <v>185.64019378827979</v>
      </c>
      <c r="E1152" s="8">
        <v>185.3306852643104</v>
      </c>
      <c r="F1152" s="8">
        <v>185.40483136895941</v>
      </c>
      <c r="G1152" s="7">
        <v>28661</v>
      </c>
      <c r="H1152" s="9">
        <v>5313887.8718657456</v>
      </c>
      <c r="I1152" s="5" t="s">
        <v>2281</v>
      </c>
    </row>
    <row r="1153" spans="1:9" x14ac:dyDescent="0.25">
      <c r="A1153" s="6">
        <v>45996.760416666657</v>
      </c>
      <c r="B1153" s="5" t="s">
        <v>14</v>
      </c>
      <c r="C1153" s="8">
        <v>185.3621516491711</v>
      </c>
      <c r="D1153" s="8">
        <v>185.54351584913979</v>
      </c>
      <c r="E1153" s="8">
        <v>185.18514598754879</v>
      </c>
      <c r="F1153" s="8">
        <v>185.4886755672519</v>
      </c>
      <c r="G1153" s="7">
        <v>56457</v>
      </c>
      <c r="H1153" s="9">
        <v>10472134.15650034</v>
      </c>
      <c r="I1153" s="5" t="s">
        <v>2282</v>
      </c>
    </row>
    <row r="1154" spans="1:9" x14ac:dyDescent="0.25">
      <c r="A1154" s="6">
        <v>45996.763888888891</v>
      </c>
      <c r="B1154" s="5" t="s">
        <v>14</v>
      </c>
      <c r="C1154" s="8">
        <v>185.66802209548351</v>
      </c>
      <c r="D1154" s="8">
        <v>185.9680081637446</v>
      </c>
      <c r="E1154" s="8">
        <v>185.39096840007741</v>
      </c>
      <c r="F1154" s="8">
        <v>185.60607687472941</v>
      </c>
      <c r="G1154" s="7">
        <v>60247</v>
      </c>
      <c r="H1154" s="9">
        <v>11182209.31347182</v>
      </c>
      <c r="I1154" s="5" t="s">
        <v>2283</v>
      </c>
    </row>
    <row r="1155" spans="1:9" x14ac:dyDescent="0.25">
      <c r="A1155" s="6">
        <v>45996.767361111109</v>
      </c>
      <c r="B1155" s="5" t="s">
        <v>14</v>
      </c>
      <c r="C1155" s="8">
        <v>185.40031355628861</v>
      </c>
      <c r="D1155" s="8">
        <v>185.7272596613586</v>
      </c>
      <c r="E1155" s="8">
        <v>185.19217158805469</v>
      </c>
      <c r="F1155" s="8">
        <v>185.42302338042131</v>
      </c>
      <c r="G1155" s="7">
        <v>75328</v>
      </c>
      <c r="H1155" s="9">
        <v>13967545.505200369</v>
      </c>
      <c r="I1155" s="5" t="s">
        <v>2284</v>
      </c>
    </row>
    <row r="1156" spans="1:9" x14ac:dyDescent="0.25">
      <c r="A1156" s="6">
        <v>45996.770833333343</v>
      </c>
      <c r="B1156" s="5" t="s">
        <v>14</v>
      </c>
      <c r="C1156" s="8">
        <v>185.34267025011499</v>
      </c>
      <c r="D1156" s="8">
        <v>185.38382489794279</v>
      </c>
      <c r="E1156" s="8">
        <v>185.29519471354209</v>
      </c>
      <c r="F1156" s="8">
        <v>185.31146880643311</v>
      </c>
      <c r="G1156" s="7">
        <v>107997</v>
      </c>
      <c r="H1156" s="9">
        <v>20013082.696688361</v>
      </c>
      <c r="I1156" s="5" t="s">
        <v>2285</v>
      </c>
    </row>
    <row r="1157" spans="1:9" x14ac:dyDescent="0.25">
      <c r="A1157" s="6">
        <v>45996.774305555547</v>
      </c>
      <c r="B1157" s="5" t="s">
        <v>14</v>
      </c>
      <c r="C1157" s="8">
        <v>185.08289122960181</v>
      </c>
      <c r="D1157" s="8">
        <v>185.12784048900201</v>
      </c>
      <c r="E1157" s="8">
        <v>184.84394490330101</v>
      </c>
      <c r="F1157" s="8">
        <v>184.9931825760643</v>
      </c>
      <c r="G1157" s="7">
        <v>57571</v>
      </c>
      <c r="H1157" s="9">
        <v>10650242.5140866</v>
      </c>
      <c r="I1157" s="5" t="s">
        <v>2286</v>
      </c>
    </row>
    <row r="1158" spans="1:9" x14ac:dyDescent="0.25">
      <c r="A1158" s="6">
        <v>45996.777777777781</v>
      </c>
      <c r="B1158" s="5" t="s">
        <v>14</v>
      </c>
      <c r="C1158" s="8">
        <v>184.8644107636101</v>
      </c>
      <c r="D1158" s="8">
        <v>184.93239305787381</v>
      </c>
      <c r="E1158" s="8">
        <v>184.82197106109251</v>
      </c>
      <c r="F1158" s="8">
        <v>184.90063165231581</v>
      </c>
      <c r="G1158" s="7">
        <v>176550</v>
      </c>
      <c r="H1158" s="9">
        <v>32644206.51821636</v>
      </c>
      <c r="I1158" s="5" t="s">
        <v>2287</v>
      </c>
    </row>
    <row r="1159" spans="1:9" x14ac:dyDescent="0.25">
      <c r="A1159" s="6">
        <v>45996.78125</v>
      </c>
      <c r="B1159" s="5" t="s">
        <v>14</v>
      </c>
      <c r="C1159" s="8">
        <v>185.17281817418981</v>
      </c>
      <c r="D1159" s="8">
        <v>185.30752322570271</v>
      </c>
      <c r="E1159" s="8">
        <v>185.15867284496889</v>
      </c>
      <c r="F1159" s="8">
        <v>185.17357164855119</v>
      </c>
      <c r="G1159" s="7">
        <v>74232</v>
      </c>
      <c r="H1159" s="9">
        <v>13745804.570615251</v>
      </c>
      <c r="I1159" s="5" t="s">
        <v>2288</v>
      </c>
    </row>
    <row r="1160" spans="1:9" x14ac:dyDescent="0.25">
      <c r="A1160" s="6">
        <v>45996.784722222219</v>
      </c>
      <c r="B1160" s="5" t="s">
        <v>14</v>
      </c>
      <c r="C1160" s="8">
        <v>184.8936397459189</v>
      </c>
      <c r="D1160" s="8">
        <v>185.04266261604391</v>
      </c>
      <c r="E1160" s="8">
        <v>184.84288790662859</v>
      </c>
      <c r="F1160" s="8">
        <v>184.89148043063491</v>
      </c>
      <c r="G1160" s="7">
        <v>34239</v>
      </c>
      <c r="H1160" s="9">
        <v>6330499.3984645102</v>
      </c>
      <c r="I1160" s="5" t="s">
        <v>2289</v>
      </c>
    </row>
    <row r="1161" spans="1:9" x14ac:dyDescent="0.25">
      <c r="A1161" s="6">
        <v>45996.788194444453</v>
      </c>
      <c r="B1161" s="5" t="s">
        <v>14</v>
      </c>
      <c r="C1161" s="8">
        <v>185.1180613771788</v>
      </c>
      <c r="D1161" s="8">
        <v>185.1374834801822</v>
      </c>
      <c r="E1161" s="8">
        <v>185.00227702278801</v>
      </c>
      <c r="F1161" s="8">
        <v>185.02519449891449</v>
      </c>
      <c r="G1161" s="7">
        <v>92052</v>
      </c>
      <c r="H1161" s="9">
        <v>17031939.204014082</v>
      </c>
      <c r="I1161" s="5" t="s">
        <v>2290</v>
      </c>
    </row>
    <row r="1162" spans="1:9" x14ac:dyDescent="0.25">
      <c r="A1162" s="6">
        <v>45996.791666666657</v>
      </c>
      <c r="B1162" s="5" t="s">
        <v>14</v>
      </c>
      <c r="C1162" s="8">
        <v>185.08704390639261</v>
      </c>
      <c r="D1162" s="8">
        <v>185.15747317993811</v>
      </c>
      <c r="E1162" s="8">
        <v>185.0827752254813</v>
      </c>
      <c r="F1162" s="8">
        <v>185.12368663551959</v>
      </c>
      <c r="G1162" s="7">
        <v>60896</v>
      </c>
      <c r="H1162" s="9">
        <v>11273292.021356599</v>
      </c>
      <c r="I1162" s="5" t="s">
        <v>2291</v>
      </c>
    </row>
    <row r="1163" spans="1:9" x14ac:dyDescent="0.25">
      <c r="A1163" s="6">
        <v>45996.795138888891</v>
      </c>
      <c r="B1163" s="5" t="s">
        <v>14</v>
      </c>
      <c r="C1163" s="8">
        <v>185.27481905619669</v>
      </c>
      <c r="D1163" s="8">
        <v>185.38036926830259</v>
      </c>
      <c r="E1163" s="8">
        <v>185.26284468923129</v>
      </c>
      <c r="F1163" s="8">
        <v>185.3302620268843</v>
      </c>
      <c r="G1163" s="7">
        <v>29040</v>
      </c>
      <c r="H1163" s="9">
        <v>5381990.8092607204</v>
      </c>
      <c r="I1163" s="5" t="s">
        <v>2292</v>
      </c>
    </row>
    <row r="1164" spans="1:9" x14ac:dyDescent="0.25">
      <c r="A1164" s="6">
        <v>45996.798611111109</v>
      </c>
      <c r="B1164" s="5" t="s">
        <v>14</v>
      </c>
      <c r="C1164" s="8">
        <v>185.47379650402391</v>
      </c>
      <c r="D1164" s="8">
        <v>185.614961593109</v>
      </c>
      <c r="E1164" s="8">
        <v>185.26654123031341</v>
      </c>
      <c r="F1164" s="8">
        <v>185.4630826439014</v>
      </c>
      <c r="G1164" s="7">
        <v>85248</v>
      </c>
      <c r="H1164" s="9">
        <v>15810356.869227311</v>
      </c>
      <c r="I1164" s="5" t="s">
        <v>2293</v>
      </c>
    </row>
    <row r="1165" spans="1:9" x14ac:dyDescent="0.25">
      <c r="A1165" s="6">
        <v>45996.802083333343</v>
      </c>
      <c r="B1165" s="5" t="s">
        <v>14</v>
      </c>
      <c r="C1165" s="8">
        <v>185.7654445528722</v>
      </c>
      <c r="D1165" s="8">
        <v>185.7856316918469</v>
      </c>
      <c r="E1165" s="8">
        <v>185.6697512613041</v>
      </c>
      <c r="F1165" s="8">
        <v>185.75765104006871</v>
      </c>
      <c r="G1165" s="7">
        <v>48110</v>
      </c>
      <c r="H1165" s="9">
        <v>8936800.5915377028</v>
      </c>
      <c r="I1165" s="5" t="s">
        <v>2294</v>
      </c>
    </row>
    <row r="1166" spans="1:9" x14ac:dyDescent="0.25">
      <c r="A1166" s="6">
        <v>45996.805555555547</v>
      </c>
      <c r="B1166" s="5" t="s">
        <v>14</v>
      </c>
      <c r="C1166" s="8">
        <v>185.7331894597184</v>
      </c>
      <c r="D1166" s="8">
        <v>185.85823281834479</v>
      </c>
      <c r="E1166" s="8">
        <v>185.540522394997</v>
      </c>
      <c r="F1166" s="8">
        <v>185.67644204734501</v>
      </c>
      <c r="G1166" s="7">
        <v>67709</v>
      </c>
      <c r="H1166" s="9">
        <v>12571966.21458368</v>
      </c>
      <c r="I1166" s="5" t="s">
        <v>2295</v>
      </c>
    </row>
    <row r="1167" spans="1:9" x14ac:dyDescent="0.25">
      <c r="A1167" s="6">
        <v>45996.809027777781</v>
      </c>
      <c r="B1167" s="5" t="s">
        <v>14</v>
      </c>
      <c r="C1167" s="8">
        <v>185.80444484951639</v>
      </c>
      <c r="D1167" s="8">
        <v>186.06079331221679</v>
      </c>
      <c r="E1167" s="8">
        <v>185.79873922030279</v>
      </c>
      <c r="F1167" s="8">
        <v>185.9076499490119</v>
      </c>
      <c r="G1167" s="7">
        <v>76374</v>
      </c>
      <c r="H1167" s="9">
        <v>14198510.85720584</v>
      </c>
      <c r="I1167" s="5" t="s">
        <v>2296</v>
      </c>
    </row>
    <row r="1168" spans="1:9" x14ac:dyDescent="0.25">
      <c r="A1168" s="6">
        <v>45996.8125</v>
      </c>
      <c r="B1168" s="5" t="s">
        <v>14</v>
      </c>
      <c r="C1168" s="8">
        <v>185.72007820079949</v>
      </c>
      <c r="D1168" s="8">
        <v>185.91257006018179</v>
      </c>
      <c r="E1168" s="8">
        <v>185.66006223616051</v>
      </c>
      <c r="F1168" s="8">
        <v>185.77593520768261</v>
      </c>
      <c r="G1168" s="7">
        <v>74198</v>
      </c>
      <c r="H1168" s="9">
        <v>13784202.840539631</v>
      </c>
      <c r="I1168" s="5" t="s">
        <v>2297</v>
      </c>
    </row>
    <row r="1169" spans="1:9" x14ac:dyDescent="0.25">
      <c r="A1169" s="6">
        <v>45996.815972222219</v>
      </c>
      <c r="B1169" s="5" t="s">
        <v>14</v>
      </c>
      <c r="C1169" s="8">
        <v>185.9386029615479</v>
      </c>
      <c r="D1169" s="8">
        <v>186.11349209393151</v>
      </c>
      <c r="E1169" s="8">
        <v>185.87150300288479</v>
      </c>
      <c r="F1169" s="8">
        <v>185.90102501506871</v>
      </c>
      <c r="G1169" s="7">
        <v>53905</v>
      </c>
      <c r="H1169" s="9">
        <v>10020994.753437281</v>
      </c>
      <c r="I1169" s="5" t="s">
        <v>2298</v>
      </c>
    </row>
    <row r="1170" spans="1:9" x14ac:dyDescent="0.25">
      <c r="A1170" s="6">
        <v>45996.819444444453</v>
      </c>
      <c r="B1170" s="5" t="s">
        <v>14</v>
      </c>
      <c r="C1170" s="8">
        <v>186.3341788039622</v>
      </c>
      <c r="D1170" s="8">
        <v>186.42958629134301</v>
      </c>
      <c r="E1170" s="8">
        <v>186.08982889374269</v>
      </c>
      <c r="F1170" s="8">
        <v>186.25455735186179</v>
      </c>
      <c r="G1170" s="7">
        <v>78940</v>
      </c>
      <c r="H1170" s="9">
        <v>14702934.757355969</v>
      </c>
      <c r="I1170" s="5" t="s">
        <v>2299</v>
      </c>
    </row>
    <row r="1171" spans="1:9" x14ac:dyDescent="0.25">
      <c r="A1171" s="6">
        <v>45996.822916666657</v>
      </c>
      <c r="B1171" s="5" t="s">
        <v>14</v>
      </c>
      <c r="C1171" s="8">
        <v>186.44481579327129</v>
      </c>
      <c r="D1171" s="8">
        <v>186.5708681688096</v>
      </c>
      <c r="E1171" s="8">
        <v>186.16477525044809</v>
      </c>
      <c r="F1171" s="8">
        <v>186.3626921164047</v>
      </c>
      <c r="G1171" s="7">
        <v>65620</v>
      </c>
      <c r="H1171" s="9">
        <v>12229119.85667848</v>
      </c>
      <c r="I1171" s="5" t="s">
        <v>2300</v>
      </c>
    </row>
    <row r="1172" spans="1:9" x14ac:dyDescent="0.25">
      <c r="A1172" s="6">
        <v>45996.826388888891</v>
      </c>
      <c r="B1172" s="5" t="s">
        <v>14</v>
      </c>
      <c r="C1172" s="8">
        <v>186.6144103228045</v>
      </c>
      <c r="D1172" s="8">
        <v>186.65524860074481</v>
      </c>
      <c r="E1172" s="8">
        <v>186.51062983966</v>
      </c>
      <c r="F1172" s="8">
        <v>186.59473644494679</v>
      </c>
      <c r="G1172" s="7">
        <v>99956</v>
      </c>
      <c r="H1172" s="9">
        <v>18651263.476091102</v>
      </c>
      <c r="I1172" s="5" t="s">
        <v>2301</v>
      </c>
    </row>
    <row r="1173" spans="1:9" x14ac:dyDescent="0.25">
      <c r="A1173" s="6">
        <v>45996.829861111109</v>
      </c>
      <c r="B1173" s="5" t="s">
        <v>14</v>
      </c>
      <c r="C1173" s="8">
        <v>186.1170699469595</v>
      </c>
      <c r="D1173" s="8">
        <v>186.20327961654769</v>
      </c>
      <c r="E1173" s="8">
        <v>185.97864221308379</v>
      </c>
      <c r="F1173" s="8">
        <v>186.05118723324119</v>
      </c>
      <c r="G1173" s="7">
        <v>80725</v>
      </c>
      <c r="H1173" s="9">
        <v>15018982.089403391</v>
      </c>
      <c r="I1173" s="5" t="s">
        <v>2302</v>
      </c>
    </row>
    <row r="1174" spans="1:9" x14ac:dyDescent="0.25">
      <c r="A1174" s="6">
        <v>45996.833333333343</v>
      </c>
      <c r="B1174" s="5" t="s">
        <v>14</v>
      </c>
      <c r="C1174" s="8">
        <v>185.9684079458145</v>
      </c>
      <c r="D1174" s="8">
        <v>186.0661471260924</v>
      </c>
      <c r="E1174" s="8">
        <v>185.89505540223109</v>
      </c>
      <c r="F1174" s="8">
        <v>186.0395460600698</v>
      </c>
      <c r="G1174" s="7">
        <v>61991</v>
      </c>
      <c r="H1174" s="9">
        <v>11532777.49980979</v>
      </c>
      <c r="I1174" s="5" t="s">
        <v>2303</v>
      </c>
    </row>
    <row r="1175" spans="1:9" x14ac:dyDescent="0.25">
      <c r="A1175" s="6">
        <v>45996.836805555547</v>
      </c>
      <c r="B1175" s="5" t="s">
        <v>14</v>
      </c>
      <c r="C1175" s="8">
        <v>185.95865645425371</v>
      </c>
      <c r="D1175" s="8">
        <v>186.04888482389529</v>
      </c>
      <c r="E1175" s="8">
        <v>185.77159053370389</v>
      </c>
      <c r="F1175" s="8">
        <v>185.91669969105001</v>
      </c>
      <c r="G1175" s="7">
        <v>65827</v>
      </c>
      <c r="H1175" s="9">
        <v>12238338.59056275</v>
      </c>
      <c r="I1175" s="5" t="s">
        <v>2304</v>
      </c>
    </row>
    <row r="1176" spans="1:9" x14ac:dyDescent="0.25">
      <c r="A1176" s="6">
        <v>45996.840277777781</v>
      </c>
      <c r="B1176" s="5" t="s">
        <v>14</v>
      </c>
      <c r="C1176" s="8">
        <v>186.14344425750281</v>
      </c>
      <c r="D1176" s="8">
        <v>186.22815231230001</v>
      </c>
      <c r="E1176" s="8">
        <v>185.98340612732659</v>
      </c>
      <c r="F1176" s="8">
        <v>186.1822153276448</v>
      </c>
      <c r="G1176" s="7">
        <v>59059</v>
      </c>
      <c r="H1176" s="9">
        <v>10995735.45503537</v>
      </c>
      <c r="I1176" s="5" t="s">
        <v>2305</v>
      </c>
    </row>
    <row r="1177" spans="1:9" x14ac:dyDescent="0.25">
      <c r="A1177" s="6">
        <v>45996.84375</v>
      </c>
      <c r="B1177" s="5" t="s">
        <v>14</v>
      </c>
      <c r="C1177" s="8">
        <v>186.19683517863331</v>
      </c>
      <c r="D1177" s="8">
        <v>186.34168388818011</v>
      </c>
      <c r="E1177" s="8">
        <v>186.07772310997339</v>
      </c>
      <c r="F1177" s="8">
        <v>186.19700787640161</v>
      </c>
      <c r="G1177" s="7">
        <v>32719</v>
      </c>
      <c r="H1177" s="9">
        <v>6092179.9007079834</v>
      </c>
      <c r="I1177" s="5" t="s">
        <v>2306</v>
      </c>
    </row>
    <row r="1178" spans="1:9" x14ac:dyDescent="0.25">
      <c r="A1178" s="6">
        <v>45996.847222222219</v>
      </c>
      <c r="B1178" s="5" t="s">
        <v>14</v>
      </c>
      <c r="C1178" s="8">
        <v>185.86792482473069</v>
      </c>
      <c r="D1178" s="8">
        <v>186.15827348439609</v>
      </c>
      <c r="E1178" s="8">
        <v>185.77539216095579</v>
      </c>
      <c r="F1178" s="8">
        <v>186.03734659426499</v>
      </c>
      <c r="G1178" s="7">
        <v>55975</v>
      </c>
      <c r="H1178" s="9">
        <v>10413440.475613991</v>
      </c>
      <c r="I1178" s="5" t="s">
        <v>2307</v>
      </c>
    </row>
    <row r="1179" spans="1:9" x14ac:dyDescent="0.25">
      <c r="A1179" s="6">
        <v>45996.850694444453</v>
      </c>
      <c r="B1179" s="5" t="s">
        <v>14</v>
      </c>
      <c r="C1179" s="8">
        <v>186.02415564868099</v>
      </c>
      <c r="D1179" s="8">
        <v>186.2193964500045</v>
      </c>
      <c r="E1179" s="8">
        <v>185.91224478488871</v>
      </c>
      <c r="F1179" s="8">
        <v>186.09528340403361</v>
      </c>
      <c r="G1179" s="7">
        <v>67213</v>
      </c>
      <c r="H1179" s="9">
        <v>12508022.283435309</v>
      </c>
      <c r="I1179" s="5" t="s">
        <v>2308</v>
      </c>
    </row>
    <row r="1180" spans="1:9" x14ac:dyDescent="0.25">
      <c r="A1180" s="6">
        <v>45996.854166666657</v>
      </c>
      <c r="B1180" s="5" t="s">
        <v>14</v>
      </c>
      <c r="C1180" s="8">
        <v>186.03840742433201</v>
      </c>
      <c r="D1180" s="8">
        <v>186.1613579280467</v>
      </c>
      <c r="E1180" s="8">
        <v>185.87292387228251</v>
      </c>
      <c r="F1180" s="8">
        <v>186.02828566333011</v>
      </c>
      <c r="G1180" s="7">
        <v>69762</v>
      </c>
      <c r="H1180" s="9">
        <v>12977705.26444523</v>
      </c>
      <c r="I1180" s="5" t="s">
        <v>2309</v>
      </c>
    </row>
    <row r="1181" spans="1:9" x14ac:dyDescent="0.25">
      <c r="A1181" s="6">
        <v>45996.857638888891</v>
      </c>
      <c r="B1181" s="5" t="s">
        <v>14</v>
      </c>
      <c r="C1181" s="8">
        <v>186.1035950507592</v>
      </c>
      <c r="D1181" s="8">
        <v>186.17644154406551</v>
      </c>
      <c r="E1181" s="8">
        <v>186.04697648246821</v>
      </c>
      <c r="F1181" s="8">
        <v>186.07820047066309</v>
      </c>
      <c r="G1181" s="7">
        <v>34132</v>
      </c>
      <c r="H1181" s="9">
        <v>6351221.1384646716</v>
      </c>
      <c r="I1181" s="5" t="s">
        <v>2310</v>
      </c>
    </row>
    <row r="1182" spans="1:9" x14ac:dyDescent="0.25">
      <c r="A1182" s="6">
        <v>45996.861111111109</v>
      </c>
      <c r="B1182" s="5" t="s">
        <v>14</v>
      </c>
      <c r="C1182" s="8">
        <v>185.9079714165571</v>
      </c>
      <c r="D1182" s="8">
        <v>186.01686890868521</v>
      </c>
      <c r="E1182" s="8">
        <v>185.74860471706381</v>
      </c>
      <c r="F1182" s="8">
        <v>185.8891713759653</v>
      </c>
      <c r="G1182" s="7">
        <v>42641</v>
      </c>
      <c r="H1182" s="9">
        <v>7926500.1566425357</v>
      </c>
      <c r="I1182" s="5" t="s">
        <v>2311</v>
      </c>
    </row>
    <row r="1183" spans="1:9" x14ac:dyDescent="0.25">
      <c r="A1183" s="6">
        <v>45996.864583333343</v>
      </c>
      <c r="B1183" s="5" t="s">
        <v>14</v>
      </c>
      <c r="C1183" s="8">
        <v>186.1521068161706</v>
      </c>
      <c r="D1183" s="8">
        <v>186.2124619333718</v>
      </c>
      <c r="E1183" s="8">
        <v>186.13412044977349</v>
      </c>
      <c r="F1183" s="8">
        <v>186.176527666711</v>
      </c>
      <c r="G1183" s="7">
        <v>144566</v>
      </c>
      <c r="H1183" s="9">
        <v>26914795.898665741</v>
      </c>
      <c r="I1183" s="5" t="s">
        <v>2312</v>
      </c>
    </row>
    <row r="1184" spans="1:9" x14ac:dyDescent="0.25">
      <c r="A1184" s="6">
        <v>45996.868055555547</v>
      </c>
      <c r="B1184" s="5" t="s">
        <v>14</v>
      </c>
      <c r="C1184" s="8">
        <v>186.22260476745021</v>
      </c>
      <c r="D1184" s="8">
        <v>186.3339645841439</v>
      </c>
      <c r="E1184" s="8">
        <v>186.10846664977279</v>
      </c>
      <c r="F1184" s="8">
        <v>186.1609098983827</v>
      </c>
      <c r="G1184" s="7">
        <v>60744</v>
      </c>
      <c r="H1184" s="9">
        <v>11308158.31086736</v>
      </c>
      <c r="I1184" s="5" t="s">
        <v>2313</v>
      </c>
    </row>
    <row r="1185" spans="1:9" x14ac:dyDescent="0.25">
      <c r="A1185" s="6">
        <v>45996.871527777781</v>
      </c>
      <c r="B1185" s="5" t="s">
        <v>14</v>
      </c>
      <c r="C1185" s="8">
        <v>185.9375559190072</v>
      </c>
      <c r="D1185" s="8">
        <v>186.19334707072011</v>
      </c>
      <c r="E1185" s="8">
        <v>185.83633504259791</v>
      </c>
      <c r="F1185" s="8">
        <v>185.90317456124279</v>
      </c>
      <c r="G1185" s="7">
        <v>127152</v>
      </c>
      <c r="H1185" s="9">
        <v>23637960.451811139</v>
      </c>
      <c r="I1185" s="5" t="s">
        <v>2314</v>
      </c>
    </row>
    <row r="1186" spans="1:9" x14ac:dyDescent="0.25">
      <c r="A1186" s="6">
        <v>45996.875</v>
      </c>
      <c r="B1186" s="5" t="s">
        <v>14</v>
      </c>
      <c r="C1186" s="8">
        <v>186.09177285052411</v>
      </c>
      <c r="D1186" s="8">
        <v>186.14037773468351</v>
      </c>
      <c r="E1186" s="8">
        <v>186.0267095939777</v>
      </c>
      <c r="F1186" s="8">
        <v>186.03585534885639</v>
      </c>
      <c r="G1186" s="7">
        <v>72623</v>
      </c>
      <c r="H1186" s="9">
        <v>13510481.922999989</v>
      </c>
      <c r="I1186" s="5" t="s">
        <v>2315</v>
      </c>
    </row>
    <row r="1187" spans="1:9" x14ac:dyDescent="0.25">
      <c r="A1187" s="6">
        <v>45992.604166666657</v>
      </c>
      <c r="B1187" s="5" t="s">
        <v>32</v>
      </c>
      <c r="C1187" s="8">
        <v>175.1394163791532</v>
      </c>
      <c r="D1187" s="8">
        <v>175.34203167185311</v>
      </c>
      <c r="E1187" s="8">
        <v>175.13283259548169</v>
      </c>
      <c r="F1187" s="8">
        <v>175.19231954334961</v>
      </c>
      <c r="G1187" s="7">
        <v>58598</v>
      </c>
      <c r="H1187" s="9">
        <v>10265919.540601199</v>
      </c>
      <c r="I1187" s="5" t="s">
        <v>2316</v>
      </c>
    </row>
    <row r="1188" spans="1:9" x14ac:dyDescent="0.25">
      <c r="A1188" s="6">
        <v>45992.607638888891</v>
      </c>
      <c r="B1188" s="5" t="s">
        <v>32</v>
      </c>
      <c r="C1188" s="8">
        <v>175.3722176457</v>
      </c>
      <c r="D1188" s="8">
        <v>175.4276915642954</v>
      </c>
      <c r="E1188" s="8">
        <v>175.0679439405113</v>
      </c>
      <c r="F1188" s="8">
        <v>175.27666658502179</v>
      </c>
      <c r="G1188" s="7">
        <v>74920</v>
      </c>
      <c r="H1188" s="9">
        <v>13131727.86054983</v>
      </c>
      <c r="I1188" s="5" t="s">
        <v>2317</v>
      </c>
    </row>
    <row r="1189" spans="1:9" x14ac:dyDescent="0.25">
      <c r="A1189" s="6">
        <v>45992.611111111109</v>
      </c>
      <c r="B1189" s="5" t="s">
        <v>32</v>
      </c>
      <c r="C1189" s="8">
        <v>175.2006536738414</v>
      </c>
      <c r="D1189" s="8">
        <v>175.45653732894769</v>
      </c>
      <c r="E1189" s="8">
        <v>175.0024911303918</v>
      </c>
      <c r="F1189" s="8">
        <v>175.28919807809871</v>
      </c>
      <c r="G1189" s="7">
        <v>72603</v>
      </c>
      <c r="H1189" s="9">
        <v>12726521.6480642</v>
      </c>
      <c r="I1189" s="5" t="s">
        <v>2318</v>
      </c>
    </row>
    <row r="1190" spans="1:9" x14ac:dyDescent="0.25">
      <c r="A1190" s="6">
        <v>45992.614583333343</v>
      </c>
      <c r="B1190" s="5" t="s">
        <v>32</v>
      </c>
      <c r="C1190" s="8">
        <v>175.36032073455061</v>
      </c>
      <c r="D1190" s="8">
        <v>175.5850985941141</v>
      </c>
      <c r="E1190" s="8">
        <v>175.27863378589399</v>
      </c>
      <c r="F1190" s="8">
        <v>175.38072162262449</v>
      </c>
      <c r="G1190" s="7">
        <v>36019</v>
      </c>
      <c r="H1190" s="9">
        <v>6317038.2121253116</v>
      </c>
      <c r="I1190" s="5" t="s">
        <v>2319</v>
      </c>
    </row>
    <row r="1191" spans="1:9" x14ac:dyDescent="0.25">
      <c r="A1191" s="6">
        <v>45992.618055555547</v>
      </c>
      <c r="B1191" s="5" t="s">
        <v>32</v>
      </c>
      <c r="C1191" s="8">
        <v>175.1195396719437</v>
      </c>
      <c r="D1191" s="8">
        <v>175.222892117508</v>
      </c>
      <c r="E1191" s="8">
        <v>175.06085597603399</v>
      </c>
      <c r="F1191" s="8">
        <v>175.16337591659291</v>
      </c>
      <c r="G1191" s="7">
        <v>96898</v>
      </c>
      <c r="H1191" s="9">
        <v>16972980.799566019</v>
      </c>
      <c r="I1191" s="5" t="s">
        <v>2320</v>
      </c>
    </row>
    <row r="1192" spans="1:9" x14ac:dyDescent="0.25">
      <c r="A1192" s="6">
        <v>45992.621527777781</v>
      </c>
      <c r="B1192" s="5" t="s">
        <v>32</v>
      </c>
      <c r="C1192" s="8">
        <v>175.1768998247347</v>
      </c>
      <c r="D1192" s="8">
        <v>175.21249239774141</v>
      </c>
      <c r="E1192" s="8">
        <v>175.10104937476891</v>
      </c>
      <c r="F1192" s="8">
        <v>175.13243867654089</v>
      </c>
      <c r="G1192" s="7">
        <v>68165</v>
      </c>
      <c r="H1192" s="9">
        <v>11937902.682386409</v>
      </c>
      <c r="I1192" s="5" t="s">
        <v>2321</v>
      </c>
    </row>
    <row r="1193" spans="1:9" x14ac:dyDescent="0.25">
      <c r="A1193" s="6">
        <v>45992.625</v>
      </c>
      <c r="B1193" s="5" t="s">
        <v>32</v>
      </c>
      <c r="C1193" s="8">
        <v>175.0471712810791</v>
      </c>
      <c r="D1193" s="8">
        <v>175.098504899733</v>
      </c>
      <c r="E1193" s="8">
        <v>174.94032890224429</v>
      </c>
      <c r="F1193" s="8">
        <v>175.03309802307481</v>
      </c>
      <c r="G1193" s="7">
        <v>47197</v>
      </c>
      <c r="H1193" s="9">
        <v>8261037.1273950636</v>
      </c>
      <c r="I1193" s="5" t="s">
        <v>2322</v>
      </c>
    </row>
    <row r="1194" spans="1:9" x14ac:dyDescent="0.25">
      <c r="A1194" s="6">
        <v>45992.628472222219</v>
      </c>
      <c r="B1194" s="5" t="s">
        <v>32</v>
      </c>
      <c r="C1194" s="8">
        <v>175.29419169266001</v>
      </c>
      <c r="D1194" s="8">
        <v>175.3428964334646</v>
      </c>
      <c r="E1194" s="8">
        <v>175.26137544546</v>
      </c>
      <c r="F1194" s="8">
        <v>175.28056469784079</v>
      </c>
      <c r="G1194" s="7">
        <v>45539</v>
      </c>
      <c r="H1194" s="9">
        <v>7982101.6357749728</v>
      </c>
      <c r="I1194" s="5" t="s">
        <v>2323</v>
      </c>
    </row>
    <row r="1195" spans="1:9" x14ac:dyDescent="0.25">
      <c r="A1195" s="6">
        <v>45992.631944444453</v>
      </c>
      <c r="B1195" s="5" t="s">
        <v>32</v>
      </c>
      <c r="C1195" s="8">
        <v>175.18446626163831</v>
      </c>
      <c r="D1195" s="8">
        <v>175.38547650761419</v>
      </c>
      <c r="E1195" s="8">
        <v>175.16580522892571</v>
      </c>
      <c r="F1195" s="8">
        <v>175.20402511141609</v>
      </c>
      <c r="G1195" s="7">
        <v>69762</v>
      </c>
      <c r="H1195" s="9">
        <v>12222583.19982261</v>
      </c>
      <c r="I1195" s="5" t="s">
        <v>2324</v>
      </c>
    </row>
    <row r="1196" spans="1:9" x14ac:dyDescent="0.25">
      <c r="A1196" s="6">
        <v>45992.635416666657</v>
      </c>
      <c r="B1196" s="5" t="s">
        <v>32</v>
      </c>
      <c r="C1196" s="8">
        <v>175.237877827283</v>
      </c>
      <c r="D1196" s="8">
        <v>175.35912756568101</v>
      </c>
      <c r="E1196" s="8">
        <v>175.14828015148561</v>
      </c>
      <c r="F1196" s="8">
        <v>175.2463319390296</v>
      </c>
      <c r="G1196" s="7">
        <v>88665</v>
      </c>
      <c r="H1196" s="9">
        <v>15538216.02137406</v>
      </c>
      <c r="I1196" s="5" t="s">
        <v>2325</v>
      </c>
    </row>
    <row r="1197" spans="1:9" x14ac:dyDescent="0.25">
      <c r="A1197" s="6">
        <v>45992.638888888891</v>
      </c>
      <c r="B1197" s="5" t="s">
        <v>32</v>
      </c>
      <c r="C1197" s="8">
        <v>175.4119671097537</v>
      </c>
      <c r="D1197" s="8">
        <v>175.57372547396659</v>
      </c>
      <c r="E1197" s="8">
        <v>175.31560855689469</v>
      </c>
      <c r="F1197" s="8">
        <v>175.4015235678911</v>
      </c>
      <c r="G1197" s="7">
        <v>65204</v>
      </c>
      <c r="H1197" s="9">
        <v>11436880.942720771</v>
      </c>
      <c r="I1197" s="5" t="s">
        <v>2326</v>
      </c>
    </row>
    <row r="1198" spans="1:9" x14ac:dyDescent="0.25">
      <c r="A1198" s="6">
        <v>45992.642361111109</v>
      </c>
      <c r="B1198" s="5" t="s">
        <v>32</v>
      </c>
      <c r="C1198" s="8">
        <v>175.3350496122037</v>
      </c>
      <c r="D1198" s="8">
        <v>175.41205537129471</v>
      </c>
      <c r="E1198" s="8">
        <v>175.2927623627784</v>
      </c>
      <c r="F1198" s="8">
        <v>175.3766994907221</v>
      </c>
      <c r="G1198" s="7">
        <v>68879</v>
      </c>
      <c r="H1198" s="9">
        <v>12079771.68422145</v>
      </c>
      <c r="I1198" s="5" t="s">
        <v>2327</v>
      </c>
    </row>
    <row r="1199" spans="1:9" x14ac:dyDescent="0.25">
      <c r="A1199" s="6">
        <v>45992.645833333343</v>
      </c>
      <c r="B1199" s="5" t="s">
        <v>32</v>
      </c>
      <c r="C1199" s="8">
        <v>175.44036590543661</v>
      </c>
      <c r="D1199" s="8">
        <v>175.4880984509023</v>
      </c>
      <c r="E1199" s="8">
        <v>175.42717095207959</v>
      </c>
      <c r="F1199" s="8">
        <v>175.47636809576599</v>
      </c>
      <c r="G1199" s="7">
        <v>47260</v>
      </c>
      <c r="H1199" s="9">
        <v>8293013.1562059009</v>
      </c>
      <c r="I1199" s="5" t="s">
        <v>2328</v>
      </c>
    </row>
    <row r="1200" spans="1:9" x14ac:dyDescent="0.25">
      <c r="A1200" s="6">
        <v>45992.649305555547</v>
      </c>
      <c r="B1200" s="5" t="s">
        <v>32</v>
      </c>
      <c r="C1200" s="8">
        <v>175.35865902869111</v>
      </c>
      <c r="D1200" s="8">
        <v>175.59805943085749</v>
      </c>
      <c r="E1200" s="8">
        <v>175.3042395416623</v>
      </c>
      <c r="F1200" s="8">
        <v>175.47276828180571</v>
      </c>
      <c r="G1200" s="7">
        <v>52158</v>
      </c>
      <c r="H1200" s="9">
        <v>9152308.6480424199</v>
      </c>
      <c r="I1200" s="5" t="s">
        <v>2329</v>
      </c>
    </row>
    <row r="1201" spans="1:9" x14ac:dyDescent="0.25">
      <c r="A1201" s="6">
        <v>45992.652777777781</v>
      </c>
      <c r="B1201" s="5" t="s">
        <v>32</v>
      </c>
      <c r="C1201" s="8">
        <v>175.543323855702</v>
      </c>
      <c r="D1201" s="8">
        <v>175.7513320803462</v>
      </c>
      <c r="E1201" s="8">
        <v>175.38565116605881</v>
      </c>
      <c r="F1201" s="8">
        <v>175.57371077262559</v>
      </c>
      <c r="G1201" s="7">
        <v>114030</v>
      </c>
      <c r="H1201" s="9">
        <v>20020670.239402499</v>
      </c>
      <c r="I1201" s="5" t="s">
        <v>2330</v>
      </c>
    </row>
    <row r="1202" spans="1:9" x14ac:dyDescent="0.25">
      <c r="A1202" s="6">
        <v>45992.65625</v>
      </c>
      <c r="B1202" s="5" t="s">
        <v>32</v>
      </c>
      <c r="C1202" s="8">
        <v>175.3579721384362</v>
      </c>
      <c r="D1202" s="8">
        <v>175.50074935127671</v>
      </c>
      <c r="E1202" s="8">
        <v>175.28998339867249</v>
      </c>
      <c r="F1202" s="8">
        <v>175.41967154260561</v>
      </c>
      <c r="G1202" s="7">
        <v>53570</v>
      </c>
      <c r="H1202" s="9">
        <v>9397231.8045373801</v>
      </c>
      <c r="I1202" s="5" t="s">
        <v>2331</v>
      </c>
    </row>
    <row r="1203" spans="1:9" x14ac:dyDescent="0.25">
      <c r="A1203" s="6">
        <v>45992.659722222219</v>
      </c>
      <c r="B1203" s="5" t="s">
        <v>32</v>
      </c>
      <c r="C1203" s="8">
        <v>175.3659284092422</v>
      </c>
      <c r="D1203" s="8">
        <v>175.44610206498569</v>
      </c>
      <c r="E1203" s="8">
        <v>175.22832327929191</v>
      </c>
      <c r="F1203" s="8">
        <v>175.34292889959781</v>
      </c>
      <c r="G1203" s="7">
        <v>91780</v>
      </c>
      <c r="H1203" s="9">
        <v>16092974.014405079</v>
      </c>
      <c r="I1203" s="5" t="s">
        <v>2332</v>
      </c>
    </row>
    <row r="1204" spans="1:9" x14ac:dyDescent="0.25">
      <c r="A1204" s="6">
        <v>45992.663194444453</v>
      </c>
      <c r="B1204" s="5" t="s">
        <v>32</v>
      </c>
      <c r="C1204" s="8">
        <v>175.37775573494201</v>
      </c>
      <c r="D1204" s="8">
        <v>175.46627217392759</v>
      </c>
      <c r="E1204" s="8">
        <v>175.3655641227484</v>
      </c>
      <c r="F1204" s="8">
        <v>175.37885773821941</v>
      </c>
      <c r="G1204" s="7">
        <v>98688</v>
      </c>
      <c r="H1204" s="9">
        <v>17307788.712469399</v>
      </c>
      <c r="I1204" s="5" t="s">
        <v>2333</v>
      </c>
    </row>
    <row r="1205" spans="1:9" x14ac:dyDescent="0.25">
      <c r="A1205" s="6">
        <v>45992.666666666657</v>
      </c>
      <c r="B1205" s="5" t="s">
        <v>32</v>
      </c>
      <c r="C1205" s="8">
        <v>175.246501219782</v>
      </c>
      <c r="D1205" s="8">
        <v>175.29879506233831</v>
      </c>
      <c r="E1205" s="8">
        <v>175.1081826390982</v>
      </c>
      <c r="F1205" s="8">
        <v>175.1834784761692</v>
      </c>
      <c r="G1205" s="7">
        <v>50790</v>
      </c>
      <c r="H1205" s="9">
        <v>8897568.8718046322</v>
      </c>
      <c r="I1205" s="5" t="s">
        <v>2334</v>
      </c>
    </row>
    <row r="1206" spans="1:9" x14ac:dyDescent="0.25">
      <c r="A1206" s="6">
        <v>45992.670138888891</v>
      </c>
      <c r="B1206" s="5" t="s">
        <v>32</v>
      </c>
      <c r="C1206" s="8">
        <v>175.46326971093089</v>
      </c>
      <c r="D1206" s="8">
        <v>175.5407793640122</v>
      </c>
      <c r="E1206" s="8">
        <v>175.32979541797039</v>
      </c>
      <c r="F1206" s="8">
        <v>175.443921342491</v>
      </c>
      <c r="G1206" s="7">
        <v>35381</v>
      </c>
      <c r="H1206" s="9">
        <v>6207381.3810186731</v>
      </c>
      <c r="I1206" s="5" t="s">
        <v>2335</v>
      </c>
    </row>
    <row r="1207" spans="1:9" x14ac:dyDescent="0.25">
      <c r="A1207" s="6">
        <v>45992.673611111109</v>
      </c>
      <c r="B1207" s="5" t="s">
        <v>32</v>
      </c>
      <c r="C1207" s="8">
        <v>175.55886901266879</v>
      </c>
      <c r="D1207" s="8">
        <v>175.57458663408639</v>
      </c>
      <c r="E1207" s="8">
        <v>175.32285163816749</v>
      </c>
      <c r="F1207" s="8">
        <v>175.4795247432875</v>
      </c>
      <c r="G1207" s="7">
        <v>108350</v>
      </c>
      <c r="H1207" s="9">
        <v>19013206.5059352</v>
      </c>
      <c r="I1207" s="5" t="s">
        <v>2336</v>
      </c>
    </row>
    <row r="1208" spans="1:9" x14ac:dyDescent="0.25">
      <c r="A1208" s="6">
        <v>45992.677083333343</v>
      </c>
      <c r="B1208" s="5" t="s">
        <v>32</v>
      </c>
      <c r="C1208" s="8">
        <v>175.43551947605729</v>
      </c>
      <c r="D1208" s="8">
        <v>175.52333830163539</v>
      </c>
      <c r="E1208" s="8">
        <v>175.31954199150499</v>
      </c>
      <c r="F1208" s="8">
        <v>175.39617085849551</v>
      </c>
      <c r="G1208" s="7">
        <v>65962</v>
      </c>
      <c r="H1208" s="9">
        <v>11569482.222168081</v>
      </c>
      <c r="I1208" s="5" t="s">
        <v>2337</v>
      </c>
    </row>
    <row r="1209" spans="1:9" x14ac:dyDescent="0.25">
      <c r="A1209" s="6">
        <v>45992.680555555547</v>
      </c>
      <c r="B1209" s="5" t="s">
        <v>32</v>
      </c>
      <c r="C1209" s="8">
        <v>174.92277436423481</v>
      </c>
      <c r="D1209" s="8">
        <v>175.02276447333441</v>
      </c>
      <c r="E1209" s="8">
        <v>174.87721378234929</v>
      </c>
      <c r="F1209" s="8">
        <v>174.9762039787102</v>
      </c>
      <c r="G1209" s="7">
        <v>33478</v>
      </c>
      <c r="H1209" s="9">
        <v>5857853.3567992589</v>
      </c>
      <c r="I1209" s="5" t="s">
        <v>2338</v>
      </c>
    </row>
    <row r="1210" spans="1:9" x14ac:dyDescent="0.25">
      <c r="A1210" s="6">
        <v>45992.684027777781</v>
      </c>
      <c r="B1210" s="5" t="s">
        <v>32</v>
      </c>
      <c r="C1210" s="8">
        <v>175.13141585898231</v>
      </c>
      <c r="D1210" s="8">
        <v>175.1672719496589</v>
      </c>
      <c r="E1210" s="8">
        <v>174.9271476460118</v>
      </c>
      <c r="F1210" s="8">
        <v>175.14494509769639</v>
      </c>
      <c r="G1210" s="7">
        <v>56936</v>
      </c>
      <c r="H1210" s="9">
        <v>9972052.5940824412</v>
      </c>
      <c r="I1210" s="5" t="s">
        <v>2339</v>
      </c>
    </row>
    <row r="1211" spans="1:9" x14ac:dyDescent="0.25">
      <c r="A1211" s="6">
        <v>45992.6875</v>
      </c>
      <c r="B1211" s="5" t="s">
        <v>32</v>
      </c>
      <c r="C1211" s="8">
        <v>175.27926799703971</v>
      </c>
      <c r="D1211" s="8">
        <v>175.3356017648494</v>
      </c>
      <c r="E1211" s="8">
        <v>175.22247314018159</v>
      </c>
      <c r="F1211" s="8">
        <v>175.23768133271881</v>
      </c>
      <c r="G1211" s="7">
        <v>53841</v>
      </c>
      <c r="H1211" s="9">
        <v>9434972.0006349124</v>
      </c>
      <c r="I1211" s="5" t="s">
        <v>2340</v>
      </c>
    </row>
    <row r="1212" spans="1:9" x14ac:dyDescent="0.25">
      <c r="A1212" s="6">
        <v>45992.690972222219</v>
      </c>
      <c r="B1212" s="5" t="s">
        <v>32</v>
      </c>
      <c r="C1212" s="8">
        <v>175.28496219889371</v>
      </c>
      <c r="D1212" s="8">
        <v>175.31706108027089</v>
      </c>
      <c r="E1212" s="8">
        <v>175.22276985441141</v>
      </c>
      <c r="F1212" s="8">
        <v>175.25398419499669</v>
      </c>
      <c r="G1212" s="7">
        <v>66606</v>
      </c>
      <c r="H1212" s="9">
        <v>11672966.87129195</v>
      </c>
      <c r="I1212" s="5" t="s">
        <v>2341</v>
      </c>
    </row>
    <row r="1213" spans="1:9" x14ac:dyDescent="0.25">
      <c r="A1213" s="6">
        <v>45992.694444444453</v>
      </c>
      <c r="B1213" s="5" t="s">
        <v>32</v>
      </c>
      <c r="C1213" s="8">
        <v>175.21045794226811</v>
      </c>
      <c r="D1213" s="8">
        <v>175.215709687996</v>
      </c>
      <c r="E1213" s="8">
        <v>175.0958408513203</v>
      </c>
      <c r="F1213" s="8">
        <v>175.2011824849119</v>
      </c>
      <c r="G1213" s="7">
        <v>98161</v>
      </c>
      <c r="H1213" s="9">
        <v>17197923.27390144</v>
      </c>
      <c r="I1213" s="5" t="s">
        <v>2342</v>
      </c>
    </row>
    <row r="1214" spans="1:9" x14ac:dyDescent="0.25">
      <c r="A1214" s="6">
        <v>45992.697916666657</v>
      </c>
      <c r="B1214" s="5" t="s">
        <v>32</v>
      </c>
      <c r="C1214" s="8">
        <v>175.24134305729569</v>
      </c>
      <c r="D1214" s="8">
        <v>175.40243548010579</v>
      </c>
      <c r="E1214" s="8">
        <v>175.1811294309384</v>
      </c>
      <c r="F1214" s="8">
        <v>175.2933278752912</v>
      </c>
      <c r="G1214" s="7">
        <v>47117</v>
      </c>
      <c r="H1214" s="9">
        <v>8259295.7295000954</v>
      </c>
      <c r="I1214" s="5" t="s">
        <v>2343</v>
      </c>
    </row>
    <row r="1215" spans="1:9" x14ac:dyDescent="0.25">
      <c r="A1215" s="6">
        <v>45992.701388888891</v>
      </c>
      <c r="B1215" s="5" t="s">
        <v>32</v>
      </c>
      <c r="C1215" s="8">
        <v>175.13084290017559</v>
      </c>
      <c r="D1215" s="8">
        <v>175.17499091694069</v>
      </c>
      <c r="E1215" s="8">
        <v>175.01502102753079</v>
      </c>
      <c r="F1215" s="8">
        <v>175.12440503814571</v>
      </c>
      <c r="G1215" s="7">
        <v>98380</v>
      </c>
      <c r="H1215" s="9">
        <v>17228738.967652779</v>
      </c>
      <c r="I1215" s="5" t="s">
        <v>2344</v>
      </c>
    </row>
    <row r="1216" spans="1:9" x14ac:dyDescent="0.25">
      <c r="A1216" s="6">
        <v>45992.704861111109</v>
      </c>
      <c r="B1216" s="5" t="s">
        <v>32</v>
      </c>
      <c r="C1216" s="8">
        <v>175.06524931741319</v>
      </c>
      <c r="D1216" s="8">
        <v>175.21551958988039</v>
      </c>
      <c r="E1216" s="8">
        <v>174.92772025931029</v>
      </c>
      <c r="F1216" s="8">
        <v>175.0540154857556</v>
      </c>
      <c r="G1216" s="7">
        <v>40576</v>
      </c>
      <c r="H1216" s="9">
        <v>7102991.7323500207</v>
      </c>
      <c r="I1216" s="5" t="s">
        <v>2345</v>
      </c>
    </row>
    <row r="1217" spans="1:9" x14ac:dyDescent="0.25">
      <c r="A1217" s="6">
        <v>45992.708333333343</v>
      </c>
      <c r="B1217" s="5" t="s">
        <v>32</v>
      </c>
      <c r="C1217" s="8">
        <v>175.21368645742251</v>
      </c>
      <c r="D1217" s="8">
        <v>175.25015461581609</v>
      </c>
      <c r="E1217" s="8">
        <v>175.13886617352799</v>
      </c>
      <c r="F1217" s="8">
        <v>175.18204244819299</v>
      </c>
      <c r="G1217" s="7">
        <v>64393</v>
      </c>
      <c r="H1217" s="9">
        <v>11280497.25936649</v>
      </c>
      <c r="I1217" s="5" t="s">
        <v>2346</v>
      </c>
    </row>
    <row r="1218" spans="1:9" x14ac:dyDescent="0.25">
      <c r="A1218" s="6">
        <v>45992.711805555547</v>
      </c>
      <c r="B1218" s="5" t="s">
        <v>32</v>
      </c>
      <c r="C1218" s="8">
        <v>175.01014443187171</v>
      </c>
      <c r="D1218" s="8">
        <v>175.11498838055411</v>
      </c>
      <c r="E1218" s="8">
        <v>174.90473886711999</v>
      </c>
      <c r="F1218" s="8">
        <v>175.02893242437671</v>
      </c>
      <c r="G1218" s="7">
        <v>71830</v>
      </c>
      <c r="H1218" s="9">
        <v>12572328.216042981</v>
      </c>
      <c r="I1218" s="5" t="s">
        <v>2347</v>
      </c>
    </row>
    <row r="1219" spans="1:9" x14ac:dyDescent="0.25">
      <c r="A1219" s="6">
        <v>45992.715277777781</v>
      </c>
      <c r="B1219" s="5" t="s">
        <v>32</v>
      </c>
      <c r="C1219" s="8">
        <v>174.99751054311241</v>
      </c>
      <c r="D1219" s="8">
        <v>175.02565446585609</v>
      </c>
      <c r="E1219" s="8">
        <v>174.91860998945751</v>
      </c>
      <c r="F1219" s="8">
        <v>174.99423998292951</v>
      </c>
      <c r="G1219" s="7">
        <v>77516</v>
      </c>
      <c r="H1219" s="9">
        <v>13564853.50651676</v>
      </c>
      <c r="I1219" s="5" t="s">
        <v>2348</v>
      </c>
    </row>
    <row r="1220" spans="1:9" x14ac:dyDescent="0.25">
      <c r="A1220" s="6">
        <v>45992.71875</v>
      </c>
      <c r="B1220" s="5" t="s">
        <v>32</v>
      </c>
      <c r="C1220" s="8">
        <v>174.96945899533969</v>
      </c>
      <c r="D1220" s="8">
        <v>175.0604486536611</v>
      </c>
      <c r="E1220" s="8">
        <v>174.85973040212991</v>
      </c>
      <c r="F1220" s="8">
        <v>175.06040335097879</v>
      </c>
      <c r="G1220" s="7">
        <v>40448</v>
      </c>
      <c r="H1220" s="9">
        <v>7080843.1947403885</v>
      </c>
      <c r="I1220" s="5" t="s">
        <v>2349</v>
      </c>
    </row>
    <row r="1221" spans="1:9" x14ac:dyDescent="0.25">
      <c r="A1221" s="6">
        <v>45992.722222222219</v>
      </c>
      <c r="B1221" s="5" t="s">
        <v>32</v>
      </c>
      <c r="C1221" s="8">
        <v>174.78462703711321</v>
      </c>
      <c r="D1221" s="8">
        <v>174.87328250301769</v>
      </c>
      <c r="E1221" s="8">
        <v>174.63987198642209</v>
      </c>
      <c r="F1221" s="8">
        <v>174.8025060627518</v>
      </c>
      <c r="G1221" s="7">
        <v>64372</v>
      </c>
      <c r="H1221" s="9">
        <v>11252386.92027146</v>
      </c>
      <c r="I1221" s="5" t="s">
        <v>2350</v>
      </c>
    </row>
    <row r="1222" spans="1:9" x14ac:dyDescent="0.25">
      <c r="A1222" s="6">
        <v>45992.725694444453</v>
      </c>
      <c r="B1222" s="5" t="s">
        <v>32</v>
      </c>
      <c r="C1222" s="8">
        <v>174.7301568397192</v>
      </c>
      <c r="D1222" s="8">
        <v>174.7678486248407</v>
      </c>
      <c r="E1222" s="8">
        <v>174.69875648584139</v>
      </c>
      <c r="F1222" s="8">
        <v>174.7386822327428</v>
      </c>
      <c r="G1222" s="7">
        <v>47119</v>
      </c>
      <c r="H1222" s="9">
        <v>8233511.9681246094</v>
      </c>
      <c r="I1222" s="5" t="s">
        <v>2351</v>
      </c>
    </row>
    <row r="1223" spans="1:9" x14ac:dyDescent="0.25">
      <c r="A1223" s="6">
        <v>45992.729166666657</v>
      </c>
      <c r="B1223" s="5" t="s">
        <v>32</v>
      </c>
      <c r="C1223" s="8">
        <v>174.81874810521461</v>
      </c>
      <c r="D1223" s="8">
        <v>174.8682230109562</v>
      </c>
      <c r="E1223" s="8">
        <v>174.68615035980611</v>
      </c>
      <c r="F1223" s="8">
        <v>174.7453840510702</v>
      </c>
      <c r="G1223" s="7">
        <v>41684</v>
      </c>
      <c r="H1223" s="9">
        <v>7284086.5887848092</v>
      </c>
      <c r="I1223" s="5" t="s">
        <v>2352</v>
      </c>
    </row>
    <row r="1224" spans="1:9" x14ac:dyDescent="0.25">
      <c r="A1224" s="6">
        <v>45992.732638888891</v>
      </c>
      <c r="B1224" s="5" t="s">
        <v>32</v>
      </c>
      <c r="C1224" s="8">
        <v>174.5720137586305</v>
      </c>
      <c r="D1224" s="8">
        <v>174.73029390429809</v>
      </c>
      <c r="E1224" s="8">
        <v>174.4803049792057</v>
      </c>
      <c r="F1224" s="8">
        <v>174.64663135812569</v>
      </c>
      <c r="G1224" s="7">
        <v>66835</v>
      </c>
      <c r="H1224" s="9">
        <v>11672507.60682033</v>
      </c>
      <c r="I1224" s="5" t="s">
        <v>2353</v>
      </c>
    </row>
    <row r="1225" spans="1:9" x14ac:dyDescent="0.25">
      <c r="A1225" s="6">
        <v>45992.736111111109</v>
      </c>
      <c r="B1225" s="5" t="s">
        <v>32</v>
      </c>
      <c r="C1225" s="8">
        <v>174.72269880077729</v>
      </c>
      <c r="D1225" s="8">
        <v>174.79941583747041</v>
      </c>
      <c r="E1225" s="8">
        <v>174.60880485766879</v>
      </c>
      <c r="F1225" s="8">
        <v>174.7501172480961</v>
      </c>
      <c r="G1225" s="7">
        <v>50280</v>
      </c>
      <c r="H1225" s="9">
        <v>8786435.8952342719</v>
      </c>
      <c r="I1225" s="5" t="s">
        <v>2354</v>
      </c>
    </row>
    <row r="1226" spans="1:9" x14ac:dyDescent="0.25">
      <c r="A1226" s="6">
        <v>45992.739583333343</v>
      </c>
      <c r="B1226" s="5" t="s">
        <v>32</v>
      </c>
      <c r="C1226" s="8">
        <v>174.97319203832961</v>
      </c>
      <c r="D1226" s="8">
        <v>175.1029839847144</v>
      </c>
      <c r="E1226" s="8">
        <v>174.7909676966087</v>
      </c>
      <c r="F1226" s="8">
        <v>174.8925712120284</v>
      </c>
      <c r="G1226" s="7">
        <v>104013</v>
      </c>
      <c r="H1226" s="9">
        <v>18191101.00947671</v>
      </c>
      <c r="I1226" s="5" t="s">
        <v>2355</v>
      </c>
    </row>
    <row r="1227" spans="1:9" x14ac:dyDescent="0.25">
      <c r="A1227" s="6">
        <v>45992.743055555547</v>
      </c>
      <c r="B1227" s="5" t="s">
        <v>32</v>
      </c>
      <c r="C1227" s="8">
        <v>175.10736955431071</v>
      </c>
      <c r="D1227" s="8">
        <v>175.272544878383</v>
      </c>
      <c r="E1227" s="8">
        <v>174.99158183069599</v>
      </c>
      <c r="F1227" s="8">
        <v>175.0315258778954</v>
      </c>
      <c r="G1227" s="7">
        <v>116741</v>
      </c>
      <c r="H1227" s="9">
        <v>20433355.362511389</v>
      </c>
      <c r="I1227" s="5" t="s">
        <v>2356</v>
      </c>
    </row>
    <row r="1228" spans="1:9" x14ac:dyDescent="0.25">
      <c r="A1228" s="6">
        <v>45992.746527777781</v>
      </c>
      <c r="B1228" s="5" t="s">
        <v>32</v>
      </c>
      <c r="C1228" s="8">
        <v>175.2834547020411</v>
      </c>
      <c r="D1228" s="8">
        <v>175.3095461762114</v>
      </c>
      <c r="E1228" s="8">
        <v>175.18972879494839</v>
      </c>
      <c r="F1228" s="8">
        <v>175.23422308766791</v>
      </c>
      <c r="G1228" s="7">
        <v>44829</v>
      </c>
      <c r="H1228" s="9">
        <v>7855574.9867970636</v>
      </c>
      <c r="I1228" s="5" t="s">
        <v>2357</v>
      </c>
    </row>
    <row r="1229" spans="1:9" x14ac:dyDescent="0.25">
      <c r="A1229" s="6">
        <v>45992.75</v>
      </c>
      <c r="B1229" s="5" t="s">
        <v>32</v>
      </c>
      <c r="C1229" s="8">
        <v>174.95164419374561</v>
      </c>
      <c r="D1229" s="8">
        <v>175.08661698859831</v>
      </c>
      <c r="E1229" s="8">
        <v>174.93937578858149</v>
      </c>
      <c r="F1229" s="8">
        <v>174.9990455204474</v>
      </c>
      <c r="G1229" s="7">
        <v>45825</v>
      </c>
      <c r="H1229" s="9">
        <v>8019331.2609745003</v>
      </c>
      <c r="I1229" s="5" t="s">
        <v>2358</v>
      </c>
    </row>
    <row r="1230" spans="1:9" x14ac:dyDescent="0.25">
      <c r="A1230" s="6">
        <v>45992.753472222219</v>
      </c>
      <c r="B1230" s="5" t="s">
        <v>32</v>
      </c>
      <c r="C1230" s="8">
        <v>174.71837116666299</v>
      </c>
      <c r="D1230" s="8">
        <v>174.9383337050989</v>
      </c>
      <c r="E1230" s="8">
        <v>174.6699899943992</v>
      </c>
      <c r="F1230" s="8">
        <v>174.7132549707776</v>
      </c>
      <c r="G1230" s="7">
        <v>73904</v>
      </c>
      <c r="H1230" s="9">
        <v>12912008.395360351</v>
      </c>
      <c r="I1230" s="5" t="s">
        <v>2359</v>
      </c>
    </row>
    <row r="1231" spans="1:9" x14ac:dyDescent="0.25">
      <c r="A1231" s="6">
        <v>45992.756944444453</v>
      </c>
      <c r="B1231" s="5" t="s">
        <v>32</v>
      </c>
      <c r="C1231" s="8">
        <v>174.39585017295801</v>
      </c>
      <c r="D1231" s="8">
        <v>174.47662898658169</v>
      </c>
      <c r="E1231" s="8">
        <v>174.26563529473299</v>
      </c>
      <c r="F1231" s="8">
        <v>174.46256888132839</v>
      </c>
      <c r="G1231" s="7">
        <v>55714</v>
      </c>
      <c r="H1231" s="9">
        <v>9720007.5626543313</v>
      </c>
      <c r="I1231" s="5" t="s">
        <v>2360</v>
      </c>
    </row>
    <row r="1232" spans="1:9" x14ac:dyDescent="0.25">
      <c r="A1232" s="6">
        <v>45992.760416666657</v>
      </c>
      <c r="B1232" s="5" t="s">
        <v>32</v>
      </c>
      <c r="C1232" s="8">
        <v>174.38999887542869</v>
      </c>
      <c r="D1232" s="8">
        <v>174.579791849862</v>
      </c>
      <c r="E1232" s="8">
        <v>174.21501798818861</v>
      </c>
      <c r="F1232" s="8">
        <v>174.38044336153001</v>
      </c>
      <c r="G1232" s="7">
        <v>73825</v>
      </c>
      <c r="H1232" s="9">
        <v>12873636.231164951</v>
      </c>
      <c r="I1232" s="5" t="s">
        <v>2361</v>
      </c>
    </row>
    <row r="1233" spans="1:9" x14ac:dyDescent="0.25">
      <c r="A1233" s="6">
        <v>45992.763888888891</v>
      </c>
      <c r="B1233" s="5" t="s">
        <v>32</v>
      </c>
      <c r="C1233" s="8">
        <v>174.5187827765586</v>
      </c>
      <c r="D1233" s="8">
        <v>174.5244513339542</v>
      </c>
      <c r="E1233" s="8">
        <v>174.45368040477319</v>
      </c>
      <c r="F1233" s="8">
        <v>174.4921632169779</v>
      </c>
      <c r="G1233" s="7">
        <v>31625</v>
      </c>
      <c r="H1233" s="9">
        <v>5518314.661736927</v>
      </c>
      <c r="I1233" s="5" t="s">
        <v>2362</v>
      </c>
    </row>
    <row r="1234" spans="1:9" x14ac:dyDescent="0.25">
      <c r="A1234" s="6">
        <v>45992.767361111109</v>
      </c>
      <c r="B1234" s="5" t="s">
        <v>32</v>
      </c>
      <c r="C1234" s="8">
        <v>174.2850239556218</v>
      </c>
      <c r="D1234" s="8">
        <v>174.40206155403229</v>
      </c>
      <c r="E1234" s="8">
        <v>174.27308959496429</v>
      </c>
      <c r="F1234" s="8">
        <v>174.3097028542625</v>
      </c>
      <c r="G1234" s="7">
        <v>58930</v>
      </c>
      <c r="H1234" s="9">
        <v>10272070.78920169</v>
      </c>
      <c r="I1234" s="5" t="s">
        <v>2363</v>
      </c>
    </row>
    <row r="1235" spans="1:9" x14ac:dyDescent="0.25">
      <c r="A1235" s="6">
        <v>45992.770833333343</v>
      </c>
      <c r="B1235" s="5" t="s">
        <v>32</v>
      </c>
      <c r="C1235" s="8">
        <v>174.12438188321019</v>
      </c>
      <c r="D1235" s="8">
        <v>174.1563214072367</v>
      </c>
      <c r="E1235" s="8">
        <v>174.0695481269473</v>
      </c>
      <c r="F1235" s="8">
        <v>174.1218501334337</v>
      </c>
      <c r="G1235" s="7">
        <v>55870</v>
      </c>
      <c r="H1235" s="9">
        <v>9728187.7669549398</v>
      </c>
      <c r="I1235" s="5" t="s">
        <v>2364</v>
      </c>
    </row>
    <row r="1236" spans="1:9" x14ac:dyDescent="0.25">
      <c r="A1236" s="6">
        <v>45992.774305555547</v>
      </c>
      <c r="B1236" s="5" t="s">
        <v>32</v>
      </c>
      <c r="C1236" s="8">
        <v>174.3659500011193</v>
      </c>
      <c r="D1236" s="8">
        <v>174.51693644045969</v>
      </c>
      <c r="E1236" s="8">
        <v>174.2264358030761</v>
      </c>
      <c r="F1236" s="8">
        <v>174.42978288604701</v>
      </c>
      <c r="G1236" s="7">
        <v>37628</v>
      </c>
      <c r="H1236" s="9">
        <v>6563443.8704361776</v>
      </c>
      <c r="I1236" s="5" t="s">
        <v>2365</v>
      </c>
    </row>
    <row r="1237" spans="1:9" x14ac:dyDescent="0.25">
      <c r="A1237" s="6">
        <v>45992.777777777781</v>
      </c>
      <c r="B1237" s="5" t="s">
        <v>32</v>
      </c>
      <c r="C1237" s="8">
        <v>174.50930868974419</v>
      </c>
      <c r="D1237" s="8">
        <v>174.6170328872127</v>
      </c>
      <c r="E1237" s="8">
        <v>174.50854183645291</v>
      </c>
      <c r="F1237" s="8">
        <v>174.5329229447899</v>
      </c>
      <c r="G1237" s="7">
        <v>143554</v>
      </c>
      <c r="H1237" s="9">
        <v>25054899.220416371</v>
      </c>
      <c r="I1237" s="5" t="s">
        <v>2366</v>
      </c>
    </row>
    <row r="1238" spans="1:9" x14ac:dyDescent="0.25">
      <c r="A1238" s="6">
        <v>45992.78125</v>
      </c>
      <c r="B1238" s="5" t="s">
        <v>32</v>
      </c>
      <c r="C1238" s="8">
        <v>174.4119939304174</v>
      </c>
      <c r="D1238" s="8">
        <v>174.55608540198199</v>
      </c>
      <c r="E1238" s="8">
        <v>174.3497162740276</v>
      </c>
      <c r="F1238" s="8">
        <v>174.4314765019671</v>
      </c>
      <c r="G1238" s="7">
        <v>136643</v>
      </c>
      <c r="H1238" s="9">
        <v>23834840.243658289</v>
      </c>
      <c r="I1238" s="5" t="s">
        <v>2367</v>
      </c>
    </row>
    <row r="1239" spans="1:9" x14ac:dyDescent="0.25">
      <c r="A1239" s="6">
        <v>45992.784722222219</v>
      </c>
      <c r="B1239" s="5" t="s">
        <v>32</v>
      </c>
      <c r="C1239" s="8">
        <v>174.21325144118231</v>
      </c>
      <c r="D1239" s="8">
        <v>174.3252061003266</v>
      </c>
      <c r="E1239" s="8">
        <v>174.18643435711931</v>
      </c>
      <c r="F1239" s="8">
        <v>174.22596958090219</v>
      </c>
      <c r="G1239" s="7">
        <v>49895</v>
      </c>
      <c r="H1239" s="9">
        <v>8693004.7522391174</v>
      </c>
      <c r="I1239" s="5" t="s">
        <v>2368</v>
      </c>
    </row>
    <row r="1240" spans="1:9" x14ac:dyDescent="0.25">
      <c r="A1240" s="6">
        <v>45992.788194444453</v>
      </c>
      <c r="B1240" s="5" t="s">
        <v>32</v>
      </c>
      <c r="C1240" s="8">
        <v>173.99250561226319</v>
      </c>
      <c r="D1240" s="8">
        <v>174.08747822246821</v>
      </c>
      <c r="E1240" s="8">
        <v>173.96171818237721</v>
      </c>
      <c r="F1240" s="8">
        <v>174.00090999852969</v>
      </c>
      <c r="G1240" s="7">
        <v>41899</v>
      </c>
      <c r="H1240" s="9">
        <v>7290464.1280283956</v>
      </c>
      <c r="I1240" s="5" t="s">
        <v>2369</v>
      </c>
    </row>
    <row r="1241" spans="1:9" x14ac:dyDescent="0.25">
      <c r="A1241" s="6">
        <v>45992.791666666657</v>
      </c>
      <c r="B1241" s="5" t="s">
        <v>32</v>
      </c>
      <c r="C1241" s="8">
        <v>174.24718047343171</v>
      </c>
      <c r="D1241" s="8">
        <v>174.30435682764491</v>
      </c>
      <c r="E1241" s="8">
        <v>174.17811568343899</v>
      </c>
      <c r="F1241" s="8">
        <v>174.20447789193321</v>
      </c>
      <c r="G1241" s="7">
        <v>43864</v>
      </c>
      <c r="H1241" s="9">
        <v>7641305.2182517592</v>
      </c>
      <c r="I1241" s="5" t="s">
        <v>2370</v>
      </c>
    </row>
    <row r="1242" spans="1:9" x14ac:dyDescent="0.25">
      <c r="A1242" s="6">
        <v>45992.795138888891</v>
      </c>
      <c r="B1242" s="5" t="s">
        <v>32</v>
      </c>
      <c r="C1242" s="8">
        <v>174.37967073119151</v>
      </c>
      <c r="D1242" s="8">
        <v>174.4227307111075</v>
      </c>
      <c r="E1242" s="8">
        <v>174.35523928744169</v>
      </c>
      <c r="F1242" s="8">
        <v>174.37812273498591</v>
      </c>
      <c r="G1242" s="7">
        <v>67630</v>
      </c>
      <c r="H1242" s="9">
        <v>11793192.440567089</v>
      </c>
      <c r="I1242" s="5" t="s">
        <v>2371</v>
      </c>
    </row>
    <row r="1243" spans="1:9" x14ac:dyDescent="0.25">
      <c r="A1243" s="6">
        <v>45992.798611111109</v>
      </c>
      <c r="B1243" s="5" t="s">
        <v>32</v>
      </c>
      <c r="C1243" s="8">
        <v>174.5011230893025</v>
      </c>
      <c r="D1243" s="8">
        <v>174.54829231272399</v>
      </c>
      <c r="E1243" s="8">
        <v>174.3788776838264</v>
      </c>
      <c r="F1243" s="8">
        <v>174.50431185776901</v>
      </c>
      <c r="G1243" s="7">
        <v>53554</v>
      </c>
      <c r="H1243" s="9">
        <v>9345403.9172309637</v>
      </c>
      <c r="I1243" s="5" t="s">
        <v>2372</v>
      </c>
    </row>
    <row r="1244" spans="1:9" x14ac:dyDescent="0.25">
      <c r="A1244" s="6">
        <v>45992.802083333343</v>
      </c>
      <c r="B1244" s="5" t="s">
        <v>32</v>
      </c>
      <c r="C1244" s="8">
        <v>174.4789351535685</v>
      </c>
      <c r="D1244" s="8">
        <v>174.4857678156915</v>
      </c>
      <c r="E1244" s="8">
        <v>174.40403006413831</v>
      </c>
      <c r="F1244" s="8">
        <v>174.4645299039957</v>
      </c>
      <c r="G1244" s="7">
        <v>56640</v>
      </c>
      <c r="H1244" s="9">
        <v>9881670.9737623166</v>
      </c>
      <c r="I1244" s="5" t="s">
        <v>2373</v>
      </c>
    </row>
    <row r="1245" spans="1:9" x14ac:dyDescent="0.25">
      <c r="A1245" s="6">
        <v>45992.805555555547</v>
      </c>
      <c r="B1245" s="5" t="s">
        <v>32</v>
      </c>
      <c r="C1245" s="8">
        <v>174.54722453860961</v>
      </c>
      <c r="D1245" s="8">
        <v>174.57771123049449</v>
      </c>
      <c r="E1245" s="8">
        <v>174.51652499518161</v>
      </c>
      <c r="F1245" s="8">
        <v>174.55474695913179</v>
      </c>
      <c r="G1245" s="7">
        <v>52466</v>
      </c>
      <c r="H1245" s="9">
        <v>9158189.3539578076</v>
      </c>
      <c r="I1245" s="5" t="s">
        <v>2374</v>
      </c>
    </row>
    <row r="1246" spans="1:9" x14ac:dyDescent="0.25">
      <c r="A1246" s="6">
        <v>45992.809027777781</v>
      </c>
      <c r="B1246" s="5" t="s">
        <v>32</v>
      </c>
      <c r="C1246" s="8">
        <v>174.6304920405673</v>
      </c>
      <c r="D1246" s="8">
        <v>174.66545076207021</v>
      </c>
      <c r="E1246" s="8">
        <v>174.57635035956409</v>
      </c>
      <c r="F1246" s="8">
        <v>174.6008287815248</v>
      </c>
      <c r="G1246" s="7">
        <v>67476</v>
      </c>
      <c r="H1246" s="9">
        <v>11781365.52286217</v>
      </c>
      <c r="I1246" s="5" t="s">
        <v>2375</v>
      </c>
    </row>
    <row r="1247" spans="1:9" x14ac:dyDescent="0.25">
      <c r="A1247" s="6">
        <v>45992.8125</v>
      </c>
      <c r="B1247" s="5" t="s">
        <v>32</v>
      </c>
      <c r="C1247" s="8">
        <v>174.78058414985051</v>
      </c>
      <c r="D1247" s="8">
        <v>174.92362738899769</v>
      </c>
      <c r="E1247" s="8">
        <v>174.6277218631418</v>
      </c>
      <c r="F1247" s="8">
        <v>174.71144729370661</v>
      </c>
      <c r="G1247" s="7">
        <v>49899</v>
      </c>
      <c r="H1247" s="9">
        <v>8717926.5085086655</v>
      </c>
      <c r="I1247" s="5" t="s">
        <v>2376</v>
      </c>
    </row>
    <row r="1248" spans="1:9" x14ac:dyDescent="0.25">
      <c r="A1248" s="6">
        <v>45992.815972222219</v>
      </c>
      <c r="B1248" s="5" t="s">
        <v>32</v>
      </c>
      <c r="C1248" s="8">
        <v>174.84722734991729</v>
      </c>
      <c r="D1248" s="8">
        <v>175.03415347311349</v>
      </c>
      <c r="E1248" s="8">
        <v>174.74542716853239</v>
      </c>
      <c r="F1248" s="8">
        <v>174.80181958750671</v>
      </c>
      <c r="G1248" s="7">
        <v>84072</v>
      </c>
      <c r="H1248" s="9">
        <v>14695938.576360861</v>
      </c>
      <c r="I1248" s="5" t="s">
        <v>2377</v>
      </c>
    </row>
    <row r="1249" spans="1:9" x14ac:dyDescent="0.25">
      <c r="A1249" s="6">
        <v>45992.819444444453</v>
      </c>
      <c r="B1249" s="5" t="s">
        <v>32</v>
      </c>
      <c r="C1249" s="8">
        <v>174.41946835190751</v>
      </c>
      <c r="D1249" s="8">
        <v>174.65126158336699</v>
      </c>
      <c r="E1249" s="8">
        <v>174.34046707696911</v>
      </c>
      <c r="F1249" s="8">
        <v>174.41864213833429</v>
      </c>
      <c r="G1249" s="7">
        <v>40017</v>
      </c>
      <c r="H1249" s="9">
        <v>6979710.8024497218</v>
      </c>
      <c r="I1249" s="5" t="s">
        <v>2378</v>
      </c>
    </row>
    <row r="1250" spans="1:9" x14ac:dyDescent="0.25">
      <c r="A1250" s="6">
        <v>45992.822916666657</v>
      </c>
      <c r="B1250" s="5" t="s">
        <v>32</v>
      </c>
      <c r="C1250" s="8">
        <v>174.18335556916099</v>
      </c>
      <c r="D1250" s="8">
        <v>174.30469817196271</v>
      </c>
      <c r="E1250" s="8">
        <v>174.05930902516599</v>
      </c>
      <c r="F1250" s="8">
        <v>174.18666965311789</v>
      </c>
      <c r="G1250" s="7">
        <v>44718</v>
      </c>
      <c r="H1250" s="9">
        <v>7789279.4935481269</v>
      </c>
      <c r="I1250" s="5" t="s">
        <v>2379</v>
      </c>
    </row>
    <row r="1251" spans="1:9" x14ac:dyDescent="0.25">
      <c r="A1251" s="6">
        <v>45992.826388888891</v>
      </c>
      <c r="B1251" s="5" t="s">
        <v>32</v>
      </c>
      <c r="C1251" s="8">
        <v>174.1218270239155</v>
      </c>
      <c r="D1251" s="8">
        <v>174.1731010705098</v>
      </c>
      <c r="E1251" s="8">
        <v>173.99664729723489</v>
      </c>
      <c r="F1251" s="8">
        <v>174.09790250529869</v>
      </c>
      <c r="G1251" s="7">
        <v>32587</v>
      </c>
      <c r="H1251" s="9">
        <v>5673328.3489401694</v>
      </c>
      <c r="I1251" s="5" t="s">
        <v>2380</v>
      </c>
    </row>
    <row r="1252" spans="1:9" x14ac:dyDescent="0.25">
      <c r="A1252" s="6">
        <v>45992.829861111109</v>
      </c>
      <c r="B1252" s="5" t="s">
        <v>32</v>
      </c>
      <c r="C1252" s="8">
        <v>174.1909582437504</v>
      </c>
      <c r="D1252" s="8">
        <v>174.24916764822561</v>
      </c>
      <c r="E1252" s="8">
        <v>174.1040959279091</v>
      </c>
      <c r="F1252" s="8">
        <v>174.1790033993185</v>
      </c>
      <c r="G1252" s="7">
        <v>89084</v>
      </c>
      <c r="H1252" s="9">
        <v>15516562.338824891</v>
      </c>
      <c r="I1252" s="5" t="s">
        <v>2381</v>
      </c>
    </row>
    <row r="1253" spans="1:9" x14ac:dyDescent="0.25">
      <c r="A1253" s="6">
        <v>45992.833333333343</v>
      </c>
      <c r="B1253" s="5" t="s">
        <v>32</v>
      </c>
      <c r="C1253" s="8">
        <v>174.3709703787782</v>
      </c>
      <c r="D1253" s="8">
        <v>174.41414286060061</v>
      </c>
      <c r="E1253" s="8">
        <v>174.1753197512304</v>
      </c>
      <c r="F1253" s="8">
        <v>174.25638483274929</v>
      </c>
      <c r="G1253" s="7">
        <v>103057</v>
      </c>
      <c r="H1253" s="9">
        <v>17958340.251708649</v>
      </c>
      <c r="I1253" s="5" t="s">
        <v>2382</v>
      </c>
    </row>
    <row r="1254" spans="1:9" x14ac:dyDescent="0.25">
      <c r="A1254" s="6">
        <v>45992.836805555547</v>
      </c>
      <c r="B1254" s="5" t="s">
        <v>32</v>
      </c>
      <c r="C1254" s="8">
        <v>174.2085731528621</v>
      </c>
      <c r="D1254" s="8">
        <v>174.26898075074101</v>
      </c>
      <c r="E1254" s="8">
        <v>174.17539396594901</v>
      </c>
      <c r="F1254" s="8">
        <v>174.21240698595381</v>
      </c>
      <c r="G1254" s="7">
        <v>77762</v>
      </c>
      <c r="H1254" s="9">
        <v>13547105.19204174</v>
      </c>
      <c r="I1254" s="5" t="s">
        <v>2383</v>
      </c>
    </row>
    <row r="1255" spans="1:9" x14ac:dyDescent="0.25">
      <c r="A1255" s="6">
        <v>45992.840277777781</v>
      </c>
      <c r="B1255" s="5" t="s">
        <v>32</v>
      </c>
      <c r="C1255" s="8">
        <v>174.17996423250599</v>
      </c>
      <c r="D1255" s="8">
        <v>174.4867409807681</v>
      </c>
      <c r="E1255" s="8">
        <v>174.10180534131601</v>
      </c>
      <c r="F1255" s="8">
        <v>174.23664964966011</v>
      </c>
      <c r="G1255" s="7">
        <v>88159</v>
      </c>
      <c r="H1255" s="9">
        <v>15360528.796464389</v>
      </c>
      <c r="I1255" s="5" t="s">
        <v>2384</v>
      </c>
    </row>
    <row r="1256" spans="1:9" x14ac:dyDescent="0.25">
      <c r="A1256" s="6">
        <v>45992.84375</v>
      </c>
      <c r="B1256" s="5" t="s">
        <v>32</v>
      </c>
      <c r="C1256" s="8">
        <v>174.27213982225399</v>
      </c>
      <c r="D1256" s="8">
        <v>174.3281972389031</v>
      </c>
      <c r="E1256" s="8">
        <v>174.15888208928101</v>
      </c>
      <c r="F1256" s="8">
        <v>174.23883739328201</v>
      </c>
      <c r="G1256" s="7">
        <v>78117</v>
      </c>
      <c r="H1256" s="9">
        <v>13611015.260651009</v>
      </c>
      <c r="I1256" s="5" t="s">
        <v>2385</v>
      </c>
    </row>
    <row r="1257" spans="1:9" x14ac:dyDescent="0.25">
      <c r="A1257" s="6">
        <v>45992.847222222219</v>
      </c>
      <c r="B1257" s="5" t="s">
        <v>32</v>
      </c>
      <c r="C1257" s="8">
        <v>174.46519737600141</v>
      </c>
      <c r="D1257" s="8">
        <v>174.64002533843441</v>
      </c>
      <c r="E1257" s="8">
        <v>174.29057891649251</v>
      </c>
      <c r="F1257" s="8">
        <v>174.50166478521899</v>
      </c>
      <c r="G1257" s="7">
        <v>29269</v>
      </c>
      <c r="H1257" s="9">
        <v>5107489.2265985748</v>
      </c>
      <c r="I1257" s="5" t="s">
        <v>2386</v>
      </c>
    </row>
    <row r="1258" spans="1:9" x14ac:dyDescent="0.25">
      <c r="A1258" s="6">
        <v>45992.850694444453</v>
      </c>
      <c r="B1258" s="5" t="s">
        <v>32</v>
      </c>
      <c r="C1258" s="8">
        <v>174.48301460043049</v>
      </c>
      <c r="D1258" s="8">
        <v>174.7449671837509</v>
      </c>
      <c r="E1258" s="8">
        <v>174.4615960880171</v>
      </c>
      <c r="F1258" s="8">
        <v>174.5750453929285</v>
      </c>
      <c r="G1258" s="7">
        <v>53525</v>
      </c>
      <c r="H1258" s="9">
        <v>9344129.3046565</v>
      </c>
      <c r="I1258" s="5" t="s">
        <v>2387</v>
      </c>
    </row>
    <row r="1259" spans="1:9" x14ac:dyDescent="0.25">
      <c r="A1259" s="6">
        <v>45992.854166666657</v>
      </c>
      <c r="B1259" s="5" t="s">
        <v>32</v>
      </c>
      <c r="C1259" s="8">
        <v>174.4420371785136</v>
      </c>
      <c r="D1259" s="8">
        <v>174.72051252705111</v>
      </c>
      <c r="E1259" s="8">
        <v>174.27776248403541</v>
      </c>
      <c r="F1259" s="8">
        <v>174.5832588274798</v>
      </c>
      <c r="G1259" s="7">
        <v>58289</v>
      </c>
      <c r="H1259" s="9">
        <v>10176283.57379497</v>
      </c>
      <c r="I1259" s="5" t="s">
        <v>2388</v>
      </c>
    </row>
    <row r="1260" spans="1:9" x14ac:dyDescent="0.25">
      <c r="A1260" s="6">
        <v>45992.857638888891</v>
      </c>
      <c r="B1260" s="5" t="s">
        <v>32</v>
      </c>
      <c r="C1260" s="8">
        <v>174.5861080310915</v>
      </c>
      <c r="D1260" s="8">
        <v>174.707172179498</v>
      </c>
      <c r="E1260" s="8">
        <v>174.2148556281621</v>
      </c>
      <c r="F1260" s="8">
        <v>174.56836561824409</v>
      </c>
      <c r="G1260" s="7">
        <v>48959</v>
      </c>
      <c r="H1260" s="9">
        <v>8546692.6123036128</v>
      </c>
      <c r="I1260" s="5" t="s">
        <v>2389</v>
      </c>
    </row>
    <row r="1261" spans="1:9" x14ac:dyDescent="0.25">
      <c r="A1261" s="6">
        <v>45992.861111111109</v>
      </c>
      <c r="B1261" s="5" t="s">
        <v>32</v>
      </c>
      <c r="C1261" s="8">
        <v>174.71298555271059</v>
      </c>
      <c r="D1261" s="8">
        <v>174.7297601561867</v>
      </c>
      <c r="E1261" s="8">
        <v>174.5599211092958</v>
      </c>
      <c r="F1261" s="8">
        <v>174.66870143580701</v>
      </c>
      <c r="G1261" s="7">
        <v>79403</v>
      </c>
      <c r="H1261" s="9">
        <v>13869218.90010738</v>
      </c>
      <c r="I1261" s="5" t="s">
        <v>2390</v>
      </c>
    </row>
    <row r="1262" spans="1:9" x14ac:dyDescent="0.25">
      <c r="A1262" s="6">
        <v>45992.864583333343</v>
      </c>
      <c r="B1262" s="5" t="s">
        <v>32</v>
      </c>
      <c r="C1262" s="8">
        <v>174.82660490454521</v>
      </c>
      <c r="D1262" s="8">
        <v>174.90682001139149</v>
      </c>
      <c r="E1262" s="8">
        <v>174.5637075620663</v>
      </c>
      <c r="F1262" s="8">
        <v>174.80023089115099</v>
      </c>
      <c r="G1262" s="7">
        <v>41044</v>
      </c>
      <c r="H1262" s="9">
        <v>7174500.6766964011</v>
      </c>
      <c r="I1262" s="5" t="s">
        <v>2391</v>
      </c>
    </row>
    <row r="1263" spans="1:9" x14ac:dyDescent="0.25">
      <c r="A1263" s="6">
        <v>45992.868055555547</v>
      </c>
      <c r="B1263" s="5" t="s">
        <v>32</v>
      </c>
      <c r="C1263" s="8">
        <v>175.04024456841719</v>
      </c>
      <c r="D1263" s="8">
        <v>175.15086556837991</v>
      </c>
      <c r="E1263" s="8">
        <v>174.95922561968149</v>
      </c>
      <c r="F1263" s="8">
        <v>174.98069431898651</v>
      </c>
      <c r="G1263" s="7">
        <v>92599</v>
      </c>
      <c r="H1263" s="9">
        <v>16203037.313243831</v>
      </c>
      <c r="I1263" s="5" t="s">
        <v>2392</v>
      </c>
    </row>
    <row r="1264" spans="1:9" x14ac:dyDescent="0.25">
      <c r="A1264" s="6">
        <v>45992.871527777781</v>
      </c>
      <c r="B1264" s="5" t="s">
        <v>32</v>
      </c>
      <c r="C1264" s="8">
        <v>175.13092165281401</v>
      </c>
      <c r="D1264" s="8">
        <v>175.20502653156879</v>
      </c>
      <c r="E1264" s="8">
        <v>175.11968115694779</v>
      </c>
      <c r="F1264" s="8">
        <v>175.18145386794399</v>
      </c>
      <c r="G1264" s="7">
        <v>40225</v>
      </c>
      <c r="H1264" s="9">
        <v>7046673.9818380494</v>
      </c>
      <c r="I1264" s="5" t="s">
        <v>2393</v>
      </c>
    </row>
    <row r="1265" spans="1:9" x14ac:dyDescent="0.25">
      <c r="A1265" s="6">
        <v>45992.875</v>
      </c>
      <c r="B1265" s="5" t="s">
        <v>32</v>
      </c>
      <c r="C1265" s="8">
        <v>175.35335739573591</v>
      </c>
      <c r="D1265" s="8">
        <v>175.48651852332219</v>
      </c>
      <c r="E1265" s="8">
        <v>175.25001446086549</v>
      </c>
      <c r="F1265" s="8">
        <v>175.44775991811039</v>
      </c>
      <c r="G1265" s="7">
        <v>69258</v>
      </c>
      <c r="H1265" s="9">
        <v>12151160.956408489</v>
      </c>
      <c r="I1265" s="5" t="s">
        <v>2394</v>
      </c>
    </row>
    <row r="1266" spans="1:9" x14ac:dyDescent="0.25">
      <c r="A1266" s="6">
        <v>45993.604166666657</v>
      </c>
      <c r="B1266" s="5" t="s">
        <v>32</v>
      </c>
      <c r="C1266" s="8">
        <v>175.43994813688309</v>
      </c>
      <c r="D1266" s="8">
        <v>175.56163983374279</v>
      </c>
      <c r="E1266" s="8">
        <v>175.4116143038647</v>
      </c>
      <c r="F1266" s="8">
        <v>175.5593348177851</v>
      </c>
      <c r="G1266" s="7">
        <v>65482</v>
      </c>
      <c r="H1266" s="9">
        <v>11495976.3625382</v>
      </c>
      <c r="I1266" s="5" t="s">
        <v>2395</v>
      </c>
    </row>
    <row r="1267" spans="1:9" x14ac:dyDescent="0.25">
      <c r="A1267" s="6">
        <v>45993.607638888891</v>
      </c>
      <c r="B1267" s="5" t="s">
        <v>32</v>
      </c>
      <c r="C1267" s="8">
        <v>175.33399674590279</v>
      </c>
      <c r="D1267" s="8">
        <v>175.4365086869021</v>
      </c>
      <c r="E1267" s="8">
        <v>175.19050038915381</v>
      </c>
      <c r="F1267" s="8">
        <v>175.34780031077759</v>
      </c>
      <c r="G1267" s="7">
        <v>47258</v>
      </c>
      <c r="H1267" s="9">
        <v>8286586.3470867286</v>
      </c>
      <c r="I1267" s="5" t="s">
        <v>2396</v>
      </c>
    </row>
    <row r="1268" spans="1:9" x14ac:dyDescent="0.25">
      <c r="A1268" s="6">
        <v>45993.611111111109</v>
      </c>
      <c r="B1268" s="5" t="s">
        <v>32</v>
      </c>
      <c r="C1268" s="8">
        <v>175.31295268795671</v>
      </c>
      <c r="D1268" s="8">
        <v>175.3475107657745</v>
      </c>
      <c r="E1268" s="8">
        <v>175.13743021836089</v>
      </c>
      <c r="F1268" s="8">
        <v>175.32343757779691</v>
      </c>
      <c r="G1268" s="7">
        <v>98778</v>
      </c>
      <c r="H1268" s="9">
        <v>17318098.51705962</v>
      </c>
      <c r="I1268" s="5" t="s">
        <v>2397</v>
      </c>
    </row>
    <row r="1269" spans="1:9" x14ac:dyDescent="0.25">
      <c r="A1269" s="6">
        <v>45993.614583333343</v>
      </c>
      <c r="B1269" s="5" t="s">
        <v>32</v>
      </c>
      <c r="C1269" s="8">
        <v>175.36189174741659</v>
      </c>
      <c r="D1269" s="8">
        <v>175.42829152717621</v>
      </c>
      <c r="E1269" s="8">
        <v>175.1653651433669</v>
      </c>
      <c r="F1269" s="8">
        <v>175.38028924582281</v>
      </c>
      <c r="G1269" s="7">
        <v>61142</v>
      </c>
      <c r="H1269" s="9">
        <v>10723101.6450681</v>
      </c>
      <c r="I1269" s="5" t="s">
        <v>2398</v>
      </c>
    </row>
    <row r="1270" spans="1:9" x14ac:dyDescent="0.25">
      <c r="A1270" s="6">
        <v>45993.618055555547</v>
      </c>
      <c r="B1270" s="5" t="s">
        <v>32</v>
      </c>
      <c r="C1270" s="8">
        <v>175.41761590713699</v>
      </c>
      <c r="D1270" s="8">
        <v>175.52593139314621</v>
      </c>
      <c r="E1270" s="8">
        <v>175.29446877392769</v>
      </c>
      <c r="F1270" s="8">
        <v>175.42738316694039</v>
      </c>
      <c r="G1270" s="7">
        <v>78058</v>
      </c>
      <c r="H1270" s="9">
        <v>13693510.675245039</v>
      </c>
      <c r="I1270" s="5" t="s">
        <v>2399</v>
      </c>
    </row>
    <row r="1271" spans="1:9" x14ac:dyDescent="0.25">
      <c r="A1271" s="6">
        <v>45993.621527777781</v>
      </c>
      <c r="B1271" s="5" t="s">
        <v>32</v>
      </c>
      <c r="C1271" s="8">
        <v>175.5335534153464</v>
      </c>
      <c r="D1271" s="8">
        <v>175.55959483848051</v>
      </c>
      <c r="E1271" s="8">
        <v>175.26067025579121</v>
      </c>
      <c r="F1271" s="8">
        <v>175.45126802823759</v>
      </c>
      <c r="G1271" s="7">
        <v>56128</v>
      </c>
      <c r="H1271" s="9">
        <v>9847728.7718889173</v>
      </c>
      <c r="I1271" s="5" t="s">
        <v>2400</v>
      </c>
    </row>
    <row r="1272" spans="1:9" x14ac:dyDescent="0.25">
      <c r="A1272" s="6">
        <v>45993.625</v>
      </c>
      <c r="B1272" s="5" t="s">
        <v>32</v>
      </c>
      <c r="C1272" s="8">
        <v>175.4438386992999</v>
      </c>
      <c r="D1272" s="8">
        <v>175.57039249103559</v>
      </c>
      <c r="E1272" s="8">
        <v>175.39325849083389</v>
      </c>
      <c r="F1272" s="8">
        <v>175.47513990092759</v>
      </c>
      <c r="G1272" s="7">
        <v>68986</v>
      </c>
      <c r="H1272" s="9">
        <v>12105328.00120539</v>
      </c>
      <c r="I1272" s="5" t="s">
        <v>2401</v>
      </c>
    </row>
    <row r="1273" spans="1:9" x14ac:dyDescent="0.25">
      <c r="A1273" s="6">
        <v>45993.628472222219</v>
      </c>
      <c r="B1273" s="5" t="s">
        <v>32</v>
      </c>
      <c r="C1273" s="8">
        <v>175.4570462384757</v>
      </c>
      <c r="D1273" s="8">
        <v>175.72773615815171</v>
      </c>
      <c r="E1273" s="8">
        <v>175.34192163423199</v>
      </c>
      <c r="F1273" s="8">
        <v>175.49604828150211</v>
      </c>
      <c r="G1273" s="7">
        <v>55252</v>
      </c>
      <c r="H1273" s="9">
        <v>9696507.6596495565</v>
      </c>
      <c r="I1273" s="5" t="s">
        <v>2402</v>
      </c>
    </row>
    <row r="1274" spans="1:9" x14ac:dyDescent="0.25">
      <c r="A1274" s="6">
        <v>45993.631944444453</v>
      </c>
      <c r="B1274" s="5" t="s">
        <v>32</v>
      </c>
      <c r="C1274" s="8">
        <v>175.64908182143179</v>
      </c>
      <c r="D1274" s="8">
        <v>175.69374545483819</v>
      </c>
      <c r="E1274" s="8">
        <v>175.43724584880229</v>
      </c>
      <c r="F1274" s="8">
        <v>175.63041511597959</v>
      </c>
      <c r="G1274" s="7">
        <v>80358</v>
      </c>
      <c r="H1274" s="9">
        <v>14113308.89788989</v>
      </c>
      <c r="I1274" s="5" t="s">
        <v>2403</v>
      </c>
    </row>
    <row r="1275" spans="1:9" x14ac:dyDescent="0.25">
      <c r="A1275" s="6">
        <v>45993.635416666657</v>
      </c>
      <c r="B1275" s="5" t="s">
        <v>32</v>
      </c>
      <c r="C1275" s="8">
        <v>175.75666087755249</v>
      </c>
      <c r="D1275" s="8">
        <v>175.8289334915379</v>
      </c>
      <c r="E1275" s="8">
        <v>175.64651390338159</v>
      </c>
      <c r="F1275" s="8">
        <v>175.72858081544251</v>
      </c>
      <c r="G1275" s="7">
        <v>65802</v>
      </c>
      <c r="H1275" s="9">
        <v>11563292.074817751</v>
      </c>
      <c r="I1275" s="5" t="s">
        <v>2404</v>
      </c>
    </row>
    <row r="1276" spans="1:9" x14ac:dyDescent="0.25">
      <c r="A1276" s="6">
        <v>45993.638888888891</v>
      </c>
      <c r="B1276" s="5" t="s">
        <v>32</v>
      </c>
      <c r="C1276" s="8">
        <v>175.77139389762641</v>
      </c>
      <c r="D1276" s="8">
        <v>175.92653252675771</v>
      </c>
      <c r="E1276" s="8">
        <v>175.7477221324809</v>
      </c>
      <c r="F1276" s="8">
        <v>175.76347378369181</v>
      </c>
      <c r="G1276" s="7">
        <v>92622</v>
      </c>
      <c r="H1276" s="9">
        <v>16279564.4687931</v>
      </c>
      <c r="I1276" s="5" t="s">
        <v>2405</v>
      </c>
    </row>
    <row r="1277" spans="1:9" x14ac:dyDescent="0.25">
      <c r="A1277" s="6">
        <v>45993.642361111109</v>
      </c>
      <c r="B1277" s="5" t="s">
        <v>32</v>
      </c>
      <c r="C1277" s="8">
        <v>176.0223748537064</v>
      </c>
      <c r="D1277" s="8">
        <v>176.1025894562901</v>
      </c>
      <c r="E1277" s="8">
        <v>175.90051289072829</v>
      </c>
      <c r="F1277" s="8">
        <v>176.01011730106609</v>
      </c>
      <c r="G1277" s="7">
        <v>45761</v>
      </c>
      <c r="H1277" s="9">
        <v>8054398.9778140867</v>
      </c>
      <c r="I1277" s="5" t="s">
        <v>2406</v>
      </c>
    </row>
    <row r="1278" spans="1:9" x14ac:dyDescent="0.25">
      <c r="A1278" s="6">
        <v>45993.645833333343</v>
      </c>
      <c r="B1278" s="5" t="s">
        <v>32</v>
      </c>
      <c r="C1278" s="8">
        <v>175.78145203422139</v>
      </c>
      <c r="D1278" s="8">
        <v>176.06443399979861</v>
      </c>
      <c r="E1278" s="8">
        <v>175.58132666628819</v>
      </c>
      <c r="F1278" s="8">
        <v>175.85319719966321</v>
      </c>
      <c r="G1278" s="7">
        <v>61287</v>
      </c>
      <c r="H1278" s="9">
        <v>10777514.89677576</v>
      </c>
      <c r="I1278" s="5" t="s">
        <v>2407</v>
      </c>
    </row>
    <row r="1279" spans="1:9" x14ac:dyDescent="0.25">
      <c r="A1279" s="6">
        <v>45993.649305555547</v>
      </c>
      <c r="B1279" s="5" t="s">
        <v>32</v>
      </c>
      <c r="C1279" s="8">
        <v>175.36655707587849</v>
      </c>
      <c r="D1279" s="8">
        <v>175.58472414281081</v>
      </c>
      <c r="E1279" s="8">
        <v>175.27540848749209</v>
      </c>
      <c r="F1279" s="8">
        <v>175.40823818553909</v>
      </c>
      <c r="G1279" s="7">
        <v>47868</v>
      </c>
      <c r="H1279" s="9">
        <v>8396441.5454653855</v>
      </c>
      <c r="I1279" s="5" t="s">
        <v>2408</v>
      </c>
    </row>
    <row r="1280" spans="1:9" x14ac:dyDescent="0.25">
      <c r="A1280" s="6">
        <v>45993.652777777781</v>
      </c>
      <c r="B1280" s="5" t="s">
        <v>32</v>
      </c>
      <c r="C1280" s="8">
        <v>175.3239510044591</v>
      </c>
      <c r="D1280" s="8">
        <v>175.4922001422573</v>
      </c>
      <c r="E1280" s="8">
        <v>175.20960597318319</v>
      </c>
      <c r="F1280" s="8">
        <v>175.29060425122131</v>
      </c>
      <c r="G1280" s="7">
        <v>58573</v>
      </c>
      <c r="H1280" s="9">
        <v>10267296.562806791</v>
      </c>
      <c r="I1280" s="5" t="s">
        <v>2409</v>
      </c>
    </row>
    <row r="1281" spans="1:9" x14ac:dyDescent="0.25">
      <c r="A1281" s="6">
        <v>45993.65625</v>
      </c>
      <c r="B1281" s="5" t="s">
        <v>32</v>
      </c>
      <c r="C1281" s="8">
        <v>175.18314887013381</v>
      </c>
      <c r="D1281" s="8">
        <v>175.20714934098751</v>
      </c>
      <c r="E1281" s="8">
        <v>175.1243383342017</v>
      </c>
      <c r="F1281" s="8">
        <v>175.13558982405411</v>
      </c>
      <c r="G1281" s="7">
        <v>44827</v>
      </c>
      <c r="H1281" s="9">
        <v>7850803.0850428734</v>
      </c>
      <c r="I1281" s="5" t="s">
        <v>2410</v>
      </c>
    </row>
    <row r="1282" spans="1:9" x14ac:dyDescent="0.25">
      <c r="A1282" s="6">
        <v>45993.659722222219</v>
      </c>
      <c r="B1282" s="5" t="s">
        <v>32</v>
      </c>
      <c r="C1282" s="8">
        <v>175.348404356408</v>
      </c>
      <c r="D1282" s="8">
        <v>175.4857464920901</v>
      </c>
      <c r="E1282" s="8">
        <v>175.22242387519989</v>
      </c>
      <c r="F1282" s="8">
        <v>175.36493661042019</v>
      </c>
      <c r="G1282" s="7">
        <v>39908</v>
      </c>
      <c r="H1282" s="9">
        <v>6998463.8902486507</v>
      </c>
      <c r="I1282" s="5" t="s">
        <v>2411</v>
      </c>
    </row>
    <row r="1283" spans="1:9" x14ac:dyDescent="0.25">
      <c r="A1283" s="6">
        <v>45993.663194444453</v>
      </c>
      <c r="B1283" s="5" t="s">
        <v>32</v>
      </c>
      <c r="C1283" s="8">
        <v>175.34306491566051</v>
      </c>
      <c r="D1283" s="8">
        <v>175.45793965027761</v>
      </c>
      <c r="E1283" s="8">
        <v>175.31850582629289</v>
      </c>
      <c r="F1283" s="8">
        <v>175.33086243308821</v>
      </c>
      <c r="G1283" s="7">
        <v>66442</v>
      </c>
      <c r="H1283" s="9">
        <v>11649333.161779249</v>
      </c>
      <c r="I1283" s="5" t="s">
        <v>2412</v>
      </c>
    </row>
    <row r="1284" spans="1:9" x14ac:dyDescent="0.25">
      <c r="A1284" s="6">
        <v>45993.666666666657</v>
      </c>
      <c r="B1284" s="5" t="s">
        <v>32</v>
      </c>
      <c r="C1284" s="8">
        <v>175.0526392368678</v>
      </c>
      <c r="D1284" s="8">
        <v>175.10070143409081</v>
      </c>
      <c r="E1284" s="8">
        <v>175.00219369573179</v>
      </c>
      <c r="F1284" s="8">
        <v>175.0694083000086</v>
      </c>
      <c r="G1284" s="7">
        <v>48456</v>
      </c>
      <c r="H1284" s="9">
        <v>8483163.2485852167</v>
      </c>
      <c r="I1284" s="5" t="s">
        <v>2413</v>
      </c>
    </row>
    <row r="1285" spans="1:9" x14ac:dyDescent="0.25">
      <c r="A1285" s="6">
        <v>45993.670138888891</v>
      </c>
      <c r="B1285" s="5" t="s">
        <v>32</v>
      </c>
      <c r="C1285" s="8">
        <v>174.84614659278981</v>
      </c>
      <c r="D1285" s="8">
        <v>174.86542373468751</v>
      </c>
      <c r="E1285" s="8">
        <v>174.83285752106079</v>
      </c>
      <c r="F1285" s="8">
        <v>174.84649214249629</v>
      </c>
      <c r="G1285" s="7">
        <v>95386</v>
      </c>
      <c r="H1285" s="9">
        <v>16677907.499504151</v>
      </c>
      <c r="I1285" s="5" t="s">
        <v>2414</v>
      </c>
    </row>
    <row r="1286" spans="1:9" x14ac:dyDescent="0.25">
      <c r="A1286" s="6">
        <v>45993.673611111109</v>
      </c>
      <c r="B1286" s="5" t="s">
        <v>32</v>
      </c>
      <c r="C1286" s="8">
        <v>174.82132256634401</v>
      </c>
      <c r="D1286" s="8">
        <v>175.02332469567591</v>
      </c>
      <c r="E1286" s="8">
        <v>174.7504329189178</v>
      </c>
      <c r="F1286" s="8">
        <v>174.84429284547821</v>
      </c>
      <c r="G1286" s="7">
        <v>87284</v>
      </c>
      <c r="H1286" s="9">
        <v>15261109.256724721</v>
      </c>
      <c r="I1286" s="5" t="s">
        <v>2415</v>
      </c>
    </row>
    <row r="1287" spans="1:9" x14ac:dyDescent="0.25">
      <c r="A1287" s="6">
        <v>45993.677083333343</v>
      </c>
      <c r="B1287" s="5" t="s">
        <v>32</v>
      </c>
      <c r="C1287" s="8">
        <v>175.0165425243674</v>
      </c>
      <c r="D1287" s="8">
        <v>175.14623867666859</v>
      </c>
      <c r="E1287" s="8">
        <v>174.84505893935599</v>
      </c>
      <c r="F1287" s="8">
        <v>175.04409054136039</v>
      </c>
      <c r="G1287" s="7">
        <v>30778</v>
      </c>
      <c r="H1287" s="9">
        <v>5387507.01868199</v>
      </c>
      <c r="I1287" s="5" t="s">
        <v>2416</v>
      </c>
    </row>
    <row r="1288" spans="1:9" x14ac:dyDescent="0.25">
      <c r="A1288" s="6">
        <v>45993.680555555547</v>
      </c>
      <c r="B1288" s="5" t="s">
        <v>32</v>
      </c>
      <c r="C1288" s="8">
        <v>175.0428901282975</v>
      </c>
      <c r="D1288" s="8">
        <v>175.11276836004421</v>
      </c>
      <c r="E1288" s="8">
        <v>174.8825840028091</v>
      </c>
      <c r="F1288" s="8">
        <v>174.96003612276181</v>
      </c>
      <c r="G1288" s="7">
        <v>45222</v>
      </c>
      <c r="H1288" s="9">
        <v>7912042.7535435352</v>
      </c>
      <c r="I1288" s="5" t="s">
        <v>2417</v>
      </c>
    </row>
    <row r="1289" spans="1:9" x14ac:dyDescent="0.25">
      <c r="A1289" s="6">
        <v>45993.684027777781</v>
      </c>
      <c r="B1289" s="5" t="s">
        <v>32</v>
      </c>
      <c r="C1289" s="8">
        <v>175.32703502221551</v>
      </c>
      <c r="D1289" s="8">
        <v>175.41628707884499</v>
      </c>
      <c r="E1289" s="8">
        <v>175.18777098006441</v>
      </c>
      <c r="F1289" s="8">
        <v>175.33121131738829</v>
      </c>
      <c r="G1289" s="7">
        <v>77389</v>
      </c>
      <c r="H1289" s="9">
        <v>13568707.112641361</v>
      </c>
      <c r="I1289" s="5" t="s">
        <v>2418</v>
      </c>
    </row>
    <row r="1290" spans="1:9" x14ac:dyDescent="0.25">
      <c r="A1290" s="6">
        <v>45993.6875</v>
      </c>
      <c r="B1290" s="5" t="s">
        <v>32</v>
      </c>
      <c r="C1290" s="8">
        <v>175.41582097004931</v>
      </c>
      <c r="D1290" s="8">
        <v>175.51164405065009</v>
      </c>
      <c r="E1290" s="8">
        <v>175.3940905076623</v>
      </c>
      <c r="F1290" s="8">
        <v>175.43968071653151</v>
      </c>
      <c r="G1290" s="7">
        <v>68874</v>
      </c>
      <c r="H1290" s="9">
        <v>12083232.56967039</v>
      </c>
      <c r="I1290" s="5" t="s">
        <v>2419</v>
      </c>
    </row>
    <row r="1291" spans="1:9" x14ac:dyDescent="0.25">
      <c r="A1291" s="6">
        <v>45993.690972222219</v>
      </c>
      <c r="B1291" s="5" t="s">
        <v>32</v>
      </c>
      <c r="C1291" s="8">
        <v>175.3371478419144</v>
      </c>
      <c r="D1291" s="8">
        <v>175.4892676470337</v>
      </c>
      <c r="E1291" s="8">
        <v>175.2905343380925</v>
      </c>
      <c r="F1291" s="8">
        <v>175.3607709662972</v>
      </c>
      <c r="G1291" s="7">
        <v>55768</v>
      </c>
      <c r="H1291" s="9">
        <v>9779519.4752484597</v>
      </c>
      <c r="I1291" s="5" t="s">
        <v>2420</v>
      </c>
    </row>
    <row r="1292" spans="1:9" x14ac:dyDescent="0.25">
      <c r="A1292" s="6">
        <v>45993.694444444453</v>
      </c>
      <c r="B1292" s="5" t="s">
        <v>32</v>
      </c>
      <c r="C1292" s="8">
        <v>175.33794462332901</v>
      </c>
      <c r="D1292" s="8">
        <v>175.34077484665531</v>
      </c>
      <c r="E1292" s="8">
        <v>175.23742092133219</v>
      </c>
      <c r="F1292" s="8">
        <v>175.25156759803451</v>
      </c>
      <c r="G1292" s="7">
        <v>46628</v>
      </c>
      <c r="H1292" s="9">
        <v>8171630.0939611522</v>
      </c>
      <c r="I1292" s="5" t="s">
        <v>2421</v>
      </c>
    </row>
    <row r="1293" spans="1:9" x14ac:dyDescent="0.25">
      <c r="A1293" s="6">
        <v>45993.697916666657</v>
      </c>
      <c r="B1293" s="5" t="s">
        <v>32</v>
      </c>
      <c r="C1293" s="8">
        <v>175.4073728355464</v>
      </c>
      <c r="D1293" s="8">
        <v>175.4932161334022</v>
      </c>
      <c r="E1293" s="8">
        <v>175.37375126511631</v>
      </c>
      <c r="F1293" s="8">
        <v>175.39886882577099</v>
      </c>
      <c r="G1293" s="7">
        <v>73522</v>
      </c>
      <c r="H1293" s="9">
        <v>12895675.633808341</v>
      </c>
      <c r="I1293" s="5" t="s">
        <v>2422</v>
      </c>
    </row>
    <row r="1294" spans="1:9" x14ac:dyDescent="0.25">
      <c r="A1294" s="6">
        <v>45993.701388888891</v>
      </c>
      <c r="B1294" s="5" t="s">
        <v>32</v>
      </c>
      <c r="C1294" s="8">
        <v>175.47829112552139</v>
      </c>
      <c r="D1294" s="8">
        <v>175.58679909975399</v>
      </c>
      <c r="E1294" s="8">
        <v>175.18578741820289</v>
      </c>
      <c r="F1294" s="8">
        <v>175.41675927682999</v>
      </c>
      <c r="G1294" s="7">
        <v>47854</v>
      </c>
      <c r="H1294" s="9">
        <v>8394393.5984334219</v>
      </c>
      <c r="I1294" s="5" t="s">
        <v>2423</v>
      </c>
    </row>
    <row r="1295" spans="1:9" x14ac:dyDescent="0.25">
      <c r="A1295" s="6">
        <v>45993.704861111109</v>
      </c>
      <c r="B1295" s="5" t="s">
        <v>32</v>
      </c>
      <c r="C1295" s="8">
        <v>175.3994205853017</v>
      </c>
      <c r="D1295" s="8">
        <v>175.43553883453299</v>
      </c>
      <c r="E1295" s="8">
        <v>175.39087035809871</v>
      </c>
      <c r="F1295" s="8">
        <v>175.41153455275861</v>
      </c>
      <c r="G1295" s="7">
        <v>53221</v>
      </c>
      <c r="H1295" s="9">
        <v>9335577.2804323658</v>
      </c>
      <c r="I1295" s="5" t="s">
        <v>2424</v>
      </c>
    </row>
    <row r="1296" spans="1:9" x14ac:dyDescent="0.25">
      <c r="A1296" s="6">
        <v>45993.708333333343</v>
      </c>
      <c r="B1296" s="5" t="s">
        <v>32</v>
      </c>
      <c r="C1296" s="8">
        <v>175.4909851477376</v>
      </c>
      <c r="D1296" s="8">
        <v>175.56187576219281</v>
      </c>
      <c r="E1296" s="8">
        <v>175.42375029412869</v>
      </c>
      <c r="F1296" s="8">
        <v>175.55473167027529</v>
      </c>
      <c r="G1296" s="7">
        <v>85310</v>
      </c>
      <c r="H1296" s="9">
        <v>14976574.15879119</v>
      </c>
      <c r="I1296" s="5" t="s">
        <v>2425</v>
      </c>
    </row>
    <row r="1297" spans="1:9" x14ac:dyDescent="0.25">
      <c r="A1297" s="6">
        <v>45993.711805555547</v>
      </c>
      <c r="B1297" s="5" t="s">
        <v>32</v>
      </c>
      <c r="C1297" s="8">
        <v>175.5723109618304</v>
      </c>
      <c r="D1297" s="8">
        <v>175.5802093858693</v>
      </c>
      <c r="E1297" s="8">
        <v>175.5013442552189</v>
      </c>
      <c r="F1297" s="8">
        <v>175.55508359719201</v>
      </c>
      <c r="G1297" s="7">
        <v>56740</v>
      </c>
      <c r="H1297" s="9">
        <v>9960995.443304671</v>
      </c>
      <c r="I1297" s="5" t="s">
        <v>2426</v>
      </c>
    </row>
    <row r="1298" spans="1:9" x14ac:dyDescent="0.25">
      <c r="A1298" s="6">
        <v>45993.715277777781</v>
      </c>
      <c r="B1298" s="5" t="s">
        <v>32</v>
      </c>
      <c r="C1298" s="8">
        <v>175.7423269045776</v>
      </c>
      <c r="D1298" s="8">
        <v>175.9628130389066</v>
      </c>
      <c r="E1298" s="8">
        <v>175.63808450942199</v>
      </c>
      <c r="F1298" s="8">
        <v>175.67067936654959</v>
      </c>
      <c r="G1298" s="7">
        <v>80928</v>
      </c>
      <c r="H1298" s="9">
        <v>14216676.739776131</v>
      </c>
      <c r="I1298" s="5" t="s">
        <v>2427</v>
      </c>
    </row>
    <row r="1299" spans="1:9" x14ac:dyDescent="0.25">
      <c r="A1299" s="6">
        <v>45993.71875</v>
      </c>
      <c r="B1299" s="5" t="s">
        <v>32</v>
      </c>
      <c r="C1299" s="8">
        <v>175.74121391662749</v>
      </c>
      <c r="D1299" s="8">
        <v>175.7848373827872</v>
      </c>
      <c r="E1299" s="8">
        <v>175.70221713443379</v>
      </c>
      <c r="F1299" s="8">
        <v>175.71762301990279</v>
      </c>
      <c r="G1299" s="7">
        <v>73549</v>
      </c>
      <c r="H1299" s="9">
        <v>12923855.455490829</v>
      </c>
      <c r="I1299" s="5" t="s">
        <v>2428</v>
      </c>
    </row>
    <row r="1300" spans="1:9" x14ac:dyDescent="0.25">
      <c r="A1300" s="6">
        <v>45993.722222222219</v>
      </c>
      <c r="B1300" s="5" t="s">
        <v>32</v>
      </c>
      <c r="C1300" s="8">
        <v>175.70740702484261</v>
      </c>
      <c r="D1300" s="8">
        <v>175.85824060732679</v>
      </c>
      <c r="E1300" s="8">
        <v>175.69066577739389</v>
      </c>
      <c r="F1300" s="8">
        <v>175.72676266852471</v>
      </c>
      <c r="G1300" s="7">
        <v>55954</v>
      </c>
      <c r="H1300" s="9">
        <v>9832615.2783546299</v>
      </c>
      <c r="I1300" s="5" t="s">
        <v>2429</v>
      </c>
    </row>
    <row r="1301" spans="1:9" x14ac:dyDescent="0.25">
      <c r="A1301" s="6">
        <v>45993.725694444453</v>
      </c>
      <c r="B1301" s="5" t="s">
        <v>32</v>
      </c>
      <c r="C1301" s="8">
        <v>175.72576149700691</v>
      </c>
      <c r="D1301" s="8">
        <v>175.8101266741684</v>
      </c>
      <c r="E1301" s="8">
        <v>175.66815111323939</v>
      </c>
      <c r="F1301" s="8">
        <v>175.73522840468439</v>
      </c>
      <c r="G1301" s="7">
        <v>55860</v>
      </c>
      <c r="H1301" s="9">
        <v>9816569.8586856723</v>
      </c>
      <c r="I1301" s="5" t="s">
        <v>2430</v>
      </c>
    </row>
    <row r="1302" spans="1:9" x14ac:dyDescent="0.25">
      <c r="A1302" s="6">
        <v>45993.729166666657</v>
      </c>
      <c r="B1302" s="5" t="s">
        <v>32</v>
      </c>
      <c r="C1302" s="8">
        <v>175.59932702820191</v>
      </c>
      <c r="D1302" s="8">
        <v>175.63270452494351</v>
      </c>
      <c r="E1302" s="8">
        <v>175.39736278121151</v>
      </c>
      <c r="F1302" s="8">
        <v>175.5452410913062</v>
      </c>
      <c r="G1302" s="7">
        <v>58660</v>
      </c>
      <c r="H1302" s="9">
        <v>10297483.84241602</v>
      </c>
      <c r="I1302" s="5" t="s">
        <v>2431</v>
      </c>
    </row>
    <row r="1303" spans="1:9" x14ac:dyDescent="0.25">
      <c r="A1303" s="6">
        <v>45993.732638888891</v>
      </c>
      <c r="B1303" s="5" t="s">
        <v>32</v>
      </c>
      <c r="C1303" s="8">
        <v>175.44741454931369</v>
      </c>
      <c r="D1303" s="8">
        <v>175.56965782154589</v>
      </c>
      <c r="E1303" s="8">
        <v>175.3946756351651</v>
      </c>
      <c r="F1303" s="8">
        <v>175.43713497999909</v>
      </c>
      <c r="G1303" s="7">
        <v>34010</v>
      </c>
      <c r="H1303" s="9">
        <v>5966616.960669769</v>
      </c>
      <c r="I1303" s="5" t="s">
        <v>2432</v>
      </c>
    </row>
    <row r="1304" spans="1:9" x14ac:dyDescent="0.25">
      <c r="A1304" s="6">
        <v>45993.736111111109</v>
      </c>
      <c r="B1304" s="5" t="s">
        <v>32</v>
      </c>
      <c r="C1304" s="8">
        <v>175.2270272929315</v>
      </c>
      <c r="D1304" s="8">
        <v>175.28663935595191</v>
      </c>
      <c r="E1304" s="8">
        <v>175.06545906081371</v>
      </c>
      <c r="F1304" s="8">
        <v>175.2224530169614</v>
      </c>
      <c r="G1304" s="7">
        <v>46323</v>
      </c>
      <c r="H1304" s="9">
        <v>8116829.6911047017</v>
      </c>
      <c r="I1304" s="5" t="s">
        <v>2433</v>
      </c>
    </row>
    <row r="1305" spans="1:9" x14ac:dyDescent="0.25">
      <c r="A1305" s="6">
        <v>45993.739583333343</v>
      </c>
      <c r="B1305" s="5" t="s">
        <v>32</v>
      </c>
      <c r="C1305" s="8">
        <v>175.1800728479885</v>
      </c>
      <c r="D1305" s="8">
        <v>175.40032226885839</v>
      </c>
      <c r="E1305" s="8">
        <v>175.17688216537661</v>
      </c>
      <c r="F1305" s="8">
        <v>175.2467829689102</v>
      </c>
      <c r="G1305" s="7">
        <v>35147</v>
      </c>
      <c r="H1305" s="9">
        <v>6159398.6810082877</v>
      </c>
      <c r="I1305" s="5" t="s">
        <v>2434</v>
      </c>
    </row>
    <row r="1306" spans="1:9" x14ac:dyDescent="0.25">
      <c r="A1306" s="6">
        <v>45993.743055555547</v>
      </c>
      <c r="B1306" s="5" t="s">
        <v>32</v>
      </c>
      <c r="C1306" s="8">
        <v>175.25571827588149</v>
      </c>
      <c r="D1306" s="8">
        <v>175.50417015563889</v>
      </c>
      <c r="E1306" s="8">
        <v>175.1431726072571</v>
      </c>
      <c r="F1306" s="8">
        <v>175.28170930317501</v>
      </c>
      <c r="G1306" s="7">
        <v>45561</v>
      </c>
      <c r="H1306" s="9">
        <v>7986009.9575619576</v>
      </c>
      <c r="I1306" s="5" t="s">
        <v>2435</v>
      </c>
    </row>
    <row r="1307" spans="1:9" x14ac:dyDescent="0.25">
      <c r="A1307" s="6">
        <v>45993.746527777781</v>
      </c>
      <c r="B1307" s="5" t="s">
        <v>32</v>
      </c>
      <c r="C1307" s="8">
        <v>175.41644605731781</v>
      </c>
      <c r="D1307" s="8">
        <v>175.4535229381606</v>
      </c>
      <c r="E1307" s="8">
        <v>175.3569811760585</v>
      </c>
      <c r="F1307" s="8">
        <v>175.39169777187351</v>
      </c>
      <c r="G1307" s="7">
        <v>54725</v>
      </c>
      <c r="H1307" s="9">
        <v>9598310.6605657749</v>
      </c>
      <c r="I1307" s="5" t="s">
        <v>2436</v>
      </c>
    </row>
    <row r="1308" spans="1:9" x14ac:dyDescent="0.25">
      <c r="A1308" s="6">
        <v>45993.75</v>
      </c>
      <c r="B1308" s="5" t="s">
        <v>32</v>
      </c>
      <c r="C1308" s="8">
        <v>175.25441695303911</v>
      </c>
      <c r="D1308" s="8">
        <v>175.30627943282281</v>
      </c>
      <c r="E1308" s="8">
        <v>175.22963033325061</v>
      </c>
      <c r="F1308" s="8">
        <v>175.23956201711209</v>
      </c>
      <c r="G1308" s="7">
        <v>52869</v>
      </c>
      <c r="H1308" s="9">
        <v>9264740.4042826984</v>
      </c>
      <c r="I1308" s="5" t="s">
        <v>2437</v>
      </c>
    </row>
    <row r="1309" spans="1:9" x14ac:dyDescent="0.25">
      <c r="A1309" s="6">
        <v>45993.753472222219</v>
      </c>
      <c r="B1309" s="5" t="s">
        <v>32</v>
      </c>
      <c r="C1309" s="8">
        <v>175.22710352491521</v>
      </c>
      <c r="D1309" s="8">
        <v>175.25756300912161</v>
      </c>
      <c r="E1309" s="8">
        <v>175.05720446170389</v>
      </c>
      <c r="F1309" s="8">
        <v>175.12695857196741</v>
      </c>
      <c r="G1309" s="7">
        <v>152026</v>
      </c>
      <c r="H1309" s="9">
        <v>26623851.003861919</v>
      </c>
      <c r="I1309" s="5" t="s">
        <v>2438</v>
      </c>
    </row>
    <row r="1310" spans="1:9" x14ac:dyDescent="0.25">
      <c r="A1310" s="6">
        <v>45993.756944444453</v>
      </c>
      <c r="B1310" s="5" t="s">
        <v>32</v>
      </c>
      <c r="C1310" s="8">
        <v>175.08445711911531</v>
      </c>
      <c r="D1310" s="8">
        <v>175.2981917790141</v>
      </c>
      <c r="E1310" s="8">
        <v>174.93689802736421</v>
      </c>
      <c r="F1310" s="8">
        <v>175.1209635242819</v>
      </c>
      <c r="G1310" s="7">
        <v>74460</v>
      </c>
      <c r="H1310" s="9">
        <v>13039506.944018031</v>
      </c>
      <c r="I1310" s="5" t="s">
        <v>2439</v>
      </c>
    </row>
    <row r="1311" spans="1:9" x14ac:dyDescent="0.25">
      <c r="A1311" s="6">
        <v>45993.760416666657</v>
      </c>
      <c r="B1311" s="5" t="s">
        <v>32</v>
      </c>
      <c r="C1311" s="8">
        <v>174.79951234301939</v>
      </c>
      <c r="D1311" s="8">
        <v>174.909651947963</v>
      </c>
      <c r="E1311" s="8">
        <v>174.79141338811019</v>
      </c>
      <c r="F1311" s="8">
        <v>174.90555483801529</v>
      </c>
      <c r="G1311" s="7">
        <v>107268</v>
      </c>
      <c r="H1311" s="9">
        <v>18761769.05636422</v>
      </c>
      <c r="I1311" s="5" t="s">
        <v>2440</v>
      </c>
    </row>
    <row r="1312" spans="1:9" x14ac:dyDescent="0.25">
      <c r="A1312" s="6">
        <v>45993.763888888891</v>
      </c>
      <c r="B1312" s="5" t="s">
        <v>32</v>
      </c>
      <c r="C1312" s="8">
        <v>174.73318484943891</v>
      </c>
      <c r="D1312" s="8">
        <v>174.97379170306709</v>
      </c>
      <c r="E1312" s="8">
        <v>174.5476038853748</v>
      </c>
      <c r="F1312" s="8">
        <v>174.68015042035921</v>
      </c>
      <c r="G1312" s="7">
        <v>66033</v>
      </c>
      <c r="H1312" s="9">
        <v>11534654.372707579</v>
      </c>
      <c r="I1312" s="5" t="s">
        <v>2441</v>
      </c>
    </row>
    <row r="1313" spans="1:9" x14ac:dyDescent="0.25">
      <c r="A1313" s="6">
        <v>45993.767361111109</v>
      </c>
      <c r="B1313" s="5" t="s">
        <v>32</v>
      </c>
      <c r="C1313" s="8">
        <v>174.59697403142849</v>
      </c>
      <c r="D1313" s="8">
        <v>174.61456400440761</v>
      </c>
      <c r="E1313" s="8">
        <v>174.47135598091259</v>
      </c>
      <c r="F1313" s="8">
        <v>174.5332644835438</v>
      </c>
      <c r="G1313" s="7">
        <v>60764</v>
      </c>
      <c r="H1313" s="9">
        <v>10605339.28307806</v>
      </c>
      <c r="I1313" s="5" t="s">
        <v>2442</v>
      </c>
    </row>
    <row r="1314" spans="1:9" x14ac:dyDescent="0.25">
      <c r="A1314" s="6">
        <v>45993.770833333343</v>
      </c>
      <c r="B1314" s="5" t="s">
        <v>32</v>
      </c>
      <c r="C1314" s="8">
        <v>174.74552424229961</v>
      </c>
      <c r="D1314" s="8">
        <v>174.84366469126871</v>
      </c>
      <c r="E1314" s="8">
        <v>174.62088704005109</v>
      </c>
      <c r="F1314" s="8">
        <v>174.71124861182281</v>
      </c>
      <c r="G1314" s="7">
        <v>44833</v>
      </c>
      <c r="H1314" s="9">
        <v>7832829.4090138506</v>
      </c>
      <c r="I1314" s="5" t="s">
        <v>2443</v>
      </c>
    </row>
    <row r="1315" spans="1:9" x14ac:dyDescent="0.25">
      <c r="A1315" s="6">
        <v>45993.774305555547</v>
      </c>
      <c r="B1315" s="5" t="s">
        <v>32</v>
      </c>
      <c r="C1315" s="8">
        <v>174.8661522470662</v>
      </c>
      <c r="D1315" s="8">
        <v>174.89613768029781</v>
      </c>
      <c r="E1315" s="8">
        <v>174.8112238090153</v>
      </c>
      <c r="F1315" s="8">
        <v>174.83408064545901</v>
      </c>
      <c r="G1315" s="7">
        <v>49116</v>
      </c>
      <c r="H1315" s="9">
        <v>8587150.7049823627</v>
      </c>
      <c r="I1315" s="5" t="s">
        <v>2444</v>
      </c>
    </row>
    <row r="1316" spans="1:9" x14ac:dyDescent="0.25">
      <c r="A1316" s="6">
        <v>45993.777777777781</v>
      </c>
      <c r="B1316" s="5" t="s">
        <v>32</v>
      </c>
      <c r="C1316" s="8">
        <v>174.93244115170671</v>
      </c>
      <c r="D1316" s="8">
        <v>175.01350709263889</v>
      </c>
      <c r="E1316" s="8">
        <v>174.7191446707846</v>
      </c>
      <c r="F1316" s="8">
        <v>174.88903644314041</v>
      </c>
      <c r="G1316" s="7">
        <v>109161</v>
      </c>
      <c r="H1316" s="9">
        <v>19091062.10716965</v>
      </c>
      <c r="I1316" s="5" t="s">
        <v>2445</v>
      </c>
    </row>
    <row r="1317" spans="1:9" x14ac:dyDescent="0.25">
      <c r="A1317" s="6">
        <v>45993.78125</v>
      </c>
      <c r="B1317" s="5" t="s">
        <v>32</v>
      </c>
      <c r="C1317" s="8">
        <v>174.96584814987861</v>
      </c>
      <c r="D1317" s="8">
        <v>175.12339434750291</v>
      </c>
      <c r="E1317" s="8">
        <v>174.8011961554204</v>
      </c>
      <c r="F1317" s="8">
        <v>174.8339215081962</v>
      </c>
      <c r="G1317" s="7">
        <v>68402</v>
      </c>
      <c r="H1317" s="9">
        <v>11958989.899003631</v>
      </c>
      <c r="I1317" s="5" t="s">
        <v>2446</v>
      </c>
    </row>
    <row r="1318" spans="1:9" x14ac:dyDescent="0.25">
      <c r="A1318" s="6">
        <v>45993.784722222219</v>
      </c>
      <c r="B1318" s="5" t="s">
        <v>32</v>
      </c>
      <c r="C1318" s="8">
        <v>174.89600644944369</v>
      </c>
      <c r="D1318" s="8">
        <v>174.9898670037671</v>
      </c>
      <c r="E1318" s="8">
        <v>174.8893609264596</v>
      </c>
      <c r="F1318" s="8">
        <v>174.9219834485294</v>
      </c>
      <c r="G1318" s="7">
        <v>53080</v>
      </c>
      <c r="H1318" s="9">
        <v>9284858.8814479411</v>
      </c>
      <c r="I1318" s="5" t="s">
        <v>2447</v>
      </c>
    </row>
    <row r="1319" spans="1:9" x14ac:dyDescent="0.25">
      <c r="A1319" s="6">
        <v>45993.788194444453</v>
      </c>
      <c r="B1319" s="5" t="s">
        <v>32</v>
      </c>
      <c r="C1319" s="8">
        <v>174.51465948206049</v>
      </c>
      <c r="D1319" s="8">
        <v>174.7098571586358</v>
      </c>
      <c r="E1319" s="8">
        <v>174.44476514491819</v>
      </c>
      <c r="F1319" s="8">
        <v>174.48123480333999</v>
      </c>
      <c r="G1319" s="7">
        <v>53331</v>
      </c>
      <c r="H1319" s="9">
        <v>9305258.7332969233</v>
      </c>
      <c r="I1319" s="5" t="s">
        <v>2448</v>
      </c>
    </row>
    <row r="1320" spans="1:9" x14ac:dyDescent="0.25">
      <c r="A1320" s="6">
        <v>45993.791666666657</v>
      </c>
      <c r="B1320" s="5" t="s">
        <v>32</v>
      </c>
      <c r="C1320" s="8">
        <v>174.42570331971999</v>
      </c>
      <c r="D1320" s="8">
        <v>174.50880697341839</v>
      </c>
      <c r="E1320" s="8">
        <v>174.28692946177179</v>
      </c>
      <c r="F1320" s="8">
        <v>174.38553056860181</v>
      </c>
      <c r="G1320" s="7">
        <v>66625</v>
      </c>
      <c r="H1320" s="9">
        <v>11618435.974133089</v>
      </c>
      <c r="I1320" s="5" t="s">
        <v>2449</v>
      </c>
    </row>
    <row r="1321" spans="1:9" x14ac:dyDescent="0.25">
      <c r="A1321" s="6">
        <v>45993.795138888891</v>
      </c>
      <c r="B1321" s="5" t="s">
        <v>32</v>
      </c>
      <c r="C1321" s="8">
        <v>174.3860019155313</v>
      </c>
      <c r="D1321" s="8">
        <v>174.4994622818943</v>
      </c>
      <c r="E1321" s="8">
        <v>174.3112005601073</v>
      </c>
      <c r="F1321" s="8">
        <v>174.42155983188789</v>
      </c>
      <c r="G1321" s="7">
        <v>67343</v>
      </c>
      <c r="H1321" s="9">
        <v>11746071.103758819</v>
      </c>
      <c r="I1321" s="5" t="s">
        <v>2450</v>
      </c>
    </row>
    <row r="1322" spans="1:9" x14ac:dyDescent="0.25">
      <c r="A1322" s="6">
        <v>45993.798611111109</v>
      </c>
      <c r="B1322" s="5" t="s">
        <v>32</v>
      </c>
      <c r="C1322" s="8">
        <v>174.53314398714841</v>
      </c>
      <c r="D1322" s="8">
        <v>174.54359545666651</v>
      </c>
      <c r="E1322" s="8">
        <v>174.39771074151281</v>
      </c>
      <c r="F1322" s="8">
        <v>174.49043448134219</v>
      </c>
      <c r="G1322" s="7">
        <v>76925</v>
      </c>
      <c r="H1322" s="9">
        <v>13422676.672477251</v>
      </c>
      <c r="I1322" s="5" t="s">
        <v>2451</v>
      </c>
    </row>
    <row r="1323" spans="1:9" x14ac:dyDescent="0.25">
      <c r="A1323" s="6">
        <v>45993.802083333343</v>
      </c>
      <c r="B1323" s="5" t="s">
        <v>32</v>
      </c>
      <c r="C1323" s="8">
        <v>174.98441518318299</v>
      </c>
      <c r="D1323" s="8">
        <v>175.08963668282919</v>
      </c>
      <c r="E1323" s="8">
        <v>174.82032317204209</v>
      </c>
      <c r="F1323" s="8">
        <v>174.90040872819341</v>
      </c>
      <c r="G1323" s="7">
        <v>57555</v>
      </c>
      <c r="H1323" s="9">
        <v>10066393.02435117</v>
      </c>
      <c r="I1323" s="5" t="s">
        <v>2452</v>
      </c>
    </row>
    <row r="1324" spans="1:9" x14ac:dyDescent="0.25">
      <c r="A1324" s="6">
        <v>45993.805555555547</v>
      </c>
      <c r="B1324" s="5" t="s">
        <v>32</v>
      </c>
      <c r="C1324" s="8">
        <v>174.8723007112464</v>
      </c>
      <c r="D1324" s="8">
        <v>174.96966218163391</v>
      </c>
      <c r="E1324" s="8">
        <v>174.71604385679791</v>
      </c>
      <c r="F1324" s="8">
        <v>174.88556714563791</v>
      </c>
      <c r="G1324" s="7">
        <v>70000</v>
      </c>
      <c r="H1324" s="9">
        <v>12241989.700194649</v>
      </c>
      <c r="I1324" s="5" t="s">
        <v>2453</v>
      </c>
    </row>
    <row r="1325" spans="1:9" x14ac:dyDescent="0.25">
      <c r="A1325" s="6">
        <v>45993.809027777781</v>
      </c>
      <c r="B1325" s="5" t="s">
        <v>32</v>
      </c>
      <c r="C1325" s="8">
        <v>174.70133251742129</v>
      </c>
      <c r="D1325" s="8">
        <v>174.76789407796241</v>
      </c>
      <c r="E1325" s="8">
        <v>174.6903777437247</v>
      </c>
      <c r="F1325" s="8">
        <v>174.72903153928331</v>
      </c>
      <c r="G1325" s="7">
        <v>51694</v>
      </c>
      <c r="H1325" s="9">
        <v>9032442.5563917123</v>
      </c>
      <c r="I1325" s="5" t="s">
        <v>2454</v>
      </c>
    </row>
    <row r="1326" spans="1:9" x14ac:dyDescent="0.25">
      <c r="A1326" s="6">
        <v>45993.8125</v>
      </c>
      <c r="B1326" s="5" t="s">
        <v>32</v>
      </c>
      <c r="C1326" s="8">
        <v>174.6862731920682</v>
      </c>
      <c r="D1326" s="8">
        <v>174.7353710662972</v>
      </c>
      <c r="E1326" s="8">
        <v>174.64798304724579</v>
      </c>
      <c r="F1326" s="8">
        <v>174.707734384525</v>
      </c>
      <c r="G1326" s="7">
        <v>100006</v>
      </c>
      <c r="H1326" s="9">
        <v>17471821.68485881</v>
      </c>
      <c r="I1326" s="5" t="s">
        <v>2455</v>
      </c>
    </row>
    <row r="1327" spans="1:9" x14ac:dyDescent="0.25">
      <c r="A1327" s="6">
        <v>45993.815972222219</v>
      </c>
      <c r="B1327" s="5" t="s">
        <v>32</v>
      </c>
      <c r="C1327" s="8">
        <v>174.76877453858111</v>
      </c>
      <c r="D1327" s="8">
        <v>174.85782954214559</v>
      </c>
      <c r="E1327" s="8">
        <v>174.67166184632421</v>
      </c>
      <c r="F1327" s="8">
        <v>174.79764829689651</v>
      </c>
      <c r="G1327" s="7">
        <v>49510</v>
      </c>
      <c r="H1327" s="9">
        <v>8654231.5671793465</v>
      </c>
      <c r="I1327" s="5" t="s">
        <v>2456</v>
      </c>
    </row>
    <row r="1328" spans="1:9" x14ac:dyDescent="0.25">
      <c r="A1328" s="6">
        <v>45993.819444444453</v>
      </c>
      <c r="B1328" s="5" t="s">
        <v>32</v>
      </c>
      <c r="C1328" s="8">
        <v>174.59907704906109</v>
      </c>
      <c r="D1328" s="8">
        <v>174.87166460283439</v>
      </c>
      <c r="E1328" s="8">
        <v>174.5819360141158</v>
      </c>
      <c r="F1328" s="8">
        <v>174.71486259506671</v>
      </c>
      <c r="G1328" s="7">
        <v>96283</v>
      </c>
      <c r="H1328" s="9">
        <v>16822071.115240801</v>
      </c>
      <c r="I1328" s="5" t="s">
        <v>2457</v>
      </c>
    </row>
    <row r="1329" spans="1:9" x14ac:dyDescent="0.25">
      <c r="A1329" s="6">
        <v>45993.822916666657</v>
      </c>
      <c r="B1329" s="5" t="s">
        <v>32</v>
      </c>
      <c r="C1329" s="8">
        <v>174.35991811868709</v>
      </c>
      <c r="D1329" s="8">
        <v>174.5147912724789</v>
      </c>
      <c r="E1329" s="8">
        <v>174.2753795693319</v>
      </c>
      <c r="F1329" s="8">
        <v>174.48040729767641</v>
      </c>
      <c r="G1329" s="7">
        <v>64014</v>
      </c>
      <c r="H1329" s="9">
        <v>11169188.79275346</v>
      </c>
      <c r="I1329" s="5" t="s">
        <v>2458</v>
      </c>
    </row>
    <row r="1330" spans="1:9" x14ac:dyDescent="0.25">
      <c r="A1330" s="6">
        <v>45993.826388888891</v>
      </c>
      <c r="B1330" s="5" t="s">
        <v>32</v>
      </c>
      <c r="C1330" s="8">
        <v>174.40707089110481</v>
      </c>
      <c r="D1330" s="8">
        <v>174.4383656338735</v>
      </c>
      <c r="E1330" s="8">
        <v>174.34927147496589</v>
      </c>
      <c r="F1330" s="8">
        <v>174.36343276185181</v>
      </c>
      <c r="G1330" s="7">
        <v>71453</v>
      </c>
      <c r="H1330" s="9">
        <v>12458790.361132599</v>
      </c>
      <c r="I1330" s="5" t="s">
        <v>2459</v>
      </c>
    </row>
    <row r="1331" spans="1:9" x14ac:dyDescent="0.25">
      <c r="A1331" s="6">
        <v>45993.829861111109</v>
      </c>
      <c r="B1331" s="5" t="s">
        <v>32</v>
      </c>
      <c r="C1331" s="8">
        <v>174.28028256920149</v>
      </c>
      <c r="D1331" s="8">
        <v>174.43057659908661</v>
      </c>
      <c r="E1331" s="8">
        <v>174.2738330708504</v>
      </c>
      <c r="F1331" s="8">
        <v>174.29864797813099</v>
      </c>
      <c r="G1331" s="7">
        <v>65373</v>
      </c>
      <c r="H1331" s="9">
        <v>11394425.514274361</v>
      </c>
      <c r="I1331" s="5" t="s">
        <v>2460</v>
      </c>
    </row>
    <row r="1332" spans="1:9" x14ac:dyDescent="0.25">
      <c r="A1332" s="6">
        <v>45993.833333333343</v>
      </c>
      <c r="B1332" s="5" t="s">
        <v>32</v>
      </c>
      <c r="C1332" s="8">
        <v>174.3884347036595</v>
      </c>
      <c r="D1332" s="8">
        <v>174.44504168049281</v>
      </c>
      <c r="E1332" s="8">
        <v>174.18038726090299</v>
      </c>
      <c r="F1332" s="8">
        <v>174.38114491526699</v>
      </c>
      <c r="G1332" s="7">
        <v>88293</v>
      </c>
      <c r="H1332" s="9">
        <v>15396634.428003671</v>
      </c>
      <c r="I1332" s="5" t="s">
        <v>2461</v>
      </c>
    </row>
    <row r="1333" spans="1:9" x14ac:dyDescent="0.25">
      <c r="A1333" s="6">
        <v>45993.836805555547</v>
      </c>
      <c r="B1333" s="5" t="s">
        <v>32</v>
      </c>
      <c r="C1333" s="8">
        <v>174.0569347467486</v>
      </c>
      <c r="D1333" s="8">
        <v>174.255179787044</v>
      </c>
      <c r="E1333" s="8">
        <v>173.8167258376684</v>
      </c>
      <c r="F1333" s="8">
        <v>174.16885614224611</v>
      </c>
      <c r="G1333" s="7">
        <v>23791</v>
      </c>
      <c r="H1333" s="9">
        <v>4143651.2564801769</v>
      </c>
      <c r="I1333" s="5" t="s">
        <v>2462</v>
      </c>
    </row>
    <row r="1334" spans="1:9" x14ac:dyDescent="0.25">
      <c r="A1334" s="6">
        <v>45993.840277777781</v>
      </c>
      <c r="B1334" s="5" t="s">
        <v>32</v>
      </c>
      <c r="C1334" s="8">
        <v>173.9639530096911</v>
      </c>
      <c r="D1334" s="8">
        <v>174.03350975278889</v>
      </c>
      <c r="E1334" s="8">
        <v>173.91382269641949</v>
      </c>
      <c r="F1334" s="8">
        <v>174.01195982888049</v>
      </c>
      <c r="G1334" s="7">
        <v>128323</v>
      </c>
      <c r="H1334" s="9">
        <v>22329736.72112143</v>
      </c>
      <c r="I1334" s="5" t="s">
        <v>2463</v>
      </c>
    </row>
    <row r="1335" spans="1:9" x14ac:dyDescent="0.25">
      <c r="A1335" s="6">
        <v>45993.84375</v>
      </c>
      <c r="B1335" s="5" t="s">
        <v>32</v>
      </c>
      <c r="C1335" s="8">
        <v>173.87644946753849</v>
      </c>
      <c r="D1335" s="8">
        <v>173.93208588425881</v>
      </c>
      <c r="E1335" s="8">
        <v>173.76078031963709</v>
      </c>
      <c r="F1335" s="8">
        <v>173.90627092389931</v>
      </c>
      <c r="G1335" s="7">
        <v>55255</v>
      </c>
      <c r="H1335" s="9">
        <v>9609190.9999000542</v>
      </c>
      <c r="I1335" s="5" t="s">
        <v>2464</v>
      </c>
    </row>
    <row r="1336" spans="1:9" x14ac:dyDescent="0.25">
      <c r="A1336" s="6">
        <v>45993.847222222219</v>
      </c>
      <c r="B1336" s="5" t="s">
        <v>32</v>
      </c>
      <c r="C1336" s="8">
        <v>173.63393033946019</v>
      </c>
      <c r="D1336" s="8">
        <v>173.86045218451261</v>
      </c>
      <c r="E1336" s="8">
        <v>173.6124933387548</v>
      </c>
      <c r="F1336" s="8">
        <v>173.77105456525609</v>
      </c>
      <c r="G1336" s="7">
        <v>103468</v>
      </c>
      <c r="H1336" s="9">
        <v>17979743.473757919</v>
      </c>
      <c r="I1336" s="5" t="s">
        <v>2465</v>
      </c>
    </row>
    <row r="1337" spans="1:9" x14ac:dyDescent="0.25">
      <c r="A1337" s="6">
        <v>45993.850694444453</v>
      </c>
      <c r="B1337" s="5" t="s">
        <v>32</v>
      </c>
      <c r="C1337" s="8">
        <v>174.15555775567361</v>
      </c>
      <c r="D1337" s="8">
        <v>174.2056745620161</v>
      </c>
      <c r="E1337" s="8">
        <v>173.96301697827121</v>
      </c>
      <c r="F1337" s="8">
        <v>174.05620978705869</v>
      </c>
      <c r="G1337" s="7">
        <v>37928</v>
      </c>
      <c r="H1337" s="9">
        <v>6601603.9248035643</v>
      </c>
      <c r="I1337" s="5" t="s">
        <v>2466</v>
      </c>
    </row>
    <row r="1338" spans="1:9" x14ac:dyDescent="0.25">
      <c r="A1338" s="6">
        <v>45993.854166666657</v>
      </c>
      <c r="B1338" s="5" t="s">
        <v>32</v>
      </c>
      <c r="C1338" s="8">
        <v>174.10827563523719</v>
      </c>
      <c r="D1338" s="8">
        <v>174.23540355100201</v>
      </c>
      <c r="E1338" s="8">
        <v>174.05440782170169</v>
      </c>
      <c r="F1338" s="8">
        <v>174.12579460461791</v>
      </c>
      <c r="G1338" s="7">
        <v>55698</v>
      </c>
      <c r="H1338" s="9">
        <v>9698458.5078880079</v>
      </c>
      <c r="I1338" s="5" t="s">
        <v>2467</v>
      </c>
    </row>
    <row r="1339" spans="1:9" x14ac:dyDescent="0.25">
      <c r="A1339" s="6">
        <v>45993.857638888891</v>
      </c>
      <c r="B1339" s="5" t="s">
        <v>32</v>
      </c>
      <c r="C1339" s="8">
        <v>174.09514997358329</v>
      </c>
      <c r="D1339" s="8">
        <v>174.10886676885019</v>
      </c>
      <c r="E1339" s="8">
        <v>173.8983738229322</v>
      </c>
      <c r="F1339" s="8">
        <v>173.9999521887226</v>
      </c>
      <c r="G1339" s="7">
        <v>52567</v>
      </c>
      <c r="H1339" s="9">
        <v>9146655.4867045805</v>
      </c>
      <c r="I1339" s="5" t="s">
        <v>2468</v>
      </c>
    </row>
    <row r="1340" spans="1:9" x14ac:dyDescent="0.25">
      <c r="A1340" s="6">
        <v>45993.861111111109</v>
      </c>
      <c r="B1340" s="5" t="s">
        <v>32</v>
      </c>
      <c r="C1340" s="8">
        <v>173.86572067952889</v>
      </c>
      <c r="D1340" s="8">
        <v>173.99425448498829</v>
      </c>
      <c r="E1340" s="8">
        <v>173.7852298245505</v>
      </c>
      <c r="F1340" s="8">
        <v>173.80279073620221</v>
      </c>
      <c r="G1340" s="7">
        <v>66646</v>
      </c>
      <c r="H1340" s="9">
        <v>11583260.791404931</v>
      </c>
      <c r="I1340" s="5" t="s">
        <v>2469</v>
      </c>
    </row>
    <row r="1341" spans="1:9" x14ac:dyDescent="0.25">
      <c r="A1341" s="6">
        <v>45993.864583333343</v>
      </c>
      <c r="B1341" s="5" t="s">
        <v>32</v>
      </c>
      <c r="C1341" s="8">
        <v>173.6618801631605</v>
      </c>
      <c r="D1341" s="8">
        <v>173.6654383557696</v>
      </c>
      <c r="E1341" s="8">
        <v>173.36781845954201</v>
      </c>
      <c r="F1341" s="8">
        <v>173.58060275582881</v>
      </c>
      <c r="G1341" s="7">
        <v>49253</v>
      </c>
      <c r="H1341" s="9">
        <v>8549365.4275328349</v>
      </c>
      <c r="I1341" s="5" t="s">
        <v>2470</v>
      </c>
    </row>
    <row r="1342" spans="1:9" x14ac:dyDescent="0.25">
      <c r="A1342" s="6">
        <v>45993.868055555547</v>
      </c>
      <c r="B1342" s="5" t="s">
        <v>32</v>
      </c>
      <c r="C1342" s="8">
        <v>173.70110285849071</v>
      </c>
      <c r="D1342" s="8">
        <v>173.78462642177399</v>
      </c>
      <c r="E1342" s="8">
        <v>173.64495239804199</v>
      </c>
      <c r="F1342" s="8">
        <v>173.65529509375079</v>
      </c>
      <c r="G1342" s="7">
        <v>87513</v>
      </c>
      <c r="H1342" s="9">
        <v>15197095.839539411</v>
      </c>
      <c r="I1342" s="5" t="s">
        <v>2471</v>
      </c>
    </row>
    <row r="1343" spans="1:9" x14ac:dyDescent="0.25">
      <c r="A1343" s="6">
        <v>45993.871527777781</v>
      </c>
      <c r="B1343" s="5" t="s">
        <v>32</v>
      </c>
      <c r="C1343" s="8">
        <v>173.7199177533341</v>
      </c>
      <c r="D1343" s="8">
        <v>173.82565283090489</v>
      </c>
      <c r="E1343" s="8">
        <v>173.58434424563879</v>
      </c>
      <c r="F1343" s="8">
        <v>173.71803905565619</v>
      </c>
      <c r="G1343" s="7">
        <v>60842</v>
      </c>
      <c r="H1343" s="9">
        <v>10569352.932224231</v>
      </c>
      <c r="I1343" s="5" t="s">
        <v>2472</v>
      </c>
    </row>
    <row r="1344" spans="1:9" x14ac:dyDescent="0.25">
      <c r="A1344" s="6">
        <v>45993.875</v>
      </c>
      <c r="B1344" s="5" t="s">
        <v>32</v>
      </c>
      <c r="C1344" s="8">
        <v>173.79156444268051</v>
      </c>
      <c r="D1344" s="8">
        <v>173.8311204786761</v>
      </c>
      <c r="E1344" s="8">
        <v>173.7547265102867</v>
      </c>
      <c r="F1344" s="8">
        <v>173.79430021960971</v>
      </c>
      <c r="G1344" s="7">
        <v>146415</v>
      </c>
      <c r="H1344" s="9">
        <v>25446092.466654159</v>
      </c>
      <c r="I1344" s="5" t="s">
        <v>2473</v>
      </c>
    </row>
    <row r="1345" spans="1:9" x14ac:dyDescent="0.25">
      <c r="A1345" s="6">
        <v>45994.604166666657</v>
      </c>
      <c r="B1345" s="5" t="s">
        <v>32</v>
      </c>
      <c r="C1345" s="8">
        <v>174.11312512969721</v>
      </c>
      <c r="D1345" s="8">
        <v>174.14383070264111</v>
      </c>
      <c r="E1345" s="8">
        <v>174.00661784729911</v>
      </c>
      <c r="F1345" s="8">
        <v>174.07744972424919</v>
      </c>
      <c r="G1345" s="7">
        <v>44748</v>
      </c>
      <c r="H1345" s="9">
        <v>7789617.7202607058</v>
      </c>
      <c r="I1345" s="5" t="s">
        <v>2474</v>
      </c>
    </row>
    <row r="1346" spans="1:9" x14ac:dyDescent="0.25">
      <c r="A1346" s="6">
        <v>45994.607638888891</v>
      </c>
      <c r="B1346" s="5" t="s">
        <v>32</v>
      </c>
      <c r="C1346" s="8">
        <v>174.16808272283379</v>
      </c>
      <c r="D1346" s="8">
        <v>174.21470498223141</v>
      </c>
      <c r="E1346" s="8">
        <v>174.09856088987681</v>
      </c>
      <c r="F1346" s="8">
        <v>174.172324476266</v>
      </c>
      <c r="G1346" s="7">
        <v>47553</v>
      </c>
      <c r="H1346" s="9">
        <v>8282416.5458198758</v>
      </c>
      <c r="I1346" s="5" t="s">
        <v>2475</v>
      </c>
    </row>
    <row r="1347" spans="1:9" x14ac:dyDescent="0.25">
      <c r="A1347" s="6">
        <v>45994.611111111109</v>
      </c>
      <c r="B1347" s="5" t="s">
        <v>32</v>
      </c>
      <c r="C1347" s="8">
        <v>174.24997130020969</v>
      </c>
      <c r="D1347" s="8">
        <v>174.33082129901439</v>
      </c>
      <c r="E1347" s="8">
        <v>174.20448462949261</v>
      </c>
      <c r="F1347" s="8">
        <v>174.2483410243795</v>
      </c>
      <c r="G1347" s="7">
        <v>63060</v>
      </c>
      <c r="H1347" s="9">
        <v>10988100.38499737</v>
      </c>
      <c r="I1347" s="5" t="s">
        <v>2476</v>
      </c>
    </row>
    <row r="1348" spans="1:9" x14ac:dyDescent="0.25">
      <c r="A1348" s="6">
        <v>45994.614583333343</v>
      </c>
      <c r="B1348" s="5" t="s">
        <v>32</v>
      </c>
      <c r="C1348" s="8">
        <v>174.31018902583321</v>
      </c>
      <c r="D1348" s="8">
        <v>174.33627508999911</v>
      </c>
      <c r="E1348" s="8">
        <v>174.0977469051326</v>
      </c>
      <c r="F1348" s="8">
        <v>174.23462518762409</v>
      </c>
      <c r="G1348" s="7">
        <v>63240</v>
      </c>
      <c r="H1348" s="9">
        <v>11018597.69686535</v>
      </c>
      <c r="I1348" s="5" t="s">
        <v>2477</v>
      </c>
    </row>
    <row r="1349" spans="1:9" x14ac:dyDescent="0.25">
      <c r="A1349" s="6">
        <v>45994.618055555547</v>
      </c>
      <c r="B1349" s="5" t="s">
        <v>32</v>
      </c>
      <c r="C1349" s="8">
        <v>174.12577417574761</v>
      </c>
      <c r="D1349" s="8">
        <v>174.1854067268134</v>
      </c>
      <c r="E1349" s="8">
        <v>174.05125407928071</v>
      </c>
      <c r="F1349" s="8">
        <v>174.08247052498601</v>
      </c>
      <c r="G1349" s="7">
        <v>71385</v>
      </c>
      <c r="H1349" s="9">
        <v>12426877.158426121</v>
      </c>
      <c r="I1349" s="5" t="s">
        <v>2478</v>
      </c>
    </row>
    <row r="1350" spans="1:9" x14ac:dyDescent="0.25">
      <c r="A1350" s="6">
        <v>45994.621527777781</v>
      </c>
      <c r="B1350" s="5" t="s">
        <v>32</v>
      </c>
      <c r="C1350" s="8">
        <v>173.99846137251271</v>
      </c>
      <c r="D1350" s="8">
        <v>174.20377069339759</v>
      </c>
      <c r="E1350" s="8">
        <v>173.78452225143039</v>
      </c>
      <c r="F1350" s="8">
        <v>174.0217361913773</v>
      </c>
      <c r="G1350" s="7">
        <v>52048</v>
      </c>
      <c r="H1350" s="9">
        <v>9057483.3252888042</v>
      </c>
      <c r="I1350" s="5" t="s">
        <v>2479</v>
      </c>
    </row>
    <row r="1351" spans="1:9" x14ac:dyDescent="0.25">
      <c r="A1351" s="6">
        <v>45994.625</v>
      </c>
      <c r="B1351" s="5" t="s">
        <v>32</v>
      </c>
      <c r="C1351" s="8">
        <v>174.23181261062831</v>
      </c>
      <c r="D1351" s="8">
        <v>174.30094759905771</v>
      </c>
      <c r="E1351" s="8">
        <v>174.1641440791598</v>
      </c>
      <c r="F1351" s="8">
        <v>174.29307602646139</v>
      </c>
      <c r="G1351" s="7">
        <v>71533</v>
      </c>
      <c r="H1351" s="9">
        <v>12467706.60740087</v>
      </c>
      <c r="I1351" s="5" t="s">
        <v>2480</v>
      </c>
    </row>
    <row r="1352" spans="1:9" x14ac:dyDescent="0.25">
      <c r="A1352" s="6">
        <v>45994.628472222219</v>
      </c>
      <c r="B1352" s="5" t="s">
        <v>32</v>
      </c>
      <c r="C1352" s="8">
        <v>174.1607542696496</v>
      </c>
      <c r="D1352" s="8">
        <v>174.20735726964429</v>
      </c>
      <c r="E1352" s="8">
        <v>174.10878930201659</v>
      </c>
      <c r="F1352" s="8">
        <v>174.16627314367909</v>
      </c>
      <c r="G1352" s="7">
        <v>56839</v>
      </c>
      <c r="H1352" s="9">
        <v>9899436.7992135771</v>
      </c>
      <c r="I1352" s="5" t="s">
        <v>2481</v>
      </c>
    </row>
    <row r="1353" spans="1:9" x14ac:dyDescent="0.25">
      <c r="A1353" s="6">
        <v>45994.631944444453</v>
      </c>
      <c r="B1353" s="5" t="s">
        <v>32</v>
      </c>
      <c r="C1353" s="8">
        <v>174.16007187067461</v>
      </c>
      <c r="D1353" s="8">
        <v>174.22403726630731</v>
      </c>
      <c r="E1353" s="8">
        <v>174.05698442346139</v>
      </c>
      <c r="F1353" s="8">
        <v>174.13341918978631</v>
      </c>
      <c r="G1353" s="7">
        <v>69356</v>
      </c>
      <c r="H1353" s="9">
        <v>12077197.42132682</v>
      </c>
      <c r="I1353" s="5" t="s">
        <v>2482</v>
      </c>
    </row>
    <row r="1354" spans="1:9" x14ac:dyDescent="0.25">
      <c r="A1354" s="6">
        <v>45994.635416666657</v>
      </c>
      <c r="B1354" s="5" t="s">
        <v>32</v>
      </c>
      <c r="C1354" s="8">
        <v>173.95980730951169</v>
      </c>
      <c r="D1354" s="8">
        <v>174.03298180653019</v>
      </c>
      <c r="E1354" s="8">
        <v>173.9552500185836</v>
      </c>
      <c r="F1354" s="8">
        <v>173.98092702945169</v>
      </c>
      <c r="G1354" s="7">
        <v>80389</v>
      </c>
      <c r="H1354" s="9">
        <v>13986152.742970601</v>
      </c>
      <c r="I1354" s="5" t="s">
        <v>2483</v>
      </c>
    </row>
    <row r="1355" spans="1:9" x14ac:dyDescent="0.25">
      <c r="A1355" s="6">
        <v>45994.638888888891</v>
      </c>
      <c r="B1355" s="5" t="s">
        <v>32</v>
      </c>
      <c r="C1355" s="8">
        <v>173.7421461655448</v>
      </c>
      <c r="D1355" s="8">
        <v>173.87319756921619</v>
      </c>
      <c r="E1355" s="8">
        <v>173.7126215297275</v>
      </c>
      <c r="F1355" s="8">
        <v>173.78741783970199</v>
      </c>
      <c r="G1355" s="7">
        <v>48139</v>
      </c>
      <c r="H1355" s="9">
        <v>8365952.507385415</v>
      </c>
      <c r="I1355" s="5" t="s">
        <v>2484</v>
      </c>
    </row>
    <row r="1356" spans="1:9" x14ac:dyDescent="0.25">
      <c r="A1356" s="6">
        <v>45994.642361111109</v>
      </c>
      <c r="B1356" s="5" t="s">
        <v>32</v>
      </c>
      <c r="C1356" s="8">
        <v>173.6676304641154</v>
      </c>
      <c r="D1356" s="8">
        <v>173.7100186268427</v>
      </c>
      <c r="E1356" s="8">
        <v>173.54052414837301</v>
      </c>
      <c r="F1356" s="8">
        <v>173.65067946482941</v>
      </c>
      <c r="G1356" s="7">
        <v>68765</v>
      </c>
      <c r="H1356" s="9">
        <v>11941088.973399</v>
      </c>
      <c r="I1356" s="5" t="s">
        <v>2485</v>
      </c>
    </row>
    <row r="1357" spans="1:9" x14ac:dyDescent="0.25">
      <c r="A1357" s="6">
        <v>45994.645833333343</v>
      </c>
      <c r="B1357" s="5" t="s">
        <v>32</v>
      </c>
      <c r="C1357" s="8">
        <v>173.6571813515919</v>
      </c>
      <c r="D1357" s="8">
        <v>173.7133745887659</v>
      </c>
      <c r="E1357" s="8">
        <v>173.5715483668447</v>
      </c>
      <c r="F1357" s="8">
        <v>173.63300313245691</v>
      </c>
      <c r="G1357" s="7">
        <v>54011</v>
      </c>
      <c r="H1357" s="9">
        <v>9378092.1321871299</v>
      </c>
      <c r="I1357" s="5" t="s">
        <v>2486</v>
      </c>
    </row>
    <row r="1358" spans="1:9" x14ac:dyDescent="0.25">
      <c r="A1358" s="6">
        <v>45994.649305555547</v>
      </c>
      <c r="B1358" s="5" t="s">
        <v>32</v>
      </c>
      <c r="C1358" s="8">
        <v>173.64518801515729</v>
      </c>
      <c r="D1358" s="8">
        <v>173.65031526207781</v>
      </c>
      <c r="E1358" s="8">
        <v>173.50821134407289</v>
      </c>
      <c r="F1358" s="8">
        <v>173.61178296905669</v>
      </c>
      <c r="G1358" s="7">
        <v>49478</v>
      </c>
      <c r="H1358" s="9">
        <v>8589963.7977429889</v>
      </c>
      <c r="I1358" s="5" t="s">
        <v>2487</v>
      </c>
    </row>
    <row r="1359" spans="1:9" x14ac:dyDescent="0.25">
      <c r="A1359" s="6">
        <v>45994.652777777781</v>
      </c>
      <c r="B1359" s="5" t="s">
        <v>32</v>
      </c>
      <c r="C1359" s="8">
        <v>173.6740491911909</v>
      </c>
      <c r="D1359" s="8">
        <v>173.8157774489718</v>
      </c>
      <c r="E1359" s="8">
        <v>173.48154860884949</v>
      </c>
      <c r="F1359" s="8">
        <v>173.60960302009951</v>
      </c>
      <c r="G1359" s="7">
        <v>75232</v>
      </c>
      <c r="H1359" s="9">
        <v>13060997.65440812</v>
      </c>
      <c r="I1359" s="5" t="s">
        <v>2488</v>
      </c>
    </row>
    <row r="1360" spans="1:9" x14ac:dyDescent="0.25">
      <c r="A1360" s="6">
        <v>45994.65625</v>
      </c>
      <c r="B1360" s="5" t="s">
        <v>32</v>
      </c>
      <c r="C1360" s="8">
        <v>173.76909922257801</v>
      </c>
      <c r="D1360" s="8">
        <v>173.85235305183591</v>
      </c>
      <c r="E1360" s="8">
        <v>173.6183902521939</v>
      </c>
      <c r="F1360" s="8">
        <v>173.7206520078081</v>
      </c>
      <c r="G1360" s="7">
        <v>50427</v>
      </c>
      <c r="H1360" s="9">
        <v>8760211.3187977392</v>
      </c>
      <c r="I1360" s="5" t="s">
        <v>2489</v>
      </c>
    </row>
    <row r="1361" spans="1:9" x14ac:dyDescent="0.25">
      <c r="A1361" s="6">
        <v>45994.659722222219</v>
      </c>
      <c r="B1361" s="5" t="s">
        <v>32</v>
      </c>
      <c r="C1361" s="8">
        <v>173.7490694058086</v>
      </c>
      <c r="D1361" s="8">
        <v>173.87130305303</v>
      </c>
      <c r="E1361" s="8">
        <v>173.5933433674706</v>
      </c>
      <c r="F1361" s="8">
        <v>173.72173689516831</v>
      </c>
      <c r="G1361" s="7">
        <v>48899</v>
      </c>
      <c r="H1361" s="9">
        <v>8494819.2124368344</v>
      </c>
      <c r="I1361" s="5" t="s">
        <v>2490</v>
      </c>
    </row>
    <row r="1362" spans="1:9" x14ac:dyDescent="0.25">
      <c r="A1362" s="6">
        <v>45994.663194444453</v>
      </c>
      <c r="B1362" s="5" t="s">
        <v>32</v>
      </c>
      <c r="C1362" s="8">
        <v>173.90504806715549</v>
      </c>
      <c r="D1362" s="8">
        <v>174.0357477280437</v>
      </c>
      <c r="E1362" s="8">
        <v>173.809749288641</v>
      </c>
      <c r="F1362" s="8">
        <v>173.86781322297671</v>
      </c>
      <c r="G1362" s="7">
        <v>49467</v>
      </c>
      <c r="H1362" s="9">
        <v>8600719.1167009883</v>
      </c>
      <c r="I1362" s="5" t="s">
        <v>2491</v>
      </c>
    </row>
    <row r="1363" spans="1:9" x14ac:dyDescent="0.25">
      <c r="A1363" s="6">
        <v>45994.666666666657</v>
      </c>
      <c r="B1363" s="5" t="s">
        <v>32</v>
      </c>
      <c r="C1363" s="8">
        <v>173.8851250597904</v>
      </c>
      <c r="D1363" s="8">
        <v>173.88667456315031</v>
      </c>
      <c r="E1363" s="8">
        <v>173.78207991409059</v>
      </c>
      <c r="F1363" s="8">
        <v>173.87617026799811</v>
      </c>
      <c r="G1363" s="7">
        <v>85803</v>
      </c>
      <c r="H1363" s="9">
        <v>14919097.03750504</v>
      </c>
      <c r="I1363" s="5" t="s">
        <v>2492</v>
      </c>
    </row>
    <row r="1364" spans="1:9" x14ac:dyDescent="0.25">
      <c r="A1364" s="6">
        <v>45994.670138888891</v>
      </c>
      <c r="B1364" s="5" t="s">
        <v>32</v>
      </c>
      <c r="C1364" s="8">
        <v>173.97539239725671</v>
      </c>
      <c r="D1364" s="8">
        <v>174.04761485985071</v>
      </c>
      <c r="E1364" s="8">
        <v>173.87107574165779</v>
      </c>
      <c r="F1364" s="8">
        <v>174.0285735923041</v>
      </c>
      <c r="G1364" s="7">
        <v>66874</v>
      </c>
      <c r="H1364" s="9">
        <v>11637986.830411751</v>
      </c>
      <c r="I1364" s="5" t="s">
        <v>2493</v>
      </c>
    </row>
    <row r="1365" spans="1:9" x14ac:dyDescent="0.25">
      <c r="A1365" s="6">
        <v>45994.673611111109</v>
      </c>
      <c r="B1365" s="5" t="s">
        <v>32</v>
      </c>
      <c r="C1365" s="8">
        <v>174.0728893400227</v>
      </c>
      <c r="D1365" s="8">
        <v>174.2360269538691</v>
      </c>
      <c r="E1365" s="8">
        <v>173.96308108076059</v>
      </c>
      <c r="F1365" s="8">
        <v>174.09584340066789</v>
      </c>
      <c r="G1365" s="7">
        <v>80913</v>
      </c>
      <c r="H1365" s="9">
        <v>14086616.97707824</v>
      </c>
      <c r="I1365" s="5" t="s">
        <v>2494</v>
      </c>
    </row>
    <row r="1366" spans="1:9" x14ac:dyDescent="0.25">
      <c r="A1366" s="6">
        <v>45994.677083333343</v>
      </c>
      <c r="B1366" s="5" t="s">
        <v>32</v>
      </c>
      <c r="C1366" s="8">
        <v>174.31927484436201</v>
      </c>
      <c r="D1366" s="8">
        <v>174.48970446423999</v>
      </c>
      <c r="E1366" s="8">
        <v>174.23738359052271</v>
      </c>
      <c r="F1366" s="8">
        <v>174.35752395926059</v>
      </c>
      <c r="G1366" s="7">
        <v>48186</v>
      </c>
      <c r="H1366" s="9">
        <v>8401591.6495009288</v>
      </c>
      <c r="I1366" s="5" t="s">
        <v>2495</v>
      </c>
    </row>
    <row r="1367" spans="1:9" x14ac:dyDescent="0.25">
      <c r="A1367" s="6">
        <v>45994.680555555547</v>
      </c>
      <c r="B1367" s="5" t="s">
        <v>32</v>
      </c>
      <c r="C1367" s="8">
        <v>174.44989693355441</v>
      </c>
      <c r="D1367" s="8">
        <v>174.4950025638789</v>
      </c>
      <c r="E1367" s="8">
        <v>174.33450754032179</v>
      </c>
      <c r="F1367" s="8">
        <v>174.3797090950475</v>
      </c>
      <c r="G1367" s="7">
        <v>22999</v>
      </c>
      <c r="H1367" s="9">
        <v>4010558.9294769969</v>
      </c>
      <c r="I1367" s="5" t="s">
        <v>2496</v>
      </c>
    </row>
    <row r="1368" spans="1:9" x14ac:dyDescent="0.25">
      <c r="A1368" s="6">
        <v>45994.684027777781</v>
      </c>
      <c r="B1368" s="5" t="s">
        <v>32</v>
      </c>
      <c r="C1368" s="8">
        <v>174.1103963782206</v>
      </c>
      <c r="D1368" s="8">
        <v>174.14417042843351</v>
      </c>
      <c r="E1368" s="8">
        <v>174.05247325393279</v>
      </c>
      <c r="F1368" s="8">
        <v>174.12995558482649</v>
      </c>
      <c r="G1368" s="7">
        <v>79896</v>
      </c>
      <c r="H1368" s="9">
        <v>13912286.9314053</v>
      </c>
      <c r="I1368" s="5" t="s">
        <v>2497</v>
      </c>
    </row>
    <row r="1369" spans="1:9" x14ac:dyDescent="0.25">
      <c r="A1369" s="6">
        <v>45994.6875</v>
      </c>
      <c r="B1369" s="5" t="s">
        <v>32</v>
      </c>
      <c r="C1369" s="8">
        <v>174.45651994179741</v>
      </c>
      <c r="D1369" s="8">
        <v>174.74769472725649</v>
      </c>
      <c r="E1369" s="8">
        <v>174.34603533107091</v>
      </c>
      <c r="F1369" s="8">
        <v>174.42181762168221</v>
      </c>
      <c r="G1369" s="7">
        <v>94030</v>
      </c>
      <c r="H1369" s="9">
        <v>16400883.51096678</v>
      </c>
      <c r="I1369" s="5" t="s">
        <v>2498</v>
      </c>
    </row>
    <row r="1370" spans="1:9" x14ac:dyDescent="0.25">
      <c r="A1370" s="6">
        <v>45994.690972222219</v>
      </c>
      <c r="B1370" s="5" t="s">
        <v>32</v>
      </c>
      <c r="C1370" s="8">
        <v>174.32484505185781</v>
      </c>
      <c r="D1370" s="8">
        <v>174.4216004797178</v>
      </c>
      <c r="E1370" s="8">
        <v>174.20595164029621</v>
      </c>
      <c r="F1370" s="8">
        <v>174.3019545371117</v>
      </c>
      <c r="G1370" s="7">
        <v>51742</v>
      </c>
      <c r="H1370" s="9">
        <v>9018731.7316592317</v>
      </c>
      <c r="I1370" s="5" t="s">
        <v>2499</v>
      </c>
    </row>
    <row r="1371" spans="1:9" x14ac:dyDescent="0.25">
      <c r="A1371" s="6">
        <v>45994.694444444453</v>
      </c>
      <c r="B1371" s="5" t="s">
        <v>32</v>
      </c>
      <c r="C1371" s="8">
        <v>174.23477366594651</v>
      </c>
      <c r="D1371" s="8">
        <v>174.33177997161371</v>
      </c>
      <c r="E1371" s="8">
        <v>174.13097133806991</v>
      </c>
      <c r="F1371" s="8">
        <v>174.29701382291941</v>
      </c>
      <c r="G1371" s="7">
        <v>83066</v>
      </c>
      <c r="H1371" s="9">
        <v>14478155.750214631</v>
      </c>
      <c r="I1371" s="5" t="s">
        <v>2500</v>
      </c>
    </row>
    <row r="1372" spans="1:9" x14ac:dyDescent="0.25">
      <c r="A1372" s="6">
        <v>45994.697916666657</v>
      </c>
      <c r="B1372" s="5" t="s">
        <v>32</v>
      </c>
      <c r="C1372" s="8">
        <v>174.37243767169031</v>
      </c>
      <c r="D1372" s="8">
        <v>174.4327619064014</v>
      </c>
      <c r="E1372" s="8">
        <v>174.29042601469379</v>
      </c>
      <c r="F1372" s="8">
        <v>174.33640292935689</v>
      </c>
      <c r="G1372" s="7">
        <v>78936</v>
      </c>
      <c r="H1372" s="9">
        <v>13761418.30163171</v>
      </c>
      <c r="I1372" s="5" t="s">
        <v>2501</v>
      </c>
    </row>
    <row r="1373" spans="1:9" x14ac:dyDescent="0.25">
      <c r="A1373" s="6">
        <v>45994.701388888891</v>
      </c>
      <c r="B1373" s="5" t="s">
        <v>32</v>
      </c>
      <c r="C1373" s="8">
        <v>174.26878719213639</v>
      </c>
      <c r="D1373" s="8">
        <v>174.47734590762479</v>
      </c>
      <c r="E1373" s="8">
        <v>174.19646318486181</v>
      </c>
      <c r="F1373" s="8">
        <v>174.34903369778289</v>
      </c>
      <c r="G1373" s="7">
        <v>81691</v>
      </c>
      <c r="H1373" s="9">
        <v>14242746.911805591</v>
      </c>
      <c r="I1373" s="5" t="s">
        <v>2502</v>
      </c>
    </row>
    <row r="1374" spans="1:9" x14ac:dyDescent="0.25">
      <c r="A1374" s="6">
        <v>45994.704861111109</v>
      </c>
      <c r="B1374" s="5" t="s">
        <v>32</v>
      </c>
      <c r="C1374" s="8">
        <v>174.45203304314231</v>
      </c>
      <c r="D1374" s="8">
        <v>174.46932145467051</v>
      </c>
      <c r="E1374" s="8">
        <v>174.403324323276</v>
      </c>
      <c r="F1374" s="8">
        <v>174.43238233566649</v>
      </c>
      <c r="G1374" s="7">
        <v>64310</v>
      </c>
      <c r="H1374" s="9">
        <v>11217746.50800672</v>
      </c>
      <c r="I1374" s="5" t="s">
        <v>2503</v>
      </c>
    </row>
    <row r="1375" spans="1:9" x14ac:dyDescent="0.25">
      <c r="A1375" s="6">
        <v>45994.708333333343</v>
      </c>
      <c r="B1375" s="5" t="s">
        <v>32</v>
      </c>
      <c r="C1375" s="8">
        <v>174.4317485619917</v>
      </c>
      <c r="D1375" s="8">
        <v>174.46813243779491</v>
      </c>
      <c r="E1375" s="8">
        <v>174.37029589608119</v>
      </c>
      <c r="F1375" s="8">
        <v>174.4373205393232</v>
      </c>
      <c r="G1375" s="7">
        <v>52047</v>
      </c>
      <c r="H1375" s="9">
        <v>9078939.2221101541</v>
      </c>
      <c r="I1375" s="5" t="s">
        <v>2504</v>
      </c>
    </row>
    <row r="1376" spans="1:9" x14ac:dyDescent="0.25">
      <c r="A1376" s="6">
        <v>45994.711805555547</v>
      </c>
      <c r="B1376" s="5" t="s">
        <v>32</v>
      </c>
      <c r="C1376" s="8">
        <v>174.40839253294121</v>
      </c>
      <c r="D1376" s="8">
        <v>174.55573299479019</v>
      </c>
      <c r="E1376" s="8">
        <v>174.2366602904637</v>
      </c>
      <c r="F1376" s="8">
        <v>174.47490150672249</v>
      </c>
      <c r="G1376" s="7">
        <v>54882</v>
      </c>
      <c r="H1376" s="9">
        <v>9575531.544491943</v>
      </c>
      <c r="I1376" s="5" t="s">
        <v>2505</v>
      </c>
    </row>
    <row r="1377" spans="1:9" x14ac:dyDescent="0.25">
      <c r="A1377" s="6">
        <v>45994.715277777781</v>
      </c>
      <c r="B1377" s="5" t="s">
        <v>32</v>
      </c>
      <c r="C1377" s="8">
        <v>174.56733126248341</v>
      </c>
      <c r="D1377" s="8">
        <v>174.7014756109325</v>
      </c>
      <c r="E1377" s="8">
        <v>174.45049243926229</v>
      </c>
      <c r="F1377" s="8">
        <v>174.53228527289011</v>
      </c>
      <c r="G1377" s="7">
        <v>42570</v>
      </c>
      <c r="H1377" s="9">
        <v>7429839.3840669328</v>
      </c>
      <c r="I1377" s="5" t="s">
        <v>2506</v>
      </c>
    </row>
    <row r="1378" spans="1:9" x14ac:dyDescent="0.25">
      <c r="A1378" s="6">
        <v>45994.71875</v>
      </c>
      <c r="B1378" s="5" t="s">
        <v>32</v>
      </c>
      <c r="C1378" s="8">
        <v>174.4468243853625</v>
      </c>
      <c r="D1378" s="8">
        <v>174.62854356258501</v>
      </c>
      <c r="E1378" s="8">
        <v>174.42925851710521</v>
      </c>
      <c r="F1378" s="8">
        <v>174.47168646540169</v>
      </c>
      <c r="G1378" s="7">
        <v>120333</v>
      </c>
      <c r="H1378" s="9">
        <v>20994701.447441179</v>
      </c>
      <c r="I1378" s="5" t="s">
        <v>2507</v>
      </c>
    </row>
    <row r="1379" spans="1:9" x14ac:dyDescent="0.25">
      <c r="A1379" s="6">
        <v>45994.722222222219</v>
      </c>
      <c r="B1379" s="5" t="s">
        <v>32</v>
      </c>
      <c r="C1379" s="8">
        <v>174.607136877084</v>
      </c>
      <c r="D1379" s="8">
        <v>174.66023262871889</v>
      </c>
      <c r="E1379" s="8">
        <v>174.47130739432649</v>
      </c>
      <c r="F1379" s="8">
        <v>174.61954779798509</v>
      </c>
      <c r="G1379" s="7">
        <v>45014</v>
      </c>
      <c r="H1379" s="9">
        <v>7860324.3245785031</v>
      </c>
      <c r="I1379" s="5" t="s">
        <v>2508</v>
      </c>
    </row>
    <row r="1380" spans="1:9" x14ac:dyDescent="0.25">
      <c r="A1380" s="6">
        <v>45994.725694444453</v>
      </c>
      <c r="B1380" s="5" t="s">
        <v>32</v>
      </c>
      <c r="C1380" s="8">
        <v>174.5474572950487</v>
      </c>
      <c r="D1380" s="8">
        <v>174.5796195604845</v>
      </c>
      <c r="E1380" s="8">
        <v>174.52261054826781</v>
      </c>
      <c r="F1380" s="8">
        <v>174.54877360363619</v>
      </c>
      <c r="G1380" s="7">
        <v>105787</v>
      </c>
      <c r="H1380" s="9">
        <v>18464991.113207869</v>
      </c>
      <c r="I1380" s="5" t="s">
        <v>2509</v>
      </c>
    </row>
    <row r="1381" spans="1:9" x14ac:dyDescent="0.25">
      <c r="A1381" s="6">
        <v>45994.729166666657</v>
      </c>
      <c r="B1381" s="5" t="s">
        <v>32</v>
      </c>
      <c r="C1381" s="8">
        <v>174.55792974044891</v>
      </c>
      <c r="D1381" s="8">
        <v>174.610693389349</v>
      </c>
      <c r="E1381" s="8">
        <v>174.42497696669039</v>
      </c>
      <c r="F1381" s="8">
        <v>174.57309412418559</v>
      </c>
      <c r="G1381" s="7">
        <v>78550</v>
      </c>
      <c r="H1381" s="9">
        <v>13712716.543454779</v>
      </c>
      <c r="I1381" s="5" t="s">
        <v>2510</v>
      </c>
    </row>
    <row r="1382" spans="1:9" x14ac:dyDescent="0.25">
      <c r="A1382" s="6">
        <v>45994.732638888891</v>
      </c>
      <c r="B1382" s="5" t="s">
        <v>32</v>
      </c>
      <c r="C1382" s="8">
        <v>174.65887397375141</v>
      </c>
      <c r="D1382" s="8">
        <v>174.7057020121033</v>
      </c>
      <c r="E1382" s="8">
        <v>174.42488501655981</v>
      </c>
      <c r="F1382" s="8">
        <v>174.48140756097811</v>
      </c>
      <c r="G1382" s="7">
        <v>40152</v>
      </c>
      <c r="H1382" s="9">
        <v>7005777.4763883911</v>
      </c>
      <c r="I1382" s="5" t="s">
        <v>2511</v>
      </c>
    </row>
    <row r="1383" spans="1:9" x14ac:dyDescent="0.25">
      <c r="A1383" s="6">
        <v>45994.736111111109</v>
      </c>
      <c r="B1383" s="5" t="s">
        <v>32</v>
      </c>
      <c r="C1383" s="8">
        <v>174.43339200953179</v>
      </c>
      <c r="D1383" s="8">
        <v>174.4908314191903</v>
      </c>
      <c r="E1383" s="8">
        <v>174.34928280125061</v>
      </c>
      <c r="F1383" s="8">
        <v>174.41296870424651</v>
      </c>
      <c r="G1383" s="7">
        <v>75559</v>
      </c>
      <c r="H1383" s="9">
        <v>13178469.50232416</v>
      </c>
      <c r="I1383" s="5" t="s">
        <v>2512</v>
      </c>
    </row>
    <row r="1384" spans="1:9" x14ac:dyDescent="0.25">
      <c r="A1384" s="6">
        <v>45994.739583333343</v>
      </c>
      <c r="B1384" s="5" t="s">
        <v>32</v>
      </c>
      <c r="C1384" s="8">
        <v>174.52395712246059</v>
      </c>
      <c r="D1384" s="8">
        <v>174.52624712670749</v>
      </c>
      <c r="E1384" s="8">
        <v>174.43354259805119</v>
      </c>
      <c r="F1384" s="8">
        <v>174.49799082351211</v>
      </c>
      <c r="G1384" s="7">
        <v>39821</v>
      </c>
      <c r="H1384" s="9">
        <v>6948684.4925830746</v>
      </c>
      <c r="I1384" s="5" t="s">
        <v>2513</v>
      </c>
    </row>
    <row r="1385" spans="1:9" x14ac:dyDescent="0.25">
      <c r="A1385" s="6">
        <v>45994.743055555547</v>
      </c>
      <c r="B1385" s="5" t="s">
        <v>32</v>
      </c>
      <c r="C1385" s="8">
        <v>174.2367260374416</v>
      </c>
      <c r="D1385" s="8">
        <v>174.32596336783419</v>
      </c>
      <c r="E1385" s="8">
        <v>174.2364811595954</v>
      </c>
      <c r="F1385" s="8">
        <v>174.25868480333571</v>
      </c>
      <c r="G1385" s="7">
        <v>42496</v>
      </c>
      <c r="H1385" s="9">
        <v>7405297.0694025541</v>
      </c>
      <c r="I1385" s="5" t="s">
        <v>2514</v>
      </c>
    </row>
    <row r="1386" spans="1:9" x14ac:dyDescent="0.25">
      <c r="A1386" s="6">
        <v>45994.746527777781</v>
      </c>
      <c r="B1386" s="5" t="s">
        <v>32</v>
      </c>
      <c r="C1386" s="8">
        <v>174.34656698955229</v>
      </c>
      <c r="D1386" s="8">
        <v>174.51017863698829</v>
      </c>
      <c r="E1386" s="8">
        <v>174.24925219199349</v>
      </c>
      <c r="F1386" s="8">
        <v>174.39466888848469</v>
      </c>
      <c r="G1386" s="7">
        <v>48036</v>
      </c>
      <c r="H1386" s="9">
        <v>8377222.3147272496</v>
      </c>
      <c r="I1386" s="5" t="s">
        <v>2515</v>
      </c>
    </row>
    <row r="1387" spans="1:9" x14ac:dyDescent="0.25">
      <c r="A1387" s="6">
        <v>45994.75</v>
      </c>
      <c r="B1387" s="5" t="s">
        <v>32</v>
      </c>
      <c r="C1387" s="8">
        <v>174.32056179752939</v>
      </c>
      <c r="D1387" s="8">
        <v>174.54245216470551</v>
      </c>
      <c r="E1387" s="8">
        <v>174.27808546992679</v>
      </c>
      <c r="F1387" s="8">
        <v>174.38215732859459</v>
      </c>
      <c r="G1387" s="7">
        <v>65137</v>
      </c>
      <c r="H1387" s="9">
        <v>11358730.58191267</v>
      </c>
      <c r="I1387" s="5" t="s">
        <v>2516</v>
      </c>
    </row>
    <row r="1388" spans="1:9" x14ac:dyDescent="0.25">
      <c r="A1388" s="6">
        <v>45994.753472222219</v>
      </c>
      <c r="B1388" s="5" t="s">
        <v>32</v>
      </c>
      <c r="C1388" s="8">
        <v>174.48864544511409</v>
      </c>
      <c r="D1388" s="8">
        <v>174.49315623456809</v>
      </c>
      <c r="E1388" s="8">
        <v>174.27614307810671</v>
      </c>
      <c r="F1388" s="8">
        <v>174.4516354178414</v>
      </c>
      <c r="G1388" s="7">
        <v>55814</v>
      </c>
      <c r="H1388" s="9">
        <v>9736843.5792114008</v>
      </c>
      <c r="I1388" s="5" t="s">
        <v>2517</v>
      </c>
    </row>
    <row r="1389" spans="1:9" x14ac:dyDescent="0.25">
      <c r="A1389" s="6">
        <v>45994.756944444453</v>
      </c>
      <c r="B1389" s="5" t="s">
        <v>32</v>
      </c>
      <c r="C1389" s="8">
        <v>174.50631754183121</v>
      </c>
      <c r="D1389" s="8">
        <v>174.54478959631851</v>
      </c>
      <c r="E1389" s="8">
        <v>174.425783769048</v>
      </c>
      <c r="F1389" s="8">
        <v>174.4420646876919</v>
      </c>
      <c r="G1389" s="7">
        <v>59503</v>
      </c>
      <c r="H1389" s="9">
        <v>10379826.17511173</v>
      </c>
      <c r="I1389" s="5" t="s">
        <v>2518</v>
      </c>
    </row>
    <row r="1390" spans="1:9" x14ac:dyDescent="0.25">
      <c r="A1390" s="6">
        <v>45994.760416666657</v>
      </c>
      <c r="B1390" s="5" t="s">
        <v>32</v>
      </c>
      <c r="C1390" s="8">
        <v>174.2993324126019</v>
      </c>
      <c r="D1390" s="8">
        <v>174.32153254782421</v>
      </c>
      <c r="E1390" s="8">
        <v>174.223739414844</v>
      </c>
      <c r="F1390" s="8">
        <v>174.2667548814984</v>
      </c>
      <c r="G1390" s="7">
        <v>92694</v>
      </c>
      <c r="H1390" s="9">
        <v>16153482.57698562</v>
      </c>
      <c r="I1390" s="5" t="s">
        <v>2519</v>
      </c>
    </row>
    <row r="1391" spans="1:9" x14ac:dyDescent="0.25">
      <c r="A1391" s="6">
        <v>45994.763888888891</v>
      </c>
      <c r="B1391" s="5" t="s">
        <v>32</v>
      </c>
      <c r="C1391" s="8">
        <v>174.39358222927299</v>
      </c>
      <c r="D1391" s="8">
        <v>174.4315119115756</v>
      </c>
      <c r="E1391" s="8">
        <v>174.3681157196948</v>
      </c>
      <c r="F1391" s="8">
        <v>174.3807938018183</v>
      </c>
      <c r="G1391" s="7">
        <v>104480</v>
      </c>
      <c r="H1391" s="9">
        <v>18219305.33641398</v>
      </c>
      <c r="I1391" s="5" t="s">
        <v>2520</v>
      </c>
    </row>
    <row r="1392" spans="1:9" x14ac:dyDescent="0.25">
      <c r="A1392" s="6">
        <v>45994.767361111109</v>
      </c>
      <c r="B1392" s="5" t="s">
        <v>32</v>
      </c>
      <c r="C1392" s="8">
        <v>174.07679929656959</v>
      </c>
      <c r="D1392" s="8">
        <v>174.17993003449209</v>
      </c>
      <c r="E1392" s="8">
        <v>174.0355772868983</v>
      </c>
      <c r="F1392" s="8">
        <v>174.09929431560539</v>
      </c>
      <c r="G1392" s="7">
        <v>56282</v>
      </c>
      <c r="H1392" s="9">
        <v>9798656.4826709013</v>
      </c>
      <c r="I1392" s="5" t="s">
        <v>2521</v>
      </c>
    </row>
    <row r="1393" spans="1:9" x14ac:dyDescent="0.25">
      <c r="A1393" s="6">
        <v>45994.770833333343</v>
      </c>
      <c r="B1393" s="5" t="s">
        <v>32</v>
      </c>
      <c r="C1393" s="8">
        <v>174.20866856131181</v>
      </c>
      <c r="D1393" s="8">
        <v>174.23600512546841</v>
      </c>
      <c r="E1393" s="8">
        <v>174.0292366625398</v>
      </c>
      <c r="F1393" s="8">
        <v>174.1137685108159</v>
      </c>
      <c r="G1393" s="7">
        <v>52470</v>
      </c>
      <c r="H1393" s="9">
        <v>9135749.4337625112</v>
      </c>
      <c r="I1393" s="5" t="s">
        <v>2522</v>
      </c>
    </row>
    <row r="1394" spans="1:9" x14ac:dyDescent="0.25">
      <c r="A1394" s="6">
        <v>45994.774305555547</v>
      </c>
      <c r="B1394" s="5" t="s">
        <v>32</v>
      </c>
      <c r="C1394" s="8">
        <v>173.96392648458081</v>
      </c>
      <c r="D1394" s="8">
        <v>174.1547297263721</v>
      </c>
      <c r="E1394" s="8">
        <v>173.85582486735689</v>
      </c>
      <c r="F1394" s="8">
        <v>174.01360918472929</v>
      </c>
      <c r="G1394" s="7">
        <v>51348</v>
      </c>
      <c r="H1394" s="9">
        <v>8935250.8044174816</v>
      </c>
      <c r="I1394" s="5" t="s">
        <v>2523</v>
      </c>
    </row>
    <row r="1395" spans="1:9" x14ac:dyDescent="0.25">
      <c r="A1395" s="6">
        <v>45994.777777777781</v>
      </c>
      <c r="B1395" s="5" t="s">
        <v>32</v>
      </c>
      <c r="C1395" s="8">
        <v>174.37369579383619</v>
      </c>
      <c r="D1395" s="8">
        <v>174.3785181951788</v>
      </c>
      <c r="E1395" s="8">
        <v>174.33286113933039</v>
      </c>
      <c r="F1395" s="8">
        <v>174.3544137643602</v>
      </c>
      <c r="G1395" s="7">
        <v>41111</v>
      </c>
      <c r="H1395" s="9">
        <v>7167884.304266612</v>
      </c>
      <c r="I1395" s="5" t="s">
        <v>2524</v>
      </c>
    </row>
    <row r="1396" spans="1:9" x14ac:dyDescent="0.25">
      <c r="A1396" s="6">
        <v>45994.78125</v>
      </c>
      <c r="B1396" s="5" t="s">
        <v>32</v>
      </c>
      <c r="C1396" s="8">
        <v>174.46260403231241</v>
      </c>
      <c r="D1396" s="8">
        <v>174.54962735027161</v>
      </c>
      <c r="E1396" s="8">
        <v>174.3647589651159</v>
      </c>
      <c r="F1396" s="8">
        <v>174.41168924616761</v>
      </c>
      <c r="G1396" s="7">
        <v>103704</v>
      </c>
      <c r="H1396" s="9">
        <v>18087189.821584571</v>
      </c>
      <c r="I1396" s="5" t="s">
        <v>2525</v>
      </c>
    </row>
    <row r="1397" spans="1:9" x14ac:dyDescent="0.25">
      <c r="A1397" s="6">
        <v>45994.784722222219</v>
      </c>
      <c r="B1397" s="5" t="s">
        <v>32</v>
      </c>
      <c r="C1397" s="8">
        <v>174.3960355169506</v>
      </c>
      <c r="D1397" s="8">
        <v>174.6222877733139</v>
      </c>
      <c r="E1397" s="8">
        <v>174.27492313377331</v>
      </c>
      <c r="F1397" s="8">
        <v>174.35858943411799</v>
      </c>
      <c r="G1397" s="7">
        <v>58522</v>
      </c>
      <c r="H1397" s="9">
        <v>10203813.370863451</v>
      </c>
      <c r="I1397" s="5" t="s">
        <v>2526</v>
      </c>
    </row>
    <row r="1398" spans="1:9" x14ac:dyDescent="0.25">
      <c r="A1398" s="6">
        <v>45994.788194444453</v>
      </c>
      <c r="B1398" s="5" t="s">
        <v>32</v>
      </c>
      <c r="C1398" s="8">
        <v>174.11646133725071</v>
      </c>
      <c r="D1398" s="8">
        <v>174.35674990707039</v>
      </c>
      <c r="E1398" s="8">
        <v>174.0558670106696</v>
      </c>
      <c r="F1398" s="8">
        <v>174.2262102827066</v>
      </c>
      <c r="G1398" s="7">
        <v>54716</v>
      </c>
      <c r="H1398" s="9">
        <v>9532961.3218285758</v>
      </c>
      <c r="I1398" s="5" t="s">
        <v>2527</v>
      </c>
    </row>
    <row r="1399" spans="1:9" x14ac:dyDescent="0.25">
      <c r="A1399" s="6">
        <v>45994.791666666657</v>
      </c>
      <c r="B1399" s="5" t="s">
        <v>32</v>
      </c>
      <c r="C1399" s="8">
        <v>174.26643972725441</v>
      </c>
      <c r="D1399" s="8">
        <v>174.4362341781995</v>
      </c>
      <c r="E1399" s="8">
        <v>174.20459045275339</v>
      </c>
      <c r="F1399" s="8">
        <v>174.2950068856332</v>
      </c>
      <c r="G1399" s="7">
        <v>46782</v>
      </c>
      <c r="H1399" s="9">
        <v>8153869.0121236937</v>
      </c>
      <c r="I1399" s="5" t="s">
        <v>2528</v>
      </c>
    </row>
    <row r="1400" spans="1:9" x14ac:dyDescent="0.25">
      <c r="A1400" s="6">
        <v>45994.795138888891</v>
      </c>
      <c r="B1400" s="5" t="s">
        <v>32</v>
      </c>
      <c r="C1400" s="8">
        <v>174.20106702304</v>
      </c>
      <c r="D1400" s="8">
        <v>174.28478798727139</v>
      </c>
      <c r="E1400" s="8">
        <v>174.040261917621</v>
      </c>
      <c r="F1400" s="8">
        <v>174.1481433119954</v>
      </c>
      <c r="G1400" s="7">
        <v>63617</v>
      </c>
      <c r="H1400" s="9">
        <v>11078782.433079209</v>
      </c>
      <c r="I1400" s="5" t="s">
        <v>2529</v>
      </c>
    </row>
    <row r="1401" spans="1:9" x14ac:dyDescent="0.25">
      <c r="A1401" s="6">
        <v>45994.798611111109</v>
      </c>
      <c r="B1401" s="5" t="s">
        <v>32</v>
      </c>
      <c r="C1401" s="8">
        <v>174.29893329087611</v>
      </c>
      <c r="D1401" s="8">
        <v>174.3259574803489</v>
      </c>
      <c r="E1401" s="8">
        <v>174.08079967712411</v>
      </c>
      <c r="F1401" s="8">
        <v>174.21678831151999</v>
      </c>
      <c r="G1401" s="7">
        <v>44461</v>
      </c>
      <c r="H1401" s="9">
        <v>7745852.6251184903</v>
      </c>
      <c r="I1401" s="5" t="s">
        <v>2530</v>
      </c>
    </row>
    <row r="1402" spans="1:9" x14ac:dyDescent="0.25">
      <c r="A1402" s="6">
        <v>45994.802083333343</v>
      </c>
      <c r="B1402" s="5" t="s">
        <v>32</v>
      </c>
      <c r="C1402" s="8">
        <v>174.32476701834329</v>
      </c>
      <c r="D1402" s="8">
        <v>174.40437810623681</v>
      </c>
      <c r="E1402" s="8">
        <v>174.1399524829028</v>
      </c>
      <c r="F1402" s="8">
        <v>174.35755334857029</v>
      </c>
      <c r="G1402" s="7">
        <v>36744</v>
      </c>
      <c r="H1402" s="9">
        <v>6406593.9402398672</v>
      </c>
      <c r="I1402" s="5" t="s">
        <v>2531</v>
      </c>
    </row>
    <row r="1403" spans="1:9" x14ac:dyDescent="0.25">
      <c r="A1403" s="6">
        <v>45994.805555555547</v>
      </c>
      <c r="B1403" s="5" t="s">
        <v>32</v>
      </c>
      <c r="C1403" s="8">
        <v>174.12267709899251</v>
      </c>
      <c r="D1403" s="8">
        <v>174.13657443207751</v>
      </c>
      <c r="E1403" s="8">
        <v>174.03550908181319</v>
      </c>
      <c r="F1403" s="8">
        <v>174.1330429566986</v>
      </c>
      <c r="G1403" s="7">
        <v>34990</v>
      </c>
      <c r="H1403" s="9">
        <v>6092915.1730548833</v>
      </c>
      <c r="I1403" s="5" t="s">
        <v>2532</v>
      </c>
    </row>
    <row r="1404" spans="1:9" x14ac:dyDescent="0.25">
      <c r="A1404" s="6">
        <v>45994.809027777781</v>
      </c>
      <c r="B1404" s="5" t="s">
        <v>32</v>
      </c>
      <c r="C1404" s="8">
        <v>174.20902934061621</v>
      </c>
      <c r="D1404" s="8">
        <v>174.39066632024529</v>
      </c>
      <c r="E1404" s="8">
        <v>174.18341891632329</v>
      </c>
      <c r="F1404" s="8">
        <v>174.22164655844961</v>
      </c>
      <c r="G1404" s="7">
        <v>70092</v>
      </c>
      <c r="H1404" s="9">
        <v>12211543.65057485</v>
      </c>
      <c r="I1404" s="5" t="s">
        <v>2533</v>
      </c>
    </row>
    <row r="1405" spans="1:9" x14ac:dyDescent="0.25">
      <c r="A1405" s="6">
        <v>45994.8125</v>
      </c>
      <c r="B1405" s="5" t="s">
        <v>32</v>
      </c>
      <c r="C1405" s="8">
        <v>174.4555060584068</v>
      </c>
      <c r="D1405" s="8">
        <v>174.55676081348059</v>
      </c>
      <c r="E1405" s="8">
        <v>174.3223297682903</v>
      </c>
      <c r="F1405" s="8">
        <v>174.4874323832513</v>
      </c>
      <c r="G1405" s="7">
        <v>85095</v>
      </c>
      <c r="H1405" s="9">
        <v>14848008.05865277</v>
      </c>
      <c r="I1405" s="5" t="s">
        <v>2534</v>
      </c>
    </row>
    <row r="1406" spans="1:9" x14ac:dyDescent="0.25">
      <c r="A1406" s="6">
        <v>45994.815972222219</v>
      </c>
      <c r="B1406" s="5" t="s">
        <v>32</v>
      </c>
      <c r="C1406" s="8">
        <v>174.5778540983099</v>
      </c>
      <c r="D1406" s="8">
        <v>174.71294404722531</v>
      </c>
      <c r="E1406" s="8">
        <v>174.3850761714445</v>
      </c>
      <c r="F1406" s="8">
        <v>174.49985027408039</v>
      </c>
      <c r="G1406" s="7">
        <v>33846</v>
      </c>
      <c r="H1406" s="9">
        <v>5906121.9323765244</v>
      </c>
      <c r="I1406" s="5" t="s">
        <v>2535</v>
      </c>
    </row>
    <row r="1407" spans="1:9" x14ac:dyDescent="0.25">
      <c r="A1407" s="6">
        <v>45994.819444444453</v>
      </c>
      <c r="B1407" s="5" t="s">
        <v>32</v>
      </c>
      <c r="C1407" s="8">
        <v>174.74089578462161</v>
      </c>
      <c r="D1407" s="8">
        <v>174.94775518786491</v>
      </c>
      <c r="E1407" s="8">
        <v>174.66529053926979</v>
      </c>
      <c r="F1407" s="8">
        <v>174.76459658645771</v>
      </c>
      <c r="G1407" s="7">
        <v>79021</v>
      </c>
      <c r="H1407" s="9">
        <v>13810073.18685847</v>
      </c>
      <c r="I1407" s="5" t="s">
        <v>2536</v>
      </c>
    </row>
    <row r="1408" spans="1:9" x14ac:dyDescent="0.25">
      <c r="A1408" s="6">
        <v>45994.822916666657</v>
      </c>
      <c r="B1408" s="5" t="s">
        <v>32</v>
      </c>
      <c r="C1408" s="8">
        <v>174.88003229833859</v>
      </c>
      <c r="D1408" s="8">
        <v>175.01456384829979</v>
      </c>
      <c r="E1408" s="8">
        <v>174.8401993673491</v>
      </c>
      <c r="F1408" s="8">
        <v>174.8590156758697</v>
      </c>
      <c r="G1408" s="7">
        <v>30716</v>
      </c>
      <c r="H1408" s="9">
        <v>5370969.5255000144</v>
      </c>
      <c r="I1408" s="5" t="s">
        <v>2537</v>
      </c>
    </row>
    <row r="1409" spans="1:9" x14ac:dyDescent="0.25">
      <c r="A1409" s="6">
        <v>45994.826388888891</v>
      </c>
      <c r="B1409" s="5" t="s">
        <v>32</v>
      </c>
      <c r="C1409" s="8">
        <v>174.65906817225479</v>
      </c>
      <c r="D1409" s="8">
        <v>174.7469532873728</v>
      </c>
      <c r="E1409" s="8">
        <v>174.6051761622507</v>
      </c>
      <c r="F1409" s="8">
        <v>174.6299553348781</v>
      </c>
      <c r="G1409" s="7">
        <v>32387</v>
      </c>
      <c r="H1409" s="9">
        <v>5655740.3634306984</v>
      </c>
      <c r="I1409" s="5" t="s">
        <v>2538</v>
      </c>
    </row>
    <row r="1410" spans="1:9" x14ac:dyDescent="0.25">
      <c r="A1410" s="6">
        <v>45994.829861111109</v>
      </c>
      <c r="B1410" s="5" t="s">
        <v>32</v>
      </c>
      <c r="C1410" s="8">
        <v>174.4630642463074</v>
      </c>
      <c r="D1410" s="8">
        <v>174.641127873637</v>
      </c>
      <c r="E1410" s="8">
        <v>174.39690725728411</v>
      </c>
      <c r="F1410" s="8">
        <v>174.48308546666351</v>
      </c>
      <c r="G1410" s="7">
        <v>36449</v>
      </c>
      <c r="H1410" s="9">
        <v>6359733.9821744161</v>
      </c>
      <c r="I1410" s="5" t="s">
        <v>2539</v>
      </c>
    </row>
    <row r="1411" spans="1:9" x14ac:dyDescent="0.25">
      <c r="A1411" s="6">
        <v>45994.833333333343</v>
      </c>
      <c r="B1411" s="5" t="s">
        <v>32</v>
      </c>
      <c r="C1411" s="8">
        <v>174.2579543275844</v>
      </c>
      <c r="D1411" s="8">
        <v>174.35847241621011</v>
      </c>
      <c r="E1411" s="8">
        <v>174.23041885435379</v>
      </c>
      <c r="F1411" s="8">
        <v>174.30214262011489</v>
      </c>
      <c r="G1411" s="7">
        <v>116297</v>
      </c>
      <c r="H1411" s="9">
        <v>20270816.280291501</v>
      </c>
      <c r="I1411" s="5" t="s">
        <v>2540</v>
      </c>
    </row>
    <row r="1412" spans="1:9" x14ac:dyDescent="0.25">
      <c r="A1412" s="6">
        <v>45994.836805555547</v>
      </c>
      <c r="B1412" s="5" t="s">
        <v>32</v>
      </c>
      <c r="C1412" s="8">
        <v>174.10253022167171</v>
      </c>
      <c r="D1412" s="8">
        <v>174.31162868112611</v>
      </c>
      <c r="E1412" s="8">
        <v>174.02238672370129</v>
      </c>
      <c r="F1412" s="8">
        <v>174.21095192216009</v>
      </c>
      <c r="G1412" s="7">
        <v>45933</v>
      </c>
      <c r="H1412" s="9">
        <v>8002031.6546405777</v>
      </c>
      <c r="I1412" s="5" t="s">
        <v>2541</v>
      </c>
    </row>
    <row r="1413" spans="1:9" x14ac:dyDescent="0.25">
      <c r="A1413" s="6">
        <v>45994.840277777781</v>
      </c>
      <c r="B1413" s="5" t="s">
        <v>32</v>
      </c>
      <c r="C1413" s="8">
        <v>174.13619743053329</v>
      </c>
      <c r="D1413" s="8">
        <v>174.14709966654451</v>
      </c>
      <c r="E1413" s="8">
        <v>174.0771523511512</v>
      </c>
      <c r="F1413" s="8">
        <v>174.12162053516971</v>
      </c>
      <c r="G1413" s="7">
        <v>52980</v>
      </c>
      <c r="H1413" s="9">
        <v>9224963.4559532907</v>
      </c>
      <c r="I1413" s="5" t="s">
        <v>2542</v>
      </c>
    </row>
    <row r="1414" spans="1:9" x14ac:dyDescent="0.25">
      <c r="A1414" s="6">
        <v>45994.84375</v>
      </c>
      <c r="B1414" s="5" t="s">
        <v>32</v>
      </c>
      <c r="C1414" s="8">
        <v>174.07104693524369</v>
      </c>
      <c r="D1414" s="8">
        <v>174.23664428008021</v>
      </c>
      <c r="E1414" s="8">
        <v>174.00696397775789</v>
      </c>
      <c r="F1414" s="8">
        <v>174.1268727550173</v>
      </c>
      <c r="G1414" s="7">
        <v>50924</v>
      </c>
      <c r="H1414" s="9">
        <v>8867236.8681764994</v>
      </c>
      <c r="I1414" s="5" t="s">
        <v>2543</v>
      </c>
    </row>
    <row r="1415" spans="1:9" x14ac:dyDescent="0.25">
      <c r="A1415" s="6">
        <v>45994.847222222219</v>
      </c>
      <c r="B1415" s="5" t="s">
        <v>32</v>
      </c>
      <c r="C1415" s="8">
        <v>173.80184949333949</v>
      </c>
      <c r="D1415" s="8">
        <v>173.98547953784961</v>
      </c>
      <c r="E1415" s="8">
        <v>173.68770764009071</v>
      </c>
      <c r="F1415" s="8">
        <v>173.86424467234039</v>
      </c>
      <c r="G1415" s="7">
        <v>102528</v>
      </c>
      <c r="H1415" s="9">
        <v>17825953.277765721</v>
      </c>
      <c r="I1415" s="5" t="s">
        <v>2544</v>
      </c>
    </row>
    <row r="1416" spans="1:9" x14ac:dyDescent="0.25">
      <c r="A1416" s="6">
        <v>45994.850694444453</v>
      </c>
      <c r="B1416" s="5" t="s">
        <v>32</v>
      </c>
      <c r="C1416" s="8">
        <v>174.07680081885329</v>
      </c>
      <c r="D1416" s="8">
        <v>174.24810301541791</v>
      </c>
      <c r="E1416" s="8">
        <v>173.9712101775236</v>
      </c>
      <c r="F1416" s="8">
        <v>174.0334930492229</v>
      </c>
      <c r="G1416" s="7">
        <v>53147</v>
      </c>
      <c r="H1416" s="9">
        <v>9249358.0550870486</v>
      </c>
      <c r="I1416" s="5" t="s">
        <v>2545</v>
      </c>
    </row>
    <row r="1417" spans="1:9" x14ac:dyDescent="0.25">
      <c r="A1417" s="6">
        <v>45994.854166666657</v>
      </c>
      <c r="B1417" s="5" t="s">
        <v>32</v>
      </c>
      <c r="C1417" s="8">
        <v>174.0011403350907</v>
      </c>
      <c r="D1417" s="8">
        <v>174.04204683594861</v>
      </c>
      <c r="E1417" s="8">
        <v>173.96938568631469</v>
      </c>
      <c r="F1417" s="8">
        <v>173.98583124323051</v>
      </c>
      <c r="G1417" s="7">
        <v>53106</v>
      </c>
      <c r="H1417" s="9">
        <v>9239691.5540029965</v>
      </c>
      <c r="I1417" s="5" t="s">
        <v>2546</v>
      </c>
    </row>
    <row r="1418" spans="1:9" x14ac:dyDescent="0.25">
      <c r="A1418" s="6">
        <v>45994.857638888891</v>
      </c>
      <c r="B1418" s="5" t="s">
        <v>32</v>
      </c>
      <c r="C1418" s="8">
        <v>173.93555878768561</v>
      </c>
      <c r="D1418" s="8">
        <v>174.20117512402209</v>
      </c>
      <c r="E1418" s="8">
        <v>173.8847073039644</v>
      </c>
      <c r="F1418" s="8">
        <v>173.97651653052321</v>
      </c>
      <c r="G1418" s="7">
        <v>30363</v>
      </c>
      <c r="H1418" s="9">
        <v>5282448.971416275</v>
      </c>
      <c r="I1418" s="5" t="s">
        <v>2547</v>
      </c>
    </row>
    <row r="1419" spans="1:9" x14ac:dyDescent="0.25">
      <c r="A1419" s="6">
        <v>45994.861111111109</v>
      </c>
      <c r="B1419" s="5" t="s">
        <v>32</v>
      </c>
      <c r="C1419" s="8">
        <v>174.065725679623</v>
      </c>
      <c r="D1419" s="8">
        <v>174.13090608830871</v>
      </c>
      <c r="E1419" s="8">
        <v>174.0652980491642</v>
      </c>
      <c r="F1419" s="8">
        <v>174.10767842061711</v>
      </c>
      <c r="G1419" s="7">
        <v>80868</v>
      </c>
      <c r="H1419" s="9">
        <v>14079739.73851846</v>
      </c>
      <c r="I1419" s="5" t="s">
        <v>2548</v>
      </c>
    </row>
    <row r="1420" spans="1:9" x14ac:dyDescent="0.25">
      <c r="A1420" s="6">
        <v>45994.864583333343</v>
      </c>
      <c r="B1420" s="5" t="s">
        <v>32</v>
      </c>
      <c r="C1420" s="8">
        <v>174.1158433615646</v>
      </c>
      <c r="D1420" s="8">
        <v>174.12917311683421</v>
      </c>
      <c r="E1420" s="8">
        <v>173.86685204141509</v>
      </c>
      <c r="F1420" s="8">
        <v>174.1015079694476</v>
      </c>
      <c r="G1420" s="7">
        <v>59047</v>
      </c>
      <c r="H1420" s="9">
        <v>10280171.741071969</v>
      </c>
      <c r="I1420" s="5" t="s">
        <v>2549</v>
      </c>
    </row>
    <row r="1421" spans="1:9" x14ac:dyDescent="0.25">
      <c r="A1421" s="6">
        <v>45994.868055555547</v>
      </c>
      <c r="B1421" s="5" t="s">
        <v>32</v>
      </c>
      <c r="C1421" s="8">
        <v>173.90112530163191</v>
      </c>
      <c r="D1421" s="8">
        <v>173.96844578258521</v>
      </c>
      <c r="E1421" s="8">
        <v>173.85604456304219</v>
      </c>
      <c r="F1421" s="8">
        <v>173.96688937251071</v>
      </c>
      <c r="G1421" s="7">
        <v>63688</v>
      </c>
      <c r="H1421" s="9">
        <v>11079603.25035646</v>
      </c>
      <c r="I1421" s="5" t="s">
        <v>2550</v>
      </c>
    </row>
    <row r="1422" spans="1:9" x14ac:dyDescent="0.25">
      <c r="A1422" s="6">
        <v>45994.871527777781</v>
      </c>
      <c r="B1422" s="5" t="s">
        <v>32</v>
      </c>
      <c r="C1422" s="8">
        <v>173.97541532990101</v>
      </c>
      <c r="D1422" s="8">
        <v>174.04123268121481</v>
      </c>
      <c r="E1422" s="8">
        <v>173.90259502145221</v>
      </c>
      <c r="F1422" s="8">
        <v>174.03374585050221</v>
      </c>
      <c r="G1422" s="7">
        <v>47293</v>
      </c>
      <c r="H1422" s="9">
        <v>8230577.9425078034</v>
      </c>
      <c r="I1422" s="5" t="s">
        <v>2551</v>
      </c>
    </row>
    <row r="1423" spans="1:9" x14ac:dyDescent="0.25">
      <c r="A1423" s="6">
        <v>45994.875</v>
      </c>
      <c r="B1423" s="5" t="s">
        <v>32</v>
      </c>
      <c r="C1423" s="8">
        <v>173.87834889160891</v>
      </c>
      <c r="D1423" s="8">
        <v>173.96216700842791</v>
      </c>
      <c r="E1423" s="8">
        <v>173.80778773578319</v>
      </c>
      <c r="F1423" s="8">
        <v>173.89041845330721</v>
      </c>
      <c r="G1423" s="7">
        <v>53108</v>
      </c>
      <c r="H1423" s="9">
        <v>9234972.3432182372</v>
      </c>
      <c r="I1423" s="5" t="s">
        <v>2552</v>
      </c>
    </row>
    <row r="1424" spans="1:9" x14ac:dyDescent="0.25">
      <c r="A1424" s="6">
        <v>45995.604166666657</v>
      </c>
      <c r="B1424" s="5" t="s">
        <v>32</v>
      </c>
      <c r="C1424" s="8">
        <v>173.76052451207661</v>
      </c>
      <c r="D1424" s="8">
        <v>173.82443542181139</v>
      </c>
      <c r="E1424" s="8">
        <v>173.65584017112391</v>
      </c>
      <c r="F1424" s="8">
        <v>173.69397153297791</v>
      </c>
      <c r="G1424" s="7">
        <v>66285</v>
      </c>
      <c r="H1424" s="9">
        <v>11513304.903063441</v>
      </c>
      <c r="I1424" s="5" t="s">
        <v>2553</v>
      </c>
    </row>
    <row r="1425" spans="1:9" x14ac:dyDescent="0.25">
      <c r="A1425" s="6">
        <v>45995.607638888891</v>
      </c>
      <c r="B1425" s="5" t="s">
        <v>32</v>
      </c>
      <c r="C1425" s="8">
        <v>173.55725028910101</v>
      </c>
      <c r="D1425" s="8">
        <v>173.71080584384171</v>
      </c>
      <c r="E1425" s="8">
        <v>173.5456221515941</v>
      </c>
      <c r="F1425" s="8">
        <v>173.55216834548281</v>
      </c>
      <c r="G1425" s="7">
        <v>62283</v>
      </c>
      <c r="H1425" s="9">
        <v>10809349.7010617</v>
      </c>
      <c r="I1425" s="5" t="s">
        <v>2554</v>
      </c>
    </row>
    <row r="1426" spans="1:9" x14ac:dyDescent="0.25">
      <c r="A1426" s="6">
        <v>45995.611111111109</v>
      </c>
      <c r="B1426" s="5" t="s">
        <v>32</v>
      </c>
      <c r="C1426" s="8">
        <v>173.5330936729716</v>
      </c>
      <c r="D1426" s="8">
        <v>173.61462839935709</v>
      </c>
      <c r="E1426" s="8">
        <v>173.48393890024491</v>
      </c>
      <c r="F1426" s="8">
        <v>173.49640614840411</v>
      </c>
      <c r="G1426" s="7">
        <v>72188</v>
      </c>
      <c r="H1426" s="9">
        <v>12524358.567040989</v>
      </c>
      <c r="I1426" s="5" t="s">
        <v>2555</v>
      </c>
    </row>
    <row r="1427" spans="1:9" x14ac:dyDescent="0.25">
      <c r="A1427" s="6">
        <v>45995.614583333343</v>
      </c>
      <c r="B1427" s="5" t="s">
        <v>32</v>
      </c>
      <c r="C1427" s="8">
        <v>173.57398338003739</v>
      </c>
      <c r="D1427" s="8">
        <v>173.7419564325786</v>
      </c>
      <c r="E1427" s="8">
        <v>173.49478468969869</v>
      </c>
      <c r="F1427" s="8">
        <v>173.57527385520501</v>
      </c>
      <c r="G1427" s="7">
        <v>74576</v>
      </c>
      <c r="H1427" s="9">
        <v>12944549.623025769</v>
      </c>
      <c r="I1427" s="5" t="s">
        <v>2556</v>
      </c>
    </row>
    <row r="1428" spans="1:9" x14ac:dyDescent="0.25">
      <c r="A1428" s="6">
        <v>45995.618055555547</v>
      </c>
      <c r="B1428" s="5" t="s">
        <v>32</v>
      </c>
      <c r="C1428" s="8">
        <v>173.4698144691223</v>
      </c>
      <c r="D1428" s="8">
        <v>173.52385317466471</v>
      </c>
      <c r="E1428" s="8">
        <v>173.26071743567371</v>
      </c>
      <c r="F1428" s="8">
        <v>173.46605469043249</v>
      </c>
      <c r="G1428" s="7">
        <v>67943</v>
      </c>
      <c r="H1428" s="9">
        <v>11785804.15383205</v>
      </c>
      <c r="I1428" s="5" t="s">
        <v>2557</v>
      </c>
    </row>
    <row r="1429" spans="1:9" x14ac:dyDescent="0.25">
      <c r="A1429" s="6">
        <v>45995.621527777781</v>
      </c>
      <c r="B1429" s="5" t="s">
        <v>32</v>
      </c>
      <c r="C1429" s="8">
        <v>173.39457533225271</v>
      </c>
      <c r="D1429" s="8">
        <v>173.50516486204521</v>
      </c>
      <c r="E1429" s="8">
        <v>173.29388891600021</v>
      </c>
      <c r="F1429" s="8">
        <v>173.35152415240509</v>
      </c>
      <c r="G1429" s="7">
        <v>63477</v>
      </c>
      <c r="H1429" s="9">
        <v>11003834.698622219</v>
      </c>
      <c r="I1429" s="5" t="s">
        <v>2558</v>
      </c>
    </row>
    <row r="1430" spans="1:9" x14ac:dyDescent="0.25">
      <c r="A1430" s="6">
        <v>45995.625</v>
      </c>
      <c r="B1430" s="5" t="s">
        <v>32</v>
      </c>
      <c r="C1430" s="8">
        <v>173.72911249880579</v>
      </c>
      <c r="D1430" s="8">
        <v>173.76475192609391</v>
      </c>
      <c r="E1430" s="8">
        <v>173.4125973890572</v>
      </c>
      <c r="F1430" s="8">
        <v>173.7269933665375</v>
      </c>
      <c r="G1430" s="7">
        <v>59724</v>
      </c>
      <c r="H1430" s="9">
        <v>10375670.951823089</v>
      </c>
      <c r="I1430" s="5" t="s">
        <v>2559</v>
      </c>
    </row>
    <row r="1431" spans="1:9" x14ac:dyDescent="0.25">
      <c r="A1431" s="6">
        <v>45995.628472222219</v>
      </c>
      <c r="B1431" s="5" t="s">
        <v>32</v>
      </c>
      <c r="C1431" s="8">
        <v>173.500901939286</v>
      </c>
      <c r="D1431" s="8">
        <v>173.5624252432541</v>
      </c>
      <c r="E1431" s="8">
        <v>173.42280069725541</v>
      </c>
      <c r="F1431" s="8">
        <v>173.54849717514929</v>
      </c>
      <c r="G1431" s="7">
        <v>44532</v>
      </c>
      <c r="H1431" s="9">
        <v>7728461.6762037491</v>
      </c>
      <c r="I1431" s="5" t="s">
        <v>2560</v>
      </c>
    </row>
    <row r="1432" spans="1:9" x14ac:dyDescent="0.25">
      <c r="A1432" s="6">
        <v>45995.631944444453</v>
      </c>
      <c r="B1432" s="5" t="s">
        <v>32</v>
      </c>
      <c r="C1432" s="8">
        <v>173.26930532023741</v>
      </c>
      <c r="D1432" s="8">
        <v>173.29091166613981</v>
      </c>
      <c r="E1432" s="8">
        <v>173.19019213704621</v>
      </c>
      <c r="F1432" s="8">
        <v>173.24078102376669</v>
      </c>
      <c r="G1432" s="7">
        <v>44274</v>
      </c>
      <c r="H1432" s="9">
        <v>7670062.3390462473</v>
      </c>
      <c r="I1432" s="5" t="s">
        <v>2561</v>
      </c>
    </row>
    <row r="1433" spans="1:9" x14ac:dyDescent="0.25">
      <c r="A1433" s="6">
        <v>45995.635416666657</v>
      </c>
      <c r="B1433" s="5" t="s">
        <v>32</v>
      </c>
      <c r="C1433" s="8">
        <v>173.40000359461411</v>
      </c>
      <c r="D1433" s="8">
        <v>173.54141219524379</v>
      </c>
      <c r="E1433" s="8">
        <v>173.29888963876451</v>
      </c>
      <c r="F1433" s="8">
        <v>173.40865107521509</v>
      </c>
      <c r="G1433" s="7">
        <v>51247</v>
      </c>
      <c r="H1433" s="9">
        <v>8886673.1416515466</v>
      </c>
      <c r="I1433" s="5" t="s">
        <v>2562</v>
      </c>
    </row>
    <row r="1434" spans="1:9" x14ac:dyDescent="0.25">
      <c r="A1434" s="6">
        <v>45995.638888888891</v>
      </c>
      <c r="B1434" s="5" t="s">
        <v>32</v>
      </c>
      <c r="C1434" s="8">
        <v>173.16094571625419</v>
      </c>
      <c r="D1434" s="8">
        <v>173.3020347599238</v>
      </c>
      <c r="E1434" s="8">
        <v>173.07626323338641</v>
      </c>
      <c r="F1434" s="8">
        <v>173.18744097749769</v>
      </c>
      <c r="G1434" s="7">
        <v>83811</v>
      </c>
      <c r="H1434" s="9">
        <v>14515012.615765059</v>
      </c>
      <c r="I1434" s="5" t="s">
        <v>2563</v>
      </c>
    </row>
    <row r="1435" spans="1:9" x14ac:dyDescent="0.25">
      <c r="A1435" s="6">
        <v>45995.642361111109</v>
      </c>
      <c r="B1435" s="5" t="s">
        <v>32</v>
      </c>
      <c r="C1435" s="8">
        <v>173.34183407876111</v>
      </c>
      <c r="D1435" s="8">
        <v>173.37870936074569</v>
      </c>
      <c r="E1435" s="8">
        <v>173.1591202339055</v>
      </c>
      <c r="F1435" s="8">
        <v>173.33446775527881</v>
      </c>
      <c r="G1435" s="7">
        <v>77160</v>
      </c>
      <c r="H1435" s="9">
        <v>13374487.531997319</v>
      </c>
      <c r="I1435" s="5" t="s">
        <v>2564</v>
      </c>
    </row>
    <row r="1436" spans="1:9" x14ac:dyDescent="0.25">
      <c r="A1436" s="6">
        <v>45995.645833333343</v>
      </c>
      <c r="B1436" s="5" t="s">
        <v>32</v>
      </c>
      <c r="C1436" s="8">
        <v>173.44004079889169</v>
      </c>
      <c r="D1436" s="8">
        <v>173.46240133562901</v>
      </c>
      <c r="E1436" s="8">
        <v>173.31918575055309</v>
      </c>
      <c r="F1436" s="8">
        <v>173.4284196126174</v>
      </c>
      <c r="G1436" s="7">
        <v>50909</v>
      </c>
      <c r="H1436" s="9">
        <v>8829067.4140587412</v>
      </c>
      <c r="I1436" s="5" t="s">
        <v>2565</v>
      </c>
    </row>
    <row r="1437" spans="1:9" x14ac:dyDescent="0.25">
      <c r="A1437" s="6">
        <v>45995.649305555547</v>
      </c>
      <c r="B1437" s="5" t="s">
        <v>32</v>
      </c>
      <c r="C1437" s="8">
        <v>173.16509486639649</v>
      </c>
      <c r="D1437" s="8">
        <v>173.2160271134799</v>
      </c>
      <c r="E1437" s="8">
        <v>173.09949762614659</v>
      </c>
      <c r="F1437" s="8">
        <v>173.18964213400511</v>
      </c>
      <c r="G1437" s="7">
        <v>88520</v>
      </c>
      <c r="H1437" s="9">
        <v>15330747.121702131</v>
      </c>
      <c r="I1437" s="5" t="s">
        <v>2566</v>
      </c>
    </row>
    <row r="1438" spans="1:9" x14ac:dyDescent="0.25">
      <c r="A1438" s="6">
        <v>45995.652777777781</v>
      </c>
      <c r="B1438" s="5" t="s">
        <v>32</v>
      </c>
      <c r="C1438" s="8">
        <v>173.07911806105639</v>
      </c>
      <c r="D1438" s="8">
        <v>173.0990276018853</v>
      </c>
      <c r="E1438" s="8">
        <v>173.04446552178919</v>
      </c>
      <c r="F1438" s="8">
        <v>173.0627803459453</v>
      </c>
      <c r="G1438" s="7">
        <v>72208</v>
      </c>
      <c r="H1438" s="9">
        <v>12496517.24322002</v>
      </c>
      <c r="I1438" s="5" t="s">
        <v>2567</v>
      </c>
    </row>
    <row r="1439" spans="1:9" x14ac:dyDescent="0.25">
      <c r="A1439" s="6">
        <v>45995.65625</v>
      </c>
      <c r="B1439" s="5" t="s">
        <v>32</v>
      </c>
      <c r="C1439" s="8">
        <v>173.101656203028</v>
      </c>
      <c r="D1439" s="8">
        <v>173.25251566540231</v>
      </c>
      <c r="E1439" s="8">
        <v>173.0870914642897</v>
      </c>
      <c r="F1439" s="8">
        <v>173.12096871566351</v>
      </c>
      <c r="G1439" s="7">
        <v>73819</v>
      </c>
      <c r="H1439" s="9">
        <v>12779616.78962156</v>
      </c>
      <c r="I1439" s="5" t="s">
        <v>2568</v>
      </c>
    </row>
    <row r="1440" spans="1:9" x14ac:dyDescent="0.25">
      <c r="A1440" s="6">
        <v>45995.659722222219</v>
      </c>
      <c r="B1440" s="5" t="s">
        <v>32</v>
      </c>
      <c r="C1440" s="8">
        <v>172.9186727170509</v>
      </c>
      <c r="D1440" s="8">
        <v>172.98170578898481</v>
      </c>
      <c r="E1440" s="8">
        <v>172.68708220030311</v>
      </c>
      <c r="F1440" s="8">
        <v>172.9646918813755</v>
      </c>
      <c r="G1440" s="7">
        <v>39019</v>
      </c>
      <c r="H1440" s="9">
        <v>6748909.3125193911</v>
      </c>
      <c r="I1440" s="5" t="s">
        <v>2569</v>
      </c>
    </row>
    <row r="1441" spans="1:9" x14ac:dyDescent="0.25">
      <c r="A1441" s="6">
        <v>45995.663194444453</v>
      </c>
      <c r="B1441" s="5" t="s">
        <v>32</v>
      </c>
      <c r="C1441" s="8">
        <v>172.74681200290459</v>
      </c>
      <c r="D1441" s="8">
        <v>172.82934778960791</v>
      </c>
      <c r="E1441" s="8">
        <v>172.7403001830871</v>
      </c>
      <c r="F1441" s="8">
        <v>172.78528566655351</v>
      </c>
      <c r="G1441" s="7">
        <v>85111</v>
      </c>
      <c r="H1441" s="9">
        <v>14705928.44836604</v>
      </c>
      <c r="I1441" s="5" t="s">
        <v>2570</v>
      </c>
    </row>
    <row r="1442" spans="1:9" x14ac:dyDescent="0.25">
      <c r="A1442" s="6">
        <v>45995.666666666657</v>
      </c>
      <c r="B1442" s="5" t="s">
        <v>32</v>
      </c>
      <c r="C1442" s="8">
        <v>172.78985385512209</v>
      </c>
      <c r="D1442" s="8">
        <v>172.7924879418226</v>
      </c>
      <c r="E1442" s="8">
        <v>172.70314006870461</v>
      </c>
      <c r="F1442" s="8">
        <v>172.76011339268399</v>
      </c>
      <c r="G1442" s="7">
        <v>50894</v>
      </c>
      <c r="H1442" s="9">
        <v>8792453.2110072598</v>
      </c>
      <c r="I1442" s="5" t="s">
        <v>2571</v>
      </c>
    </row>
    <row r="1443" spans="1:9" x14ac:dyDescent="0.25">
      <c r="A1443" s="6">
        <v>45995.670138888891</v>
      </c>
      <c r="B1443" s="5" t="s">
        <v>32</v>
      </c>
      <c r="C1443" s="8">
        <v>172.84388295778811</v>
      </c>
      <c r="D1443" s="8">
        <v>172.97754826554291</v>
      </c>
      <c r="E1443" s="8">
        <v>172.81370260180461</v>
      </c>
      <c r="F1443" s="8">
        <v>172.83447396964669</v>
      </c>
      <c r="G1443" s="7">
        <v>57713</v>
      </c>
      <c r="H1443" s="9">
        <v>9974795.9962102175</v>
      </c>
      <c r="I1443" s="5" t="s">
        <v>2572</v>
      </c>
    </row>
    <row r="1444" spans="1:9" x14ac:dyDescent="0.25">
      <c r="A1444" s="6">
        <v>45995.673611111109</v>
      </c>
      <c r="B1444" s="5" t="s">
        <v>32</v>
      </c>
      <c r="C1444" s="8">
        <v>172.62699911244249</v>
      </c>
      <c r="D1444" s="8">
        <v>172.70258974998191</v>
      </c>
      <c r="E1444" s="8">
        <v>172.59399354666849</v>
      </c>
      <c r="F1444" s="8">
        <v>172.66458665645359</v>
      </c>
      <c r="G1444" s="7">
        <v>105205</v>
      </c>
      <c r="H1444" s="9">
        <v>18165177.8391922</v>
      </c>
      <c r="I1444" s="5" t="s">
        <v>2573</v>
      </c>
    </row>
    <row r="1445" spans="1:9" x14ac:dyDescent="0.25">
      <c r="A1445" s="6">
        <v>45995.677083333343</v>
      </c>
      <c r="B1445" s="5" t="s">
        <v>32</v>
      </c>
      <c r="C1445" s="8">
        <v>172.60718425233401</v>
      </c>
      <c r="D1445" s="8">
        <v>172.61256964524711</v>
      </c>
      <c r="E1445" s="8">
        <v>172.3689413573577</v>
      </c>
      <c r="F1445" s="8">
        <v>172.5738819908118</v>
      </c>
      <c r="G1445" s="7">
        <v>40821</v>
      </c>
      <c r="H1445" s="9">
        <v>7044638.436746927</v>
      </c>
      <c r="I1445" s="5" t="s">
        <v>2574</v>
      </c>
    </row>
    <row r="1446" spans="1:9" x14ac:dyDescent="0.25">
      <c r="A1446" s="6">
        <v>45995.680555555547</v>
      </c>
      <c r="B1446" s="5" t="s">
        <v>32</v>
      </c>
      <c r="C1446" s="8">
        <v>172.5990911148977</v>
      </c>
      <c r="D1446" s="8">
        <v>172.67999504004499</v>
      </c>
      <c r="E1446" s="8">
        <v>172.48622055022989</v>
      </c>
      <c r="F1446" s="8">
        <v>172.61582134455759</v>
      </c>
      <c r="G1446" s="7">
        <v>56045</v>
      </c>
      <c r="H1446" s="9">
        <v>9674253.7072557341</v>
      </c>
      <c r="I1446" s="5" t="s">
        <v>2575</v>
      </c>
    </row>
    <row r="1447" spans="1:9" x14ac:dyDescent="0.25">
      <c r="A1447" s="6">
        <v>45995.684027777781</v>
      </c>
      <c r="B1447" s="5" t="s">
        <v>32</v>
      </c>
      <c r="C1447" s="8">
        <v>172.70235240057491</v>
      </c>
      <c r="D1447" s="8">
        <v>172.745383542594</v>
      </c>
      <c r="E1447" s="8">
        <v>172.59537782259491</v>
      </c>
      <c r="F1447" s="8">
        <v>172.66284523167869</v>
      </c>
      <c r="G1447" s="7">
        <v>43164</v>
      </c>
      <c r="H1447" s="9">
        <v>7452819.0515801776</v>
      </c>
      <c r="I1447" s="5" t="s">
        <v>2576</v>
      </c>
    </row>
    <row r="1448" spans="1:9" x14ac:dyDescent="0.25">
      <c r="A1448" s="6">
        <v>45995.6875</v>
      </c>
      <c r="B1448" s="5" t="s">
        <v>32</v>
      </c>
      <c r="C1448" s="8">
        <v>172.530496682452</v>
      </c>
      <c r="D1448" s="8">
        <v>172.66327937459559</v>
      </c>
      <c r="E1448" s="8">
        <v>172.39819685377549</v>
      </c>
      <c r="F1448" s="8">
        <v>172.47369451595861</v>
      </c>
      <c r="G1448" s="7">
        <v>46795</v>
      </c>
      <c r="H1448" s="9">
        <v>8070906.5348742818</v>
      </c>
      <c r="I1448" s="5" t="s">
        <v>2577</v>
      </c>
    </row>
    <row r="1449" spans="1:9" x14ac:dyDescent="0.25">
      <c r="A1449" s="6">
        <v>45995.690972222219</v>
      </c>
      <c r="B1449" s="5" t="s">
        <v>32</v>
      </c>
      <c r="C1449" s="8">
        <v>172.3810714470994</v>
      </c>
      <c r="D1449" s="8">
        <v>172.5174800577017</v>
      </c>
      <c r="E1449" s="8">
        <v>172.36545918821241</v>
      </c>
      <c r="F1449" s="8">
        <v>172.4264573652639</v>
      </c>
      <c r="G1449" s="7">
        <v>51463</v>
      </c>
      <c r="H1449" s="9">
        <v>8873582.775388578</v>
      </c>
      <c r="I1449" s="5" t="s">
        <v>2578</v>
      </c>
    </row>
    <row r="1450" spans="1:9" x14ac:dyDescent="0.25">
      <c r="A1450" s="6">
        <v>45995.694444444453</v>
      </c>
      <c r="B1450" s="5" t="s">
        <v>32</v>
      </c>
      <c r="C1450" s="8">
        <v>172.52580400665269</v>
      </c>
      <c r="D1450" s="8">
        <v>172.6527421309822</v>
      </c>
      <c r="E1450" s="8">
        <v>172.40605539165529</v>
      </c>
      <c r="F1450" s="8">
        <v>172.60278983532189</v>
      </c>
      <c r="G1450" s="7">
        <v>38765</v>
      </c>
      <c r="H1450" s="9">
        <v>6690947.1479662526</v>
      </c>
      <c r="I1450" s="5" t="s">
        <v>2579</v>
      </c>
    </row>
    <row r="1451" spans="1:9" x14ac:dyDescent="0.25">
      <c r="A1451" s="6">
        <v>45995.697916666657</v>
      </c>
      <c r="B1451" s="5" t="s">
        <v>32</v>
      </c>
      <c r="C1451" s="8">
        <v>172.96535559843059</v>
      </c>
      <c r="D1451" s="8">
        <v>173.00880009698869</v>
      </c>
      <c r="E1451" s="8">
        <v>172.83168573196889</v>
      </c>
      <c r="F1451" s="8">
        <v>172.88590783142519</v>
      </c>
      <c r="G1451" s="7">
        <v>73734</v>
      </c>
      <c r="H1451" s="9">
        <v>12747569.528042311</v>
      </c>
      <c r="I1451" s="5" t="s">
        <v>2580</v>
      </c>
    </row>
    <row r="1452" spans="1:9" x14ac:dyDescent="0.25">
      <c r="A1452" s="6">
        <v>45995.701388888891</v>
      </c>
      <c r="B1452" s="5" t="s">
        <v>32</v>
      </c>
      <c r="C1452" s="8">
        <v>172.7376483518747</v>
      </c>
      <c r="D1452" s="8">
        <v>173.1190715607807</v>
      </c>
      <c r="E1452" s="8">
        <v>172.6800198303217</v>
      </c>
      <c r="F1452" s="8">
        <v>172.89358260221621</v>
      </c>
      <c r="G1452" s="7">
        <v>25120</v>
      </c>
      <c r="H1452" s="9">
        <v>4343086.7949676709</v>
      </c>
      <c r="I1452" s="5" t="s">
        <v>2581</v>
      </c>
    </row>
    <row r="1453" spans="1:9" x14ac:dyDescent="0.25">
      <c r="A1453" s="6">
        <v>45995.704861111109</v>
      </c>
      <c r="B1453" s="5" t="s">
        <v>32</v>
      </c>
      <c r="C1453" s="8">
        <v>173.1466593531224</v>
      </c>
      <c r="D1453" s="8">
        <v>173.1773324697848</v>
      </c>
      <c r="E1453" s="8">
        <v>173.0686801686021</v>
      </c>
      <c r="F1453" s="8">
        <v>173.1055484749518</v>
      </c>
      <c r="G1453" s="7">
        <v>75787</v>
      </c>
      <c r="H1453" s="9">
        <v>13119150.202271171</v>
      </c>
      <c r="I1453" s="5" t="s">
        <v>2582</v>
      </c>
    </row>
    <row r="1454" spans="1:9" x14ac:dyDescent="0.25">
      <c r="A1454" s="6">
        <v>45995.708333333343</v>
      </c>
      <c r="B1454" s="5" t="s">
        <v>32</v>
      </c>
      <c r="C1454" s="8">
        <v>173.1053228821844</v>
      </c>
      <c r="D1454" s="8">
        <v>173.13262295549259</v>
      </c>
      <c r="E1454" s="8">
        <v>172.9192197869703</v>
      </c>
      <c r="F1454" s="8">
        <v>173.01312580924809</v>
      </c>
      <c r="G1454" s="7">
        <v>111903</v>
      </c>
      <c r="H1454" s="9">
        <v>19360687.817432292</v>
      </c>
      <c r="I1454" s="5" t="s">
        <v>2583</v>
      </c>
    </row>
    <row r="1455" spans="1:9" x14ac:dyDescent="0.25">
      <c r="A1455" s="6">
        <v>45995.711805555547</v>
      </c>
      <c r="B1455" s="5" t="s">
        <v>32</v>
      </c>
      <c r="C1455" s="8">
        <v>173.04874775016339</v>
      </c>
      <c r="D1455" s="8">
        <v>173.16866621220581</v>
      </c>
      <c r="E1455" s="8">
        <v>172.8116389242156</v>
      </c>
      <c r="F1455" s="8">
        <v>173.0325058524416</v>
      </c>
      <c r="G1455" s="7">
        <v>58945</v>
      </c>
      <c r="H1455" s="9">
        <v>10199401.057472169</v>
      </c>
      <c r="I1455" s="5" t="s">
        <v>2584</v>
      </c>
    </row>
    <row r="1456" spans="1:9" x14ac:dyDescent="0.25">
      <c r="A1456" s="6">
        <v>45995.715277777781</v>
      </c>
      <c r="B1456" s="5" t="s">
        <v>32</v>
      </c>
      <c r="C1456" s="8">
        <v>172.9760611904743</v>
      </c>
      <c r="D1456" s="8">
        <v>173.04891689628499</v>
      </c>
      <c r="E1456" s="8">
        <v>172.8078260321561</v>
      </c>
      <c r="F1456" s="8">
        <v>173.0470134875828</v>
      </c>
      <c r="G1456" s="7">
        <v>45920</v>
      </c>
      <c r="H1456" s="9">
        <v>7946318.859349804</v>
      </c>
      <c r="I1456" s="5" t="s">
        <v>2585</v>
      </c>
    </row>
    <row r="1457" spans="1:9" x14ac:dyDescent="0.25">
      <c r="A1457" s="6">
        <v>45995.71875</v>
      </c>
      <c r="B1457" s="5" t="s">
        <v>32</v>
      </c>
      <c r="C1457" s="8">
        <v>172.8208285706032</v>
      </c>
      <c r="D1457" s="8">
        <v>173.0383639940807</v>
      </c>
      <c r="E1457" s="8">
        <v>172.68604766151441</v>
      </c>
      <c r="F1457" s="8">
        <v>172.90727798056079</v>
      </c>
      <c r="G1457" s="7">
        <v>59907</v>
      </c>
      <c r="H1457" s="9">
        <v>10358356.30198146</v>
      </c>
      <c r="I1457" s="5" t="s">
        <v>2586</v>
      </c>
    </row>
    <row r="1458" spans="1:9" x14ac:dyDescent="0.25">
      <c r="A1458" s="6">
        <v>45995.722222222219</v>
      </c>
      <c r="B1458" s="5" t="s">
        <v>32</v>
      </c>
      <c r="C1458" s="8">
        <v>172.84592210662279</v>
      </c>
      <c r="D1458" s="8">
        <v>172.99112866551371</v>
      </c>
      <c r="E1458" s="8">
        <v>172.7156144989344</v>
      </c>
      <c r="F1458" s="8">
        <v>172.94891070540399</v>
      </c>
      <c r="G1458" s="7">
        <v>79756</v>
      </c>
      <c r="H1458" s="9">
        <v>13793713.322220201</v>
      </c>
      <c r="I1458" s="5" t="s">
        <v>2587</v>
      </c>
    </row>
    <row r="1459" spans="1:9" x14ac:dyDescent="0.25">
      <c r="A1459" s="6">
        <v>45995.725694444453</v>
      </c>
      <c r="B1459" s="5" t="s">
        <v>32</v>
      </c>
      <c r="C1459" s="8">
        <v>172.87336815501229</v>
      </c>
      <c r="D1459" s="8">
        <v>172.92607593521939</v>
      </c>
      <c r="E1459" s="8">
        <v>172.71791130694569</v>
      </c>
      <c r="F1459" s="8">
        <v>172.83215807629699</v>
      </c>
      <c r="G1459" s="7">
        <v>36829</v>
      </c>
      <c r="H1459" s="9">
        <v>6365235.5497919442</v>
      </c>
      <c r="I1459" s="5" t="s">
        <v>2588</v>
      </c>
    </row>
    <row r="1460" spans="1:9" x14ac:dyDescent="0.25">
      <c r="A1460" s="6">
        <v>45995.729166666657</v>
      </c>
      <c r="B1460" s="5" t="s">
        <v>32</v>
      </c>
      <c r="C1460" s="8">
        <v>172.58623571768391</v>
      </c>
      <c r="D1460" s="8">
        <v>172.66346660754479</v>
      </c>
      <c r="E1460" s="8">
        <v>172.40259404292419</v>
      </c>
      <c r="F1460" s="8">
        <v>172.60383988342309</v>
      </c>
      <c r="G1460" s="7">
        <v>29896</v>
      </c>
      <c r="H1460" s="9">
        <v>5160164.3971548174</v>
      </c>
      <c r="I1460" s="5" t="s">
        <v>2589</v>
      </c>
    </row>
    <row r="1461" spans="1:9" x14ac:dyDescent="0.25">
      <c r="A1461" s="6">
        <v>45995.732638888891</v>
      </c>
      <c r="B1461" s="5" t="s">
        <v>32</v>
      </c>
      <c r="C1461" s="8">
        <v>172.73105811627701</v>
      </c>
      <c r="D1461" s="8">
        <v>173.00442600235991</v>
      </c>
      <c r="E1461" s="8">
        <v>172.6927408174671</v>
      </c>
      <c r="F1461" s="8">
        <v>172.78001863708599</v>
      </c>
      <c r="G1461" s="7">
        <v>36546</v>
      </c>
      <c r="H1461" s="9">
        <v>6314418.5611109436</v>
      </c>
      <c r="I1461" s="5" t="s">
        <v>2590</v>
      </c>
    </row>
    <row r="1462" spans="1:9" x14ac:dyDescent="0.25">
      <c r="A1462" s="6">
        <v>45995.736111111109</v>
      </c>
      <c r="B1462" s="5" t="s">
        <v>32</v>
      </c>
      <c r="C1462" s="8">
        <v>172.97134550069231</v>
      </c>
      <c r="D1462" s="8">
        <v>173.14660670364711</v>
      </c>
      <c r="E1462" s="8">
        <v>172.89257281391809</v>
      </c>
      <c r="F1462" s="8">
        <v>172.9200041061585</v>
      </c>
      <c r="G1462" s="7">
        <v>95459</v>
      </c>
      <c r="H1462" s="9">
        <v>16506770.671969781</v>
      </c>
      <c r="I1462" s="5" t="s">
        <v>2591</v>
      </c>
    </row>
    <row r="1463" spans="1:9" x14ac:dyDescent="0.25">
      <c r="A1463" s="6">
        <v>45995.739583333343</v>
      </c>
      <c r="B1463" s="5" t="s">
        <v>32</v>
      </c>
      <c r="C1463" s="8">
        <v>172.70569995051221</v>
      </c>
      <c r="D1463" s="8">
        <v>172.7386427085396</v>
      </c>
      <c r="E1463" s="8">
        <v>172.48776740249809</v>
      </c>
      <c r="F1463" s="8">
        <v>172.68465144937471</v>
      </c>
      <c r="G1463" s="7">
        <v>93645</v>
      </c>
      <c r="H1463" s="9">
        <v>16171054.18497669</v>
      </c>
      <c r="I1463" s="5" t="s">
        <v>2592</v>
      </c>
    </row>
    <row r="1464" spans="1:9" x14ac:dyDescent="0.25">
      <c r="A1464" s="6">
        <v>45995.743055555547</v>
      </c>
      <c r="B1464" s="5" t="s">
        <v>32</v>
      </c>
      <c r="C1464" s="8">
        <v>172.54821114795249</v>
      </c>
      <c r="D1464" s="8">
        <v>172.6587958855325</v>
      </c>
      <c r="E1464" s="8">
        <v>172.54005507253251</v>
      </c>
      <c r="F1464" s="8">
        <v>172.62175748973311</v>
      </c>
      <c r="G1464" s="7">
        <v>59081</v>
      </c>
      <c r="H1464" s="9">
        <v>10198666.05425092</v>
      </c>
      <c r="I1464" s="5" t="s">
        <v>2593</v>
      </c>
    </row>
    <row r="1465" spans="1:9" x14ac:dyDescent="0.25">
      <c r="A1465" s="6">
        <v>45995.746527777781</v>
      </c>
      <c r="B1465" s="5" t="s">
        <v>32</v>
      </c>
      <c r="C1465" s="8">
        <v>172.50340796875179</v>
      </c>
      <c r="D1465" s="8">
        <v>172.68022732658389</v>
      </c>
      <c r="E1465" s="8">
        <v>172.46270249900999</v>
      </c>
      <c r="F1465" s="8">
        <v>172.55264320818679</v>
      </c>
      <c r="G1465" s="7">
        <v>46072</v>
      </c>
      <c r="H1465" s="9">
        <v>7949845.3778875805</v>
      </c>
      <c r="I1465" s="5" t="s">
        <v>2594</v>
      </c>
    </row>
    <row r="1466" spans="1:9" x14ac:dyDescent="0.25">
      <c r="A1466" s="6">
        <v>45995.75</v>
      </c>
      <c r="B1466" s="5" t="s">
        <v>32</v>
      </c>
      <c r="C1466" s="8">
        <v>172.58897115169779</v>
      </c>
      <c r="D1466" s="8">
        <v>172.59221667961549</v>
      </c>
      <c r="E1466" s="8">
        <v>172.46202384827251</v>
      </c>
      <c r="F1466" s="8">
        <v>172.58266532755189</v>
      </c>
      <c r="G1466" s="7">
        <v>42012</v>
      </c>
      <c r="H1466" s="9">
        <v>7250542.9357411098</v>
      </c>
      <c r="I1466" s="5" t="s">
        <v>2595</v>
      </c>
    </row>
    <row r="1467" spans="1:9" x14ac:dyDescent="0.25">
      <c r="A1467" s="6">
        <v>45995.753472222219</v>
      </c>
      <c r="B1467" s="5" t="s">
        <v>32</v>
      </c>
      <c r="C1467" s="8">
        <v>172.67205278250191</v>
      </c>
      <c r="D1467" s="8">
        <v>172.71987980741869</v>
      </c>
      <c r="E1467" s="8">
        <v>172.60712947003691</v>
      </c>
      <c r="F1467" s="8">
        <v>172.62091179564541</v>
      </c>
      <c r="G1467" s="7">
        <v>74698</v>
      </c>
      <c r="H1467" s="9">
        <v>12894436.86931112</v>
      </c>
      <c r="I1467" s="5" t="s">
        <v>2596</v>
      </c>
    </row>
    <row r="1468" spans="1:9" x14ac:dyDescent="0.25">
      <c r="A1468" s="6">
        <v>45995.756944444453</v>
      </c>
      <c r="B1468" s="5" t="s">
        <v>32</v>
      </c>
      <c r="C1468" s="8">
        <v>172.70006060607469</v>
      </c>
      <c r="D1468" s="8">
        <v>172.82660468649669</v>
      </c>
      <c r="E1468" s="8">
        <v>172.6071688871393</v>
      </c>
      <c r="F1468" s="8">
        <v>172.69956273620079</v>
      </c>
      <c r="G1468" s="7">
        <v>60113</v>
      </c>
      <c r="H1468" s="9">
        <v>10381488.81476124</v>
      </c>
      <c r="I1468" s="5" t="s">
        <v>2597</v>
      </c>
    </row>
    <row r="1469" spans="1:9" x14ac:dyDescent="0.25">
      <c r="A1469" s="6">
        <v>45995.760416666657</v>
      </c>
      <c r="B1469" s="5" t="s">
        <v>32</v>
      </c>
      <c r="C1469" s="8">
        <v>172.63761766853659</v>
      </c>
      <c r="D1469" s="8">
        <v>172.7080795391048</v>
      </c>
      <c r="E1469" s="8">
        <v>172.46056653048629</v>
      </c>
      <c r="F1469" s="8">
        <v>172.65345929194939</v>
      </c>
      <c r="G1469" s="7">
        <v>73812</v>
      </c>
      <c r="H1469" s="9">
        <v>12743897.137257369</v>
      </c>
      <c r="I1469" s="5" t="s">
        <v>2598</v>
      </c>
    </row>
    <row r="1470" spans="1:9" x14ac:dyDescent="0.25">
      <c r="A1470" s="6">
        <v>45995.763888888891</v>
      </c>
      <c r="B1470" s="5" t="s">
        <v>32</v>
      </c>
      <c r="C1470" s="8">
        <v>172.57197285805029</v>
      </c>
      <c r="D1470" s="8">
        <v>172.8550082758955</v>
      </c>
      <c r="E1470" s="8">
        <v>172.4115533431156</v>
      </c>
      <c r="F1470" s="8">
        <v>172.49200052939381</v>
      </c>
      <c r="G1470" s="7">
        <v>70329</v>
      </c>
      <c r="H1470" s="9">
        <v>12131189.905231729</v>
      </c>
      <c r="I1470" s="5" t="s">
        <v>2599</v>
      </c>
    </row>
    <row r="1471" spans="1:9" x14ac:dyDescent="0.25">
      <c r="A1471" s="6">
        <v>45995.767361111109</v>
      </c>
      <c r="B1471" s="5" t="s">
        <v>32</v>
      </c>
      <c r="C1471" s="8">
        <v>172.34553405014029</v>
      </c>
      <c r="D1471" s="8">
        <v>172.43670867217571</v>
      </c>
      <c r="E1471" s="8">
        <v>172.24264831438629</v>
      </c>
      <c r="F1471" s="8">
        <v>172.39537002551799</v>
      </c>
      <c r="G1471" s="7">
        <v>60634</v>
      </c>
      <c r="H1471" s="9">
        <v>10453020.86612726</v>
      </c>
      <c r="I1471" s="5" t="s">
        <v>2600</v>
      </c>
    </row>
    <row r="1472" spans="1:9" x14ac:dyDescent="0.25">
      <c r="A1472" s="6">
        <v>45995.770833333343</v>
      </c>
      <c r="B1472" s="5" t="s">
        <v>32</v>
      </c>
      <c r="C1472" s="8">
        <v>172.1884050942578</v>
      </c>
      <c r="D1472" s="8">
        <v>172.23912019735289</v>
      </c>
      <c r="E1472" s="8">
        <v>172.06391749751339</v>
      </c>
      <c r="F1472" s="8">
        <v>172.14764596630931</v>
      </c>
      <c r="G1472" s="7">
        <v>60080</v>
      </c>
      <c r="H1472" s="9">
        <v>10342630.569655869</v>
      </c>
      <c r="I1472" s="5" t="s">
        <v>2601</v>
      </c>
    </row>
    <row r="1473" spans="1:9" x14ac:dyDescent="0.25">
      <c r="A1473" s="6">
        <v>45995.774305555547</v>
      </c>
      <c r="B1473" s="5" t="s">
        <v>32</v>
      </c>
      <c r="C1473" s="8">
        <v>172.0048830455365</v>
      </c>
      <c r="D1473" s="8">
        <v>172.1029930223535</v>
      </c>
      <c r="E1473" s="8">
        <v>171.9471710106603</v>
      </c>
      <c r="F1473" s="8">
        <v>172.0280743684585</v>
      </c>
      <c r="G1473" s="7">
        <v>94928</v>
      </c>
      <c r="H1473" s="9">
        <v>16330281.043649031</v>
      </c>
      <c r="I1473" s="5" t="s">
        <v>2602</v>
      </c>
    </row>
    <row r="1474" spans="1:9" x14ac:dyDescent="0.25">
      <c r="A1474" s="6">
        <v>45995.777777777781</v>
      </c>
      <c r="B1474" s="5" t="s">
        <v>32</v>
      </c>
      <c r="C1474" s="8">
        <v>171.9813139294651</v>
      </c>
      <c r="D1474" s="8">
        <v>172.11546406898381</v>
      </c>
      <c r="E1474" s="8">
        <v>171.79888910271271</v>
      </c>
      <c r="F1474" s="8">
        <v>171.90847695756091</v>
      </c>
      <c r="G1474" s="7">
        <v>73533</v>
      </c>
      <c r="H1474" s="9">
        <v>12640946.036120331</v>
      </c>
      <c r="I1474" s="5" t="s">
        <v>2603</v>
      </c>
    </row>
    <row r="1475" spans="1:9" x14ac:dyDescent="0.25">
      <c r="A1475" s="6">
        <v>45995.78125</v>
      </c>
      <c r="B1475" s="5" t="s">
        <v>32</v>
      </c>
      <c r="C1475" s="8">
        <v>172.1217853402047</v>
      </c>
      <c r="D1475" s="8">
        <v>172.21714475835211</v>
      </c>
      <c r="E1475" s="8">
        <v>172.0277773532741</v>
      </c>
      <c r="F1475" s="8">
        <v>172.13681308083571</v>
      </c>
      <c r="G1475" s="7">
        <v>42336</v>
      </c>
      <c r="H1475" s="9">
        <v>7287584.1185902609</v>
      </c>
      <c r="I1475" s="5" t="s">
        <v>2604</v>
      </c>
    </row>
    <row r="1476" spans="1:9" x14ac:dyDescent="0.25">
      <c r="A1476" s="6">
        <v>45995.784722222219</v>
      </c>
      <c r="B1476" s="5" t="s">
        <v>32</v>
      </c>
      <c r="C1476" s="8">
        <v>172.24894088631919</v>
      </c>
      <c r="D1476" s="8">
        <v>172.2765723615978</v>
      </c>
      <c r="E1476" s="8">
        <v>171.9775000783155</v>
      </c>
      <c r="F1476" s="8">
        <v>172.1402544166958</v>
      </c>
      <c r="G1476" s="7">
        <v>25579</v>
      </c>
      <c r="H1476" s="9">
        <v>4403175.567724661</v>
      </c>
      <c r="I1476" s="5" t="s">
        <v>2605</v>
      </c>
    </row>
    <row r="1477" spans="1:9" x14ac:dyDescent="0.25">
      <c r="A1477" s="6">
        <v>45995.788194444453</v>
      </c>
      <c r="B1477" s="5" t="s">
        <v>32</v>
      </c>
      <c r="C1477" s="8">
        <v>172.15671400649339</v>
      </c>
      <c r="D1477" s="8">
        <v>172.1948875233478</v>
      </c>
      <c r="E1477" s="8">
        <v>172.11121867251589</v>
      </c>
      <c r="F1477" s="8">
        <v>172.12640186765421</v>
      </c>
      <c r="G1477" s="7">
        <v>45528</v>
      </c>
      <c r="H1477" s="9">
        <v>7836570.824230562</v>
      </c>
      <c r="I1477" s="5" t="s">
        <v>2606</v>
      </c>
    </row>
    <row r="1478" spans="1:9" x14ac:dyDescent="0.25">
      <c r="A1478" s="6">
        <v>45995.791666666657</v>
      </c>
      <c r="B1478" s="5" t="s">
        <v>32</v>
      </c>
      <c r="C1478" s="8">
        <v>172.33888315292569</v>
      </c>
      <c r="D1478" s="8">
        <v>172.48324627565569</v>
      </c>
      <c r="E1478" s="8">
        <v>172.24895743771631</v>
      </c>
      <c r="F1478" s="8">
        <v>172.31470926905371</v>
      </c>
      <c r="G1478" s="7">
        <v>89995</v>
      </c>
      <c r="H1478" s="9">
        <v>15507462.260668481</v>
      </c>
      <c r="I1478" s="5" t="s">
        <v>2607</v>
      </c>
    </row>
    <row r="1479" spans="1:9" x14ac:dyDescent="0.25">
      <c r="A1479" s="6">
        <v>45995.795138888891</v>
      </c>
      <c r="B1479" s="5" t="s">
        <v>32</v>
      </c>
      <c r="C1479" s="8">
        <v>172.18241845849661</v>
      </c>
      <c r="D1479" s="8">
        <v>172.34867689955129</v>
      </c>
      <c r="E1479" s="8">
        <v>172.12664893959189</v>
      </c>
      <c r="F1479" s="8">
        <v>172.30434481623541</v>
      </c>
      <c r="G1479" s="7">
        <v>23121</v>
      </c>
      <c r="H1479" s="9">
        <v>3983848.7564961798</v>
      </c>
      <c r="I1479" s="5" t="s">
        <v>2608</v>
      </c>
    </row>
    <row r="1480" spans="1:9" x14ac:dyDescent="0.25">
      <c r="A1480" s="6">
        <v>45995.798611111109</v>
      </c>
      <c r="B1480" s="5" t="s">
        <v>32</v>
      </c>
      <c r="C1480" s="8">
        <v>172.4351146489569</v>
      </c>
      <c r="D1480" s="8">
        <v>172.49660391974069</v>
      </c>
      <c r="E1480" s="8">
        <v>172.2699429255764</v>
      </c>
      <c r="F1480" s="8">
        <v>172.36705438491609</v>
      </c>
      <c r="G1480" s="7">
        <v>54242</v>
      </c>
      <c r="H1480" s="9">
        <v>9349533.7639466207</v>
      </c>
      <c r="I1480" s="5" t="s">
        <v>2609</v>
      </c>
    </row>
    <row r="1481" spans="1:9" x14ac:dyDescent="0.25">
      <c r="A1481" s="6">
        <v>45995.802083333343</v>
      </c>
      <c r="B1481" s="5" t="s">
        <v>32</v>
      </c>
      <c r="C1481" s="8">
        <v>172.27686980254489</v>
      </c>
      <c r="D1481" s="8">
        <v>172.32976813866219</v>
      </c>
      <c r="E1481" s="8">
        <v>172.10776818540799</v>
      </c>
      <c r="F1481" s="8">
        <v>172.28443727850421</v>
      </c>
      <c r="G1481" s="7">
        <v>51875</v>
      </c>
      <c r="H1481" s="9">
        <v>8937255.1838224046</v>
      </c>
      <c r="I1481" s="5" t="s">
        <v>2610</v>
      </c>
    </row>
    <row r="1482" spans="1:9" x14ac:dyDescent="0.25">
      <c r="A1482" s="6">
        <v>45995.805555555547</v>
      </c>
      <c r="B1482" s="5" t="s">
        <v>32</v>
      </c>
      <c r="C1482" s="8">
        <v>172.54969236956069</v>
      </c>
      <c r="D1482" s="8">
        <v>172.56327731131361</v>
      </c>
      <c r="E1482" s="8">
        <v>172.52393134893461</v>
      </c>
      <c r="F1482" s="8">
        <v>172.56101638330409</v>
      </c>
      <c r="G1482" s="7">
        <v>43683</v>
      </c>
      <c r="H1482" s="9">
        <v>7537982.8786718724</v>
      </c>
      <c r="I1482" s="5" t="s">
        <v>2611</v>
      </c>
    </row>
    <row r="1483" spans="1:9" x14ac:dyDescent="0.25">
      <c r="A1483" s="6">
        <v>45995.809027777781</v>
      </c>
      <c r="B1483" s="5" t="s">
        <v>32</v>
      </c>
      <c r="C1483" s="8">
        <v>172.44487347574301</v>
      </c>
      <c r="D1483" s="8">
        <v>172.45161388692421</v>
      </c>
      <c r="E1483" s="8">
        <v>172.22025125090559</v>
      </c>
      <c r="F1483" s="8">
        <v>172.33318057956521</v>
      </c>
      <c r="G1483" s="7">
        <v>78637</v>
      </c>
      <c r="H1483" s="9">
        <v>13551764.321235269</v>
      </c>
      <c r="I1483" s="5" t="s">
        <v>2612</v>
      </c>
    </row>
    <row r="1484" spans="1:9" x14ac:dyDescent="0.25">
      <c r="A1484" s="6">
        <v>45995.8125</v>
      </c>
      <c r="B1484" s="5" t="s">
        <v>32</v>
      </c>
      <c r="C1484" s="8">
        <v>172.20475052033379</v>
      </c>
      <c r="D1484" s="8">
        <v>172.31926403355581</v>
      </c>
      <c r="E1484" s="8">
        <v>172.05633206450071</v>
      </c>
      <c r="F1484" s="8">
        <v>172.25709558099061</v>
      </c>
      <c r="G1484" s="7">
        <v>40728</v>
      </c>
      <c r="H1484" s="9">
        <v>7015686.9888225831</v>
      </c>
      <c r="I1484" s="5" t="s">
        <v>2613</v>
      </c>
    </row>
    <row r="1485" spans="1:9" x14ac:dyDescent="0.25">
      <c r="A1485" s="6">
        <v>45995.815972222219</v>
      </c>
      <c r="B1485" s="5" t="s">
        <v>32</v>
      </c>
      <c r="C1485" s="8">
        <v>172.38076953271511</v>
      </c>
      <c r="D1485" s="8">
        <v>172.41863199106419</v>
      </c>
      <c r="E1485" s="8">
        <v>172.2566695325217</v>
      </c>
      <c r="F1485" s="8">
        <v>172.38000971096929</v>
      </c>
      <c r="G1485" s="7">
        <v>73961</v>
      </c>
      <c r="H1485" s="9">
        <v>12749397.898233</v>
      </c>
      <c r="I1485" s="5" t="s">
        <v>2614</v>
      </c>
    </row>
    <row r="1486" spans="1:9" x14ac:dyDescent="0.25">
      <c r="A1486" s="6">
        <v>45995.819444444453</v>
      </c>
      <c r="B1486" s="5" t="s">
        <v>32</v>
      </c>
      <c r="C1486" s="8">
        <v>172.22279998634011</v>
      </c>
      <c r="D1486" s="8">
        <v>172.3685777524021</v>
      </c>
      <c r="E1486" s="8">
        <v>172.10258851796229</v>
      </c>
      <c r="F1486" s="8">
        <v>172.30332427518019</v>
      </c>
      <c r="G1486" s="7">
        <v>41882</v>
      </c>
      <c r="H1486" s="9">
        <v>7216407.827293098</v>
      </c>
      <c r="I1486" s="5" t="s">
        <v>2615</v>
      </c>
    </row>
    <row r="1487" spans="1:9" x14ac:dyDescent="0.25">
      <c r="A1487" s="6">
        <v>45995.822916666657</v>
      </c>
      <c r="B1487" s="5" t="s">
        <v>32</v>
      </c>
      <c r="C1487" s="8">
        <v>172.6029425235256</v>
      </c>
      <c r="D1487" s="8">
        <v>172.76843534455179</v>
      </c>
      <c r="E1487" s="8">
        <v>172.5463991254905</v>
      </c>
      <c r="F1487" s="8">
        <v>172.61904919159039</v>
      </c>
      <c r="G1487" s="7">
        <v>95352</v>
      </c>
      <c r="H1487" s="9">
        <v>16459571.57851653</v>
      </c>
      <c r="I1487" s="5" t="s">
        <v>2616</v>
      </c>
    </row>
    <row r="1488" spans="1:9" x14ac:dyDescent="0.25">
      <c r="A1488" s="6">
        <v>45995.826388888891</v>
      </c>
      <c r="B1488" s="5" t="s">
        <v>32</v>
      </c>
      <c r="C1488" s="8">
        <v>172.5267572165844</v>
      </c>
      <c r="D1488" s="8">
        <v>172.59263435259811</v>
      </c>
      <c r="E1488" s="8">
        <v>172.44174365941089</v>
      </c>
      <c r="F1488" s="8">
        <v>172.50872324259399</v>
      </c>
      <c r="G1488" s="7">
        <v>83485</v>
      </c>
      <c r="H1488" s="9">
        <v>14401890.759907961</v>
      </c>
      <c r="I1488" s="5" t="s">
        <v>2617</v>
      </c>
    </row>
    <row r="1489" spans="1:9" x14ac:dyDescent="0.25">
      <c r="A1489" s="6">
        <v>45995.829861111109</v>
      </c>
      <c r="B1489" s="5" t="s">
        <v>32</v>
      </c>
      <c r="C1489" s="8">
        <v>172.74832222806671</v>
      </c>
      <c r="D1489" s="8">
        <v>172.93913010689931</v>
      </c>
      <c r="E1489" s="8">
        <v>172.6905242503004</v>
      </c>
      <c r="F1489" s="8">
        <v>172.71246242224669</v>
      </c>
      <c r="G1489" s="7">
        <v>74848</v>
      </c>
      <c r="H1489" s="9">
        <v>12927182.387380321</v>
      </c>
      <c r="I1489" s="5" t="s">
        <v>2618</v>
      </c>
    </row>
    <row r="1490" spans="1:9" x14ac:dyDescent="0.25">
      <c r="A1490" s="6">
        <v>45995.833333333343</v>
      </c>
      <c r="B1490" s="5" t="s">
        <v>32</v>
      </c>
      <c r="C1490" s="8">
        <v>172.92589073025809</v>
      </c>
      <c r="D1490" s="8">
        <v>172.94760063437599</v>
      </c>
      <c r="E1490" s="8">
        <v>172.83288122232739</v>
      </c>
      <c r="F1490" s="8">
        <v>172.83640843548301</v>
      </c>
      <c r="G1490" s="7">
        <v>28606</v>
      </c>
      <c r="H1490" s="9">
        <v>4944158.2997054281</v>
      </c>
      <c r="I1490" s="5" t="s">
        <v>2619</v>
      </c>
    </row>
    <row r="1491" spans="1:9" x14ac:dyDescent="0.25">
      <c r="A1491" s="6">
        <v>45995.836805555547</v>
      </c>
      <c r="B1491" s="5" t="s">
        <v>32</v>
      </c>
      <c r="C1491" s="8">
        <v>172.6972979638135</v>
      </c>
      <c r="D1491" s="8">
        <v>172.82376630019641</v>
      </c>
      <c r="E1491" s="8">
        <v>172.6106068038234</v>
      </c>
      <c r="F1491" s="8">
        <v>172.6436105865636</v>
      </c>
      <c r="G1491" s="7">
        <v>32421</v>
      </c>
      <c r="H1491" s="9">
        <v>5597278.4988269778</v>
      </c>
      <c r="I1491" s="5" t="s">
        <v>2620</v>
      </c>
    </row>
    <row r="1492" spans="1:9" x14ac:dyDescent="0.25">
      <c r="A1492" s="6">
        <v>45995.840277777781</v>
      </c>
      <c r="B1492" s="5" t="s">
        <v>32</v>
      </c>
      <c r="C1492" s="8">
        <v>172.51900814453381</v>
      </c>
      <c r="D1492" s="8">
        <v>172.62542417821979</v>
      </c>
      <c r="E1492" s="8">
        <v>172.5021004840338</v>
      </c>
      <c r="F1492" s="8">
        <v>172.58610602651291</v>
      </c>
      <c r="G1492" s="7">
        <v>65518</v>
      </c>
      <c r="H1492" s="9">
        <v>11307496.49464507</v>
      </c>
      <c r="I1492" s="5" t="s">
        <v>2621</v>
      </c>
    </row>
    <row r="1493" spans="1:9" x14ac:dyDescent="0.25">
      <c r="A1493" s="6">
        <v>45995.84375</v>
      </c>
      <c r="B1493" s="5" t="s">
        <v>32</v>
      </c>
      <c r="C1493" s="8">
        <v>172.32064144996701</v>
      </c>
      <c r="D1493" s="8">
        <v>172.41335792771139</v>
      </c>
      <c r="E1493" s="8">
        <v>171.9859193542575</v>
      </c>
      <c r="F1493" s="8">
        <v>172.3357298583278</v>
      </c>
      <c r="G1493" s="7">
        <v>46820</v>
      </c>
      <c r="H1493" s="9">
        <v>8068758.8719669078</v>
      </c>
      <c r="I1493" s="5" t="s">
        <v>2622</v>
      </c>
    </row>
    <row r="1494" spans="1:9" x14ac:dyDescent="0.25">
      <c r="A1494" s="6">
        <v>45995.847222222219</v>
      </c>
      <c r="B1494" s="5" t="s">
        <v>32</v>
      </c>
      <c r="C1494" s="8">
        <v>172.34316376575919</v>
      </c>
      <c r="D1494" s="8">
        <v>172.39456699409709</v>
      </c>
      <c r="E1494" s="8">
        <v>172.25176655910701</v>
      </c>
      <c r="F1494" s="8">
        <v>172.3060797034021</v>
      </c>
      <c r="G1494" s="7">
        <v>65092</v>
      </c>
      <c r="H1494" s="9">
        <v>11215747.340053851</v>
      </c>
      <c r="I1494" s="5" t="s">
        <v>2623</v>
      </c>
    </row>
    <row r="1495" spans="1:9" x14ac:dyDescent="0.25">
      <c r="A1495" s="6">
        <v>45995.850694444453</v>
      </c>
      <c r="B1495" s="5" t="s">
        <v>32</v>
      </c>
      <c r="C1495" s="8">
        <v>172.39870352788799</v>
      </c>
      <c r="D1495" s="8">
        <v>172.43291650307671</v>
      </c>
      <c r="E1495" s="8">
        <v>172.2687401883795</v>
      </c>
      <c r="F1495" s="8">
        <v>172.4116427078207</v>
      </c>
      <c r="G1495" s="7">
        <v>53925</v>
      </c>
      <c r="H1495" s="9">
        <v>9297297.8330192324</v>
      </c>
      <c r="I1495" s="5" t="s">
        <v>2624</v>
      </c>
    </row>
    <row r="1496" spans="1:9" x14ac:dyDescent="0.25">
      <c r="A1496" s="6">
        <v>45995.854166666657</v>
      </c>
      <c r="B1496" s="5" t="s">
        <v>32</v>
      </c>
      <c r="C1496" s="8">
        <v>172.4329150990433</v>
      </c>
      <c r="D1496" s="8">
        <v>172.55679790315349</v>
      </c>
      <c r="E1496" s="8">
        <v>172.34019524461641</v>
      </c>
      <c r="F1496" s="8">
        <v>172.3580993683878</v>
      </c>
      <c r="G1496" s="7">
        <v>52569</v>
      </c>
      <c r="H1496" s="9">
        <v>9060692.925696779</v>
      </c>
      <c r="I1496" s="5" t="s">
        <v>2625</v>
      </c>
    </row>
    <row r="1497" spans="1:9" x14ac:dyDescent="0.25">
      <c r="A1497" s="6">
        <v>45995.857638888891</v>
      </c>
      <c r="B1497" s="5" t="s">
        <v>32</v>
      </c>
      <c r="C1497" s="8">
        <v>172.4039955957978</v>
      </c>
      <c r="D1497" s="8">
        <v>172.41888220917039</v>
      </c>
      <c r="E1497" s="8">
        <v>172.24994365372561</v>
      </c>
      <c r="F1497" s="8">
        <v>172.3527807651837</v>
      </c>
      <c r="G1497" s="7">
        <v>60472</v>
      </c>
      <c r="H1497" s="9">
        <v>10422517.35843219</v>
      </c>
      <c r="I1497" s="5" t="s">
        <v>2626</v>
      </c>
    </row>
    <row r="1498" spans="1:9" x14ac:dyDescent="0.25">
      <c r="A1498" s="6">
        <v>45995.861111111109</v>
      </c>
      <c r="B1498" s="5" t="s">
        <v>32</v>
      </c>
      <c r="C1498" s="8">
        <v>172.50362537819311</v>
      </c>
      <c r="D1498" s="8">
        <v>172.56885047202289</v>
      </c>
      <c r="E1498" s="8">
        <v>172.34393395652691</v>
      </c>
      <c r="F1498" s="8">
        <v>172.4908245959482</v>
      </c>
      <c r="G1498" s="7">
        <v>80987</v>
      </c>
      <c r="H1498" s="9">
        <v>13969514.41155206</v>
      </c>
      <c r="I1498" s="5" t="s">
        <v>2627</v>
      </c>
    </row>
    <row r="1499" spans="1:9" x14ac:dyDescent="0.25">
      <c r="A1499" s="6">
        <v>45995.864583333343</v>
      </c>
      <c r="B1499" s="5" t="s">
        <v>32</v>
      </c>
      <c r="C1499" s="8">
        <v>172.34165261121589</v>
      </c>
      <c r="D1499" s="8">
        <v>172.4335373324522</v>
      </c>
      <c r="E1499" s="8">
        <v>172.1886783597063</v>
      </c>
      <c r="F1499" s="8">
        <v>172.4066829812044</v>
      </c>
      <c r="G1499" s="7">
        <v>64603</v>
      </c>
      <c r="H1499" s="9">
        <v>11137988.94063475</v>
      </c>
      <c r="I1499" s="5" t="s">
        <v>2628</v>
      </c>
    </row>
    <row r="1500" spans="1:9" x14ac:dyDescent="0.25">
      <c r="A1500" s="6">
        <v>45995.868055555547</v>
      </c>
      <c r="B1500" s="5" t="s">
        <v>32</v>
      </c>
      <c r="C1500" s="8">
        <v>172.611747647171</v>
      </c>
      <c r="D1500" s="8">
        <v>172.73980101240389</v>
      </c>
      <c r="E1500" s="8">
        <v>172.50262521621389</v>
      </c>
      <c r="F1500" s="8">
        <v>172.64310287762771</v>
      </c>
      <c r="G1500" s="7">
        <v>73786</v>
      </c>
      <c r="H1500" s="9">
        <v>12738643.98892864</v>
      </c>
      <c r="I1500" s="5" t="s">
        <v>2629</v>
      </c>
    </row>
    <row r="1501" spans="1:9" x14ac:dyDescent="0.25">
      <c r="A1501" s="6">
        <v>45995.871527777781</v>
      </c>
      <c r="B1501" s="5" t="s">
        <v>32</v>
      </c>
      <c r="C1501" s="8">
        <v>172.66778768907011</v>
      </c>
      <c r="D1501" s="8">
        <v>172.86082840147361</v>
      </c>
      <c r="E1501" s="8">
        <v>172.48183049337061</v>
      </c>
      <c r="F1501" s="8">
        <v>172.76891112313251</v>
      </c>
      <c r="G1501" s="7">
        <v>44179</v>
      </c>
      <c r="H1501" s="9">
        <v>7632757.7245088713</v>
      </c>
      <c r="I1501" s="5" t="s">
        <v>2630</v>
      </c>
    </row>
    <row r="1502" spans="1:9" x14ac:dyDescent="0.25">
      <c r="A1502" s="6">
        <v>45995.875</v>
      </c>
      <c r="B1502" s="5" t="s">
        <v>32</v>
      </c>
      <c r="C1502" s="8">
        <v>172.6943165922651</v>
      </c>
      <c r="D1502" s="8">
        <v>172.71157106123479</v>
      </c>
      <c r="E1502" s="8">
        <v>172.66599990440031</v>
      </c>
      <c r="F1502" s="8">
        <v>172.69059042448961</v>
      </c>
      <c r="G1502" s="7">
        <v>23666</v>
      </c>
      <c r="H1502" s="9">
        <v>4086895.5129859699</v>
      </c>
      <c r="I1502" s="5" t="s">
        <v>2631</v>
      </c>
    </row>
    <row r="1503" spans="1:9" x14ac:dyDescent="0.25">
      <c r="A1503" s="6">
        <v>45996.604166666657</v>
      </c>
      <c r="B1503" s="5" t="s">
        <v>32</v>
      </c>
      <c r="C1503" s="8">
        <v>172.70453643226591</v>
      </c>
      <c r="D1503" s="8">
        <v>172.86080265567469</v>
      </c>
      <c r="E1503" s="8">
        <v>172.58121221983799</v>
      </c>
      <c r="F1503" s="8">
        <v>172.7671560162859</v>
      </c>
      <c r="G1503" s="7">
        <v>40105</v>
      </c>
      <c r="H1503" s="9">
        <v>6928826.7920331471</v>
      </c>
      <c r="I1503" s="5" t="s">
        <v>2632</v>
      </c>
    </row>
    <row r="1504" spans="1:9" x14ac:dyDescent="0.25">
      <c r="A1504" s="6">
        <v>45996.607638888891</v>
      </c>
      <c r="B1504" s="5" t="s">
        <v>32</v>
      </c>
      <c r="C1504" s="8">
        <v>172.86220447589059</v>
      </c>
      <c r="D1504" s="8">
        <v>173.03461518241329</v>
      </c>
      <c r="E1504" s="8">
        <v>172.685463542203</v>
      </c>
      <c r="F1504" s="8">
        <v>172.7805475287733</v>
      </c>
      <c r="G1504" s="7">
        <v>49355</v>
      </c>
      <c r="H1504" s="9">
        <v>8527583.9232826084</v>
      </c>
      <c r="I1504" s="5" t="s">
        <v>2633</v>
      </c>
    </row>
    <row r="1505" spans="1:9" x14ac:dyDescent="0.25">
      <c r="A1505" s="6">
        <v>45996.611111111109</v>
      </c>
      <c r="B1505" s="5" t="s">
        <v>32</v>
      </c>
      <c r="C1505" s="8">
        <v>172.78860806846029</v>
      </c>
      <c r="D1505" s="8">
        <v>172.99125954993349</v>
      </c>
      <c r="E1505" s="8">
        <v>172.75503779287001</v>
      </c>
      <c r="F1505" s="8">
        <v>172.83913229404391</v>
      </c>
      <c r="G1505" s="7">
        <v>96452</v>
      </c>
      <c r="H1505" s="9">
        <v>16670679.98802512</v>
      </c>
      <c r="I1505" s="5" t="s">
        <v>2634</v>
      </c>
    </row>
    <row r="1506" spans="1:9" x14ac:dyDescent="0.25">
      <c r="A1506" s="6">
        <v>45996.614583333343</v>
      </c>
      <c r="B1506" s="5" t="s">
        <v>32</v>
      </c>
      <c r="C1506" s="8">
        <v>172.4133482040296</v>
      </c>
      <c r="D1506" s="8">
        <v>172.50153739559369</v>
      </c>
      <c r="E1506" s="8">
        <v>172.3681971014723</v>
      </c>
      <c r="F1506" s="8">
        <v>172.4440630296676</v>
      </c>
      <c r="G1506" s="7">
        <v>38214</v>
      </c>
      <c r="H1506" s="9">
        <v>6589777.4246157166</v>
      </c>
      <c r="I1506" s="5" t="s">
        <v>2635</v>
      </c>
    </row>
    <row r="1507" spans="1:9" x14ac:dyDescent="0.25">
      <c r="A1507" s="6">
        <v>45996.618055555547</v>
      </c>
      <c r="B1507" s="5" t="s">
        <v>32</v>
      </c>
      <c r="C1507" s="8">
        <v>172.46250788867951</v>
      </c>
      <c r="D1507" s="8">
        <v>172.69813767228851</v>
      </c>
      <c r="E1507" s="8">
        <v>172.42002475620481</v>
      </c>
      <c r="F1507" s="8">
        <v>172.50955465378661</v>
      </c>
      <c r="G1507" s="7">
        <v>50152</v>
      </c>
      <c r="H1507" s="9">
        <v>8651699.1849967036</v>
      </c>
      <c r="I1507" s="5" t="s">
        <v>2636</v>
      </c>
    </row>
    <row r="1508" spans="1:9" x14ac:dyDescent="0.25">
      <c r="A1508" s="6">
        <v>45996.621527777781</v>
      </c>
      <c r="B1508" s="5" t="s">
        <v>32</v>
      </c>
      <c r="C1508" s="8">
        <v>172.42152850555269</v>
      </c>
      <c r="D1508" s="8">
        <v>172.4524869152288</v>
      </c>
      <c r="E1508" s="8">
        <v>172.28990050600481</v>
      </c>
      <c r="F1508" s="8">
        <v>172.3932226366361</v>
      </c>
      <c r="G1508" s="7">
        <v>20595</v>
      </c>
      <c r="H1508" s="9">
        <v>3550438.42020152</v>
      </c>
      <c r="I1508" s="5" t="s">
        <v>2637</v>
      </c>
    </row>
    <row r="1509" spans="1:9" x14ac:dyDescent="0.25">
      <c r="A1509" s="6">
        <v>45996.625</v>
      </c>
      <c r="B1509" s="5" t="s">
        <v>32</v>
      </c>
      <c r="C1509" s="8">
        <v>172.28675799238559</v>
      </c>
      <c r="D1509" s="8">
        <v>172.33581483534979</v>
      </c>
      <c r="E1509" s="8">
        <v>172.1921123898257</v>
      </c>
      <c r="F1509" s="8">
        <v>172.33211364302491</v>
      </c>
      <c r="G1509" s="7">
        <v>65649</v>
      </c>
      <c r="H1509" s="9">
        <v>11313430.92855094</v>
      </c>
      <c r="I1509" s="5" t="s">
        <v>2638</v>
      </c>
    </row>
    <row r="1510" spans="1:9" x14ac:dyDescent="0.25">
      <c r="A1510" s="6">
        <v>45996.628472222219</v>
      </c>
      <c r="B1510" s="5" t="s">
        <v>32</v>
      </c>
      <c r="C1510" s="8">
        <v>172.15961344600819</v>
      </c>
      <c r="D1510" s="8">
        <v>172.18775407829409</v>
      </c>
      <c r="E1510" s="8">
        <v>172.05359117624661</v>
      </c>
      <c r="F1510" s="8">
        <v>172.14831131013679</v>
      </c>
      <c r="G1510" s="7">
        <v>56237</v>
      </c>
      <c r="H1510" s="9">
        <v>9681104.5831481628</v>
      </c>
      <c r="I1510" s="5" t="s">
        <v>2639</v>
      </c>
    </row>
    <row r="1511" spans="1:9" x14ac:dyDescent="0.25">
      <c r="A1511" s="6">
        <v>45996.631944444453</v>
      </c>
      <c r="B1511" s="5" t="s">
        <v>32</v>
      </c>
      <c r="C1511" s="8">
        <v>172.22272134723761</v>
      </c>
      <c r="D1511" s="8">
        <v>172.2649771606699</v>
      </c>
      <c r="E1511" s="8">
        <v>172.1480001836174</v>
      </c>
      <c r="F1511" s="8">
        <v>172.24004545642421</v>
      </c>
      <c r="G1511" s="7">
        <v>37602</v>
      </c>
      <c r="H1511" s="9">
        <v>6476570.1892524632</v>
      </c>
      <c r="I1511" s="5" t="s">
        <v>2640</v>
      </c>
    </row>
    <row r="1512" spans="1:9" x14ac:dyDescent="0.25">
      <c r="A1512" s="6">
        <v>45996.635416666657</v>
      </c>
      <c r="B1512" s="5" t="s">
        <v>32</v>
      </c>
      <c r="C1512" s="8">
        <v>172.26007244312689</v>
      </c>
      <c r="D1512" s="8">
        <v>172.4216944814236</v>
      </c>
      <c r="E1512" s="8">
        <v>172.21569441729039</v>
      </c>
      <c r="F1512" s="8">
        <v>172.26313756078619</v>
      </c>
      <c r="G1512" s="7">
        <v>113219</v>
      </c>
      <c r="H1512" s="9">
        <v>19503460.171494659</v>
      </c>
      <c r="I1512" s="5" t="s">
        <v>2641</v>
      </c>
    </row>
    <row r="1513" spans="1:9" x14ac:dyDescent="0.25">
      <c r="A1513" s="6">
        <v>45996.638888888891</v>
      </c>
      <c r="B1513" s="5" t="s">
        <v>32</v>
      </c>
      <c r="C1513" s="8">
        <v>172.57124784225289</v>
      </c>
      <c r="D1513" s="8">
        <v>172.6784876291014</v>
      </c>
      <c r="E1513" s="8">
        <v>172.53330883936249</v>
      </c>
      <c r="F1513" s="8">
        <v>172.5587087500223</v>
      </c>
      <c r="G1513" s="7">
        <v>84936</v>
      </c>
      <c r="H1513" s="9">
        <v>14656446.486391891</v>
      </c>
      <c r="I1513" s="5" t="s">
        <v>2642</v>
      </c>
    </row>
    <row r="1514" spans="1:9" x14ac:dyDescent="0.25">
      <c r="A1514" s="6">
        <v>45996.642361111109</v>
      </c>
      <c r="B1514" s="5" t="s">
        <v>32</v>
      </c>
      <c r="C1514" s="8">
        <v>172.60365407173629</v>
      </c>
      <c r="D1514" s="8">
        <v>172.64263087300719</v>
      </c>
      <c r="E1514" s="8">
        <v>172.53858812425469</v>
      </c>
      <c r="F1514" s="8">
        <v>172.54769442796649</v>
      </c>
      <c r="G1514" s="7">
        <v>82522</v>
      </c>
      <c r="H1514" s="9">
        <v>14238980.83958465</v>
      </c>
      <c r="I1514" s="5" t="s">
        <v>2643</v>
      </c>
    </row>
    <row r="1515" spans="1:9" x14ac:dyDescent="0.25">
      <c r="A1515" s="6">
        <v>45996.645833333343</v>
      </c>
      <c r="B1515" s="5" t="s">
        <v>32</v>
      </c>
      <c r="C1515" s="8">
        <v>172.6660475904491</v>
      </c>
      <c r="D1515" s="8">
        <v>172.69166298369171</v>
      </c>
      <c r="E1515" s="8">
        <v>172.58962576727191</v>
      </c>
      <c r="F1515" s="8">
        <v>172.6490213416441</v>
      </c>
      <c r="G1515" s="7">
        <v>58176</v>
      </c>
      <c r="H1515" s="9">
        <v>10044029.465571489</v>
      </c>
      <c r="I1515" s="5" t="s">
        <v>2644</v>
      </c>
    </row>
    <row r="1516" spans="1:9" x14ac:dyDescent="0.25">
      <c r="A1516" s="6">
        <v>45996.649305555547</v>
      </c>
      <c r="B1516" s="5" t="s">
        <v>32</v>
      </c>
      <c r="C1516" s="8">
        <v>172.77347545938051</v>
      </c>
      <c r="D1516" s="8">
        <v>173.11646775416301</v>
      </c>
      <c r="E1516" s="8">
        <v>172.7493102273601</v>
      </c>
      <c r="F1516" s="8">
        <v>172.80360834391769</v>
      </c>
      <c r="G1516" s="7">
        <v>44785</v>
      </c>
      <c r="H1516" s="9">
        <v>7739009.5996823553</v>
      </c>
      <c r="I1516" s="5" t="s">
        <v>2645</v>
      </c>
    </row>
    <row r="1517" spans="1:9" x14ac:dyDescent="0.25">
      <c r="A1517" s="6">
        <v>45996.652777777781</v>
      </c>
      <c r="B1517" s="5" t="s">
        <v>32</v>
      </c>
      <c r="C1517" s="8">
        <v>172.50658423946919</v>
      </c>
      <c r="D1517" s="8">
        <v>172.59420771054261</v>
      </c>
      <c r="E1517" s="8">
        <v>172.4561782711516</v>
      </c>
      <c r="F1517" s="8">
        <v>172.5532108075887</v>
      </c>
      <c r="G1517" s="7">
        <v>89763</v>
      </c>
      <c r="H1517" s="9">
        <v>15488893.86172159</v>
      </c>
      <c r="I1517" s="5" t="s">
        <v>2646</v>
      </c>
    </row>
    <row r="1518" spans="1:9" x14ac:dyDescent="0.25">
      <c r="A1518" s="6">
        <v>45996.65625</v>
      </c>
      <c r="B1518" s="5" t="s">
        <v>32</v>
      </c>
      <c r="C1518" s="8">
        <v>172.44505664573151</v>
      </c>
      <c r="D1518" s="8">
        <v>172.53227678606379</v>
      </c>
      <c r="E1518" s="8">
        <v>172.38849486446</v>
      </c>
      <c r="F1518" s="8">
        <v>172.49915253857401</v>
      </c>
      <c r="G1518" s="7">
        <v>55769</v>
      </c>
      <c r="H1518" s="9">
        <v>9620105.2379237302</v>
      </c>
      <c r="I1518" s="5" t="s">
        <v>2647</v>
      </c>
    </row>
    <row r="1519" spans="1:9" x14ac:dyDescent="0.25">
      <c r="A1519" s="6">
        <v>45996.659722222219</v>
      </c>
      <c r="B1519" s="5" t="s">
        <v>32</v>
      </c>
      <c r="C1519" s="8">
        <v>172.312025799818</v>
      </c>
      <c r="D1519" s="8">
        <v>172.5151696920986</v>
      </c>
      <c r="E1519" s="8">
        <v>172.2990109094855</v>
      </c>
      <c r="F1519" s="8">
        <v>172.31980249992009</v>
      </c>
      <c r="G1519" s="7">
        <v>56931</v>
      </c>
      <c r="H1519" s="9">
        <v>9810338.6761229504</v>
      </c>
      <c r="I1519" s="5" t="s">
        <v>2648</v>
      </c>
    </row>
    <row r="1520" spans="1:9" x14ac:dyDescent="0.25">
      <c r="A1520" s="6">
        <v>45996.663194444453</v>
      </c>
      <c r="B1520" s="5" t="s">
        <v>32</v>
      </c>
      <c r="C1520" s="8">
        <v>172.25151212912829</v>
      </c>
      <c r="D1520" s="8">
        <v>172.30085096046309</v>
      </c>
      <c r="E1520" s="8">
        <v>172.23198041932019</v>
      </c>
      <c r="F1520" s="8">
        <v>172.2940425192306</v>
      </c>
      <c r="G1520" s="7">
        <v>32458</v>
      </c>
      <c r="H1520" s="9">
        <v>5592320.0320891868</v>
      </c>
      <c r="I1520" s="5" t="s">
        <v>2649</v>
      </c>
    </row>
    <row r="1521" spans="1:9" x14ac:dyDescent="0.25">
      <c r="A1521" s="6">
        <v>45996.666666666657</v>
      </c>
      <c r="B1521" s="5" t="s">
        <v>32</v>
      </c>
      <c r="C1521" s="8">
        <v>172.43563389538599</v>
      </c>
      <c r="D1521" s="8">
        <v>172.49329107942421</v>
      </c>
      <c r="E1521" s="8">
        <v>172.2787922285911</v>
      </c>
      <c r="F1521" s="8">
        <v>172.44401317753599</v>
      </c>
      <c r="G1521" s="7">
        <v>38754</v>
      </c>
      <c r="H1521" s="9">
        <v>6682895.2866822323</v>
      </c>
      <c r="I1521" s="5" t="s">
        <v>2650</v>
      </c>
    </row>
    <row r="1522" spans="1:9" x14ac:dyDescent="0.25">
      <c r="A1522" s="6">
        <v>45996.670138888891</v>
      </c>
      <c r="B1522" s="5" t="s">
        <v>32</v>
      </c>
      <c r="C1522" s="8">
        <v>172.238661131095</v>
      </c>
      <c r="D1522" s="8">
        <v>172.2924796070802</v>
      </c>
      <c r="E1522" s="8">
        <v>172.1343335629916</v>
      </c>
      <c r="F1522" s="8">
        <v>172.28863708254451</v>
      </c>
      <c r="G1522" s="7">
        <v>44124</v>
      </c>
      <c r="H1522" s="9">
        <v>7602063.8226301912</v>
      </c>
      <c r="I1522" s="5" t="s">
        <v>2651</v>
      </c>
    </row>
    <row r="1523" spans="1:9" x14ac:dyDescent="0.25">
      <c r="A1523" s="6">
        <v>45996.673611111109</v>
      </c>
      <c r="B1523" s="5" t="s">
        <v>32</v>
      </c>
      <c r="C1523" s="8">
        <v>172.54575750001061</v>
      </c>
      <c r="D1523" s="8">
        <v>172.60123328096969</v>
      </c>
      <c r="E1523" s="8">
        <v>172.44123623388279</v>
      </c>
      <c r="F1523" s="8">
        <v>172.55873304949299</v>
      </c>
      <c r="G1523" s="7">
        <v>99946</v>
      </c>
      <c r="H1523" s="9">
        <v>17246555.133364622</v>
      </c>
      <c r="I1523" s="5" t="s">
        <v>2652</v>
      </c>
    </row>
    <row r="1524" spans="1:9" x14ac:dyDescent="0.25">
      <c r="A1524" s="6">
        <v>45996.677083333343</v>
      </c>
      <c r="B1524" s="5" t="s">
        <v>32</v>
      </c>
      <c r="C1524" s="8">
        <v>172.35751325094159</v>
      </c>
      <c r="D1524" s="8">
        <v>172.43774655431281</v>
      </c>
      <c r="E1524" s="8">
        <v>172.22091967482979</v>
      </c>
      <c r="F1524" s="8">
        <v>172.33713227211661</v>
      </c>
      <c r="G1524" s="7">
        <v>47517</v>
      </c>
      <c r="H1524" s="9">
        <v>8188943.5141741633</v>
      </c>
      <c r="I1524" s="5" t="s">
        <v>2653</v>
      </c>
    </row>
    <row r="1525" spans="1:9" x14ac:dyDescent="0.25">
      <c r="A1525" s="6">
        <v>45996.680555555547</v>
      </c>
      <c r="B1525" s="5" t="s">
        <v>32</v>
      </c>
      <c r="C1525" s="8">
        <v>172.2820340404854</v>
      </c>
      <c r="D1525" s="8">
        <v>172.28806192244809</v>
      </c>
      <c r="E1525" s="8">
        <v>172.23928588416689</v>
      </c>
      <c r="F1525" s="8">
        <v>172.27175859630611</v>
      </c>
      <c r="G1525" s="7">
        <v>48491</v>
      </c>
      <c r="H1525" s="9">
        <v>8353629.8460934767</v>
      </c>
      <c r="I1525" s="5" t="s">
        <v>2654</v>
      </c>
    </row>
    <row r="1526" spans="1:9" x14ac:dyDescent="0.25">
      <c r="A1526" s="6">
        <v>45996.684027777781</v>
      </c>
      <c r="B1526" s="5" t="s">
        <v>32</v>
      </c>
      <c r="C1526" s="8">
        <v>172.24001714354949</v>
      </c>
      <c r="D1526" s="8">
        <v>172.28092956110589</v>
      </c>
      <c r="E1526" s="8">
        <v>172.17623527644309</v>
      </c>
      <c r="F1526" s="8">
        <v>172.25425975855529</v>
      </c>
      <c r="G1526" s="7">
        <v>41975</v>
      </c>
      <c r="H1526" s="9">
        <v>7230372.5533653572</v>
      </c>
      <c r="I1526" s="5" t="s">
        <v>2655</v>
      </c>
    </row>
    <row r="1527" spans="1:9" x14ac:dyDescent="0.25">
      <c r="A1527" s="6">
        <v>45996.6875</v>
      </c>
      <c r="B1527" s="5" t="s">
        <v>32</v>
      </c>
      <c r="C1527" s="8">
        <v>172.17417119474379</v>
      </c>
      <c r="D1527" s="8">
        <v>172.29573648487121</v>
      </c>
      <c r="E1527" s="8">
        <v>172.13407421946991</v>
      </c>
      <c r="F1527" s="8">
        <v>172.1847790188385</v>
      </c>
      <c r="G1527" s="7">
        <v>28744</v>
      </c>
      <c r="H1527" s="9">
        <v>4949279.2881174944</v>
      </c>
      <c r="I1527" s="5" t="s">
        <v>2656</v>
      </c>
    </row>
    <row r="1528" spans="1:9" x14ac:dyDescent="0.25">
      <c r="A1528" s="6">
        <v>45996.690972222219</v>
      </c>
      <c r="B1528" s="5" t="s">
        <v>32</v>
      </c>
      <c r="C1528" s="8">
        <v>172.59137775121141</v>
      </c>
      <c r="D1528" s="8">
        <v>172.65389082841779</v>
      </c>
      <c r="E1528" s="8">
        <v>172.4769064951995</v>
      </c>
      <c r="F1528" s="8">
        <v>172.52807241309699</v>
      </c>
      <c r="G1528" s="7">
        <v>61025</v>
      </c>
      <c r="H1528" s="9">
        <v>10528525.61900924</v>
      </c>
      <c r="I1528" s="5" t="s">
        <v>2657</v>
      </c>
    </row>
    <row r="1529" spans="1:9" x14ac:dyDescent="0.25">
      <c r="A1529" s="6">
        <v>45996.694444444453</v>
      </c>
      <c r="B1529" s="5" t="s">
        <v>32</v>
      </c>
      <c r="C1529" s="8">
        <v>172.74124876894729</v>
      </c>
      <c r="D1529" s="8">
        <v>172.88365169043851</v>
      </c>
      <c r="E1529" s="8">
        <v>172.6603632174687</v>
      </c>
      <c r="F1529" s="8">
        <v>172.80379048933949</v>
      </c>
      <c r="G1529" s="7">
        <v>139206</v>
      </c>
      <c r="H1529" s="9">
        <v>24055324.458858989</v>
      </c>
      <c r="I1529" s="5" t="s">
        <v>2658</v>
      </c>
    </row>
    <row r="1530" spans="1:9" x14ac:dyDescent="0.25">
      <c r="A1530" s="6">
        <v>45996.697916666657</v>
      </c>
      <c r="B1530" s="5" t="s">
        <v>32</v>
      </c>
      <c r="C1530" s="8">
        <v>172.87457028164559</v>
      </c>
      <c r="D1530" s="8">
        <v>172.9224856502025</v>
      </c>
      <c r="E1530" s="8">
        <v>172.6925407926465</v>
      </c>
      <c r="F1530" s="8">
        <v>172.79340841539189</v>
      </c>
      <c r="G1530" s="7">
        <v>40936</v>
      </c>
      <c r="H1530" s="9">
        <v>7073470.9668924818</v>
      </c>
      <c r="I1530" s="5" t="s">
        <v>2659</v>
      </c>
    </row>
    <row r="1531" spans="1:9" x14ac:dyDescent="0.25">
      <c r="A1531" s="6">
        <v>45996.701388888891</v>
      </c>
      <c r="B1531" s="5" t="s">
        <v>32</v>
      </c>
      <c r="C1531" s="8">
        <v>172.92508136958389</v>
      </c>
      <c r="D1531" s="8">
        <v>173.01307884938021</v>
      </c>
      <c r="E1531" s="8">
        <v>172.7469112928494</v>
      </c>
      <c r="F1531" s="8">
        <v>172.98550428880591</v>
      </c>
      <c r="G1531" s="7">
        <v>43261</v>
      </c>
      <c r="H1531" s="9">
        <v>7483525.9010380302</v>
      </c>
      <c r="I1531" s="5" t="s">
        <v>2660</v>
      </c>
    </row>
    <row r="1532" spans="1:9" x14ac:dyDescent="0.25">
      <c r="A1532" s="6">
        <v>45996.704861111109</v>
      </c>
      <c r="B1532" s="5" t="s">
        <v>32</v>
      </c>
      <c r="C1532" s="8">
        <v>173.1831253150213</v>
      </c>
      <c r="D1532" s="8">
        <v>173.34835794633409</v>
      </c>
      <c r="E1532" s="8">
        <v>172.9932143332228</v>
      </c>
      <c r="F1532" s="8">
        <v>173.07964222039681</v>
      </c>
      <c r="G1532" s="7">
        <v>46815</v>
      </c>
      <c r="H1532" s="9">
        <v>8102723.4505478777</v>
      </c>
      <c r="I1532" s="5" t="s">
        <v>2661</v>
      </c>
    </row>
    <row r="1533" spans="1:9" x14ac:dyDescent="0.25">
      <c r="A1533" s="6">
        <v>45996.708333333343</v>
      </c>
      <c r="B1533" s="5" t="s">
        <v>32</v>
      </c>
      <c r="C1533" s="8">
        <v>173.39945684751521</v>
      </c>
      <c r="D1533" s="8">
        <v>173.40922242537169</v>
      </c>
      <c r="E1533" s="8">
        <v>173.26109995650941</v>
      </c>
      <c r="F1533" s="8">
        <v>173.37116648833049</v>
      </c>
      <c r="G1533" s="7">
        <v>28227</v>
      </c>
      <c r="H1533" s="9">
        <v>4893747.9164661048</v>
      </c>
      <c r="I1533" s="5" t="s">
        <v>2662</v>
      </c>
    </row>
    <row r="1534" spans="1:9" x14ac:dyDescent="0.25">
      <c r="A1534" s="6">
        <v>45996.711805555547</v>
      </c>
      <c r="B1534" s="5" t="s">
        <v>32</v>
      </c>
      <c r="C1534" s="8">
        <v>173.4157191952024</v>
      </c>
      <c r="D1534" s="8">
        <v>173.61342368320109</v>
      </c>
      <c r="E1534" s="8">
        <v>173.31759354846659</v>
      </c>
      <c r="F1534" s="8">
        <v>173.43781467949091</v>
      </c>
      <c r="G1534" s="7">
        <v>66131</v>
      </c>
      <c r="H1534" s="9">
        <v>11469616.12256941</v>
      </c>
      <c r="I1534" s="5" t="s">
        <v>2663</v>
      </c>
    </row>
    <row r="1535" spans="1:9" x14ac:dyDescent="0.25">
      <c r="A1535" s="6">
        <v>45996.715277777781</v>
      </c>
      <c r="B1535" s="5" t="s">
        <v>32</v>
      </c>
      <c r="C1535" s="8">
        <v>173.32782223458469</v>
      </c>
      <c r="D1535" s="8">
        <v>173.40953647309939</v>
      </c>
      <c r="E1535" s="8">
        <v>173.2695121332703</v>
      </c>
      <c r="F1535" s="8">
        <v>173.347534747541</v>
      </c>
      <c r="G1535" s="7">
        <v>44095</v>
      </c>
      <c r="H1535" s="9">
        <v>7643759.5446928218</v>
      </c>
      <c r="I1535" s="5" t="s">
        <v>2664</v>
      </c>
    </row>
    <row r="1536" spans="1:9" x14ac:dyDescent="0.25">
      <c r="A1536" s="6">
        <v>45996.71875</v>
      </c>
      <c r="B1536" s="5" t="s">
        <v>32</v>
      </c>
      <c r="C1536" s="8">
        <v>173.4889651767779</v>
      </c>
      <c r="D1536" s="8">
        <v>173.59873206037361</v>
      </c>
      <c r="E1536" s="8">
        <v>173.47950496042751</v>
      </c>
      <c r="F1536" s="8">
        <v>173.49715650947019</v>
      </c>
      <c r="G1536" s="7">
        <v>61427</v>
      </c>
      <c r="H1536" s="9">
        <v>10657409.83290723</v>
      </c>
      <c r="I1536" s="5" t="s">
        <v>2665</v>
      </c>
    </row>
    <row r="1537" spans="1:9" x14ac:dyDescent="0.25">
      <c r="A1537" s="6">
        <v>45996.722222222219</v>
      </c>
      <c r="B1537" s="5" t="s">
        <v>32</v>
      </c>
      <c r="C1537" s="8">
        <v>173.72443654267451</v>
      </c>
      <c r="D1537" s="8">
        <v>173.95587094742581</v>
      </c>
      <c r="E1537" s="8">
        <v>173.56180708071349</v>
      </c>
      <c r="F1537" s="8">
        <v>173.68671339160619</v>
      </c>
      <c r="G1537" s="7">
        <v>80175</v>
      </c>
      <c r="H1537" s="9">
        <v>13925332.24617203</v>
      </c>
      <c r="I1537" s="5" t="s">
        <v>2666</v>
      </c>
    </row>
    <row r="1538" spans="1:9" x14ac:dyDescent="0.25">
      <c r="A1538" s="6">
        <v>45996.725694444453</v>
      </c>
      <c r="B1538" s="5" t="s">
        <v>32</v>
      </c>
      <c r="C1538" s="8">
        <v>173.68763258325259</v>
      </c>
      <c r="D1538" s="8">
        <v>173.7856969508542</v>
      </c>
      <c r="E1538" s="8">
        <v>173.514615381813</v>
      </c>
      <c r="F1538" s="8">
        <v>173.73606528037831</v>
      </c>
      <c r="G1538" s="7">
        <v>26317</v>
      </c>
      <c r="H1538" s="9">
        <v>4572212.0299837161</v>
      </c>
      <c r="I1538" s="5" t="s">
        <v>2667</v>
      </c>
    </row>
    <row r="1539" spans="1:9" x14ac:dyDescent="0.25">
      <c r="A1539" s="6">
        <v>45996.729166666657</v>
      </c>
      <c r="B1539" s="5" t="s">
        <v>32</v>
      </c>
      <c r="C1539" s="8">
        <v>173.99600151684081</v>
      </c>
      <c r="D1539" s="8">
        <v>174.0551109283434</v>
      </c>
      <c r="E1539" s="8">
        <v>173.91304816120501</v>
      </c>
      <c r="F1539" s="8">
        <v>173.937751949258</v>
      </c>
      <c r="G1539" s="7">
        <v>68953</v>
      </c>
      <c r="H1539" s="9">
        <v>11993529.810157189</v>
      </c>
      <c r="I1539" s="5" t="s">
        <v>2668</v>
      </c>
    </row>
    <row r="1540" spans="1:9" x14ac:dyDescent="0.25">
      <c r="A1540" s="6">
        <v>45996.732638888891</v>
      </c>
      <c r="B1540" s="5" t="s">
        <v>32</v>
      </c>
      <c r="C1540" s="8">
        <v>173.98040282661009</v>
      </c>
      <c r="D1540" s="8">
        <v>174.109707831419</v>
      </c>
      <c r="E1540" s="8">
        <v>173.89364609487049</v>
      </c>
      <c r="F1540" s="8">
        <v>173.95629663381021</v>
      </c>
      <c r="G1540" s="7">
        <v>60621</v>
      </c>
      <c r="H1540" s="9">
        <v>10545404.65823821</v>
      </c>
      <c r="I1540" s="5" t="s">
        <v>2669</v>
      </c>
    </row>
    <row r="1541" spans="1:9" x14ac:dyDescent="0.25">
      <c r="A1541" s="6">
        <v>45996.736111111109</v>
      </c>
      <c r="B1541" s="5" t="s">
        <v>32</v>
      </c>
      <c r="C1541" s="8">
        <v>174.0132730566059</v>
      </c>
      <c r="D1541" s="8">
        <v>174.03455069690429</v>
      </c>
      <c r="E1541" s="8">
        <v>173.8564442205998</v>
      </c>
      <c r="F1541" s="8">
        <v>174.03412846012429</v>
      </c>
      <c r="G1541" s="7">
        <v>29541</v>
      </c>
      <c r="H1541" s="9">
        <v>5141142.1888405308</v>
      </c>
      <c r="I1541" s="5" t="s">
        <v>2670</v>
      </c>
    </row>
    <row r="1542" spans="1:9" x14ac:dyDescent="0.25">
      <c r="A1542" s="6">
        <v>45996.739583333343</v>
      </c>
      <c r="B1542" s="5" t="s">
        <v>32</v>
      </c>
      <c r="C1542" s="8">
        <v>174.05856618428351</v>
      </c>
      <c r="D1542" s="8">
        <v>174.20047994404001</v>
      </c>
      <c r="E1542" s="8">
        <v>174.0383091135744</v>
      </c>
      <c r="F1542" s="8">
        <v>174.08483227276059</v>
      </c>
      <c r="G1542" s="7">
        <v>69132</v>
      </c>
      <c r="H1542" s="9">
        <v>12034832.62468048</v>
      </c>
      <c r="I1542" s="5" t="s">
        <v>2671</v>
      </c>
    </row>
    <row r="1543" spans="1:9" x14ac:dyDescent="0.25">
      <c r="A1543" s="6">
        <v>45996.743055555547</v>
      </c>
      <c r="B1543" s="5" t="s">
        <v>32</v>
      </c>
      <c r="C1543" s="8">
        <v>174.18192899281459</v>
      </c>
      <c r="D1543" s="8">
        <v>174.2919587201356</v>
      </c>
      <c r="E1543" s="8">
        <v>174.0255072272486</v>
      </c>
      <c r="F1543" s="8">
        <v>174.2199684329444</v>
      </c>
      <c r="G1543" s="7">
        <v>64720</v>
      </c>
      <c r="H1543" s="9">
        <v>11275516.35698016</v>
      </c>
      <c r="I1543" s="5" t="s">
        <v>2672</v>
      </c>
    </row>
    <row r="1544" spans="1:9" x14ac:dyDescent="0.25">
      <c r="A1544" s="6">
        <v>45996.746527777781</v>
      </c>
      <c r="B1544" s="5" t="s">
        <v>32</v>
      </c>
      <c r="C1544" s="8">
        <v>174.36621403524779</v>
      </c>
      <c r="D1544" s="8">
        <v>174.43998934787689</v>
      </c>
      <c r="E1544" s="8">
        <v>174.24435577089321</v>
      </c>
      <c r="F1544" s="8">
        <v>174.33954668468121</v>
      </c>
      <c r="G1544" s="7">
        <v>93195</v>
      </c>
      <c r="H1544" s="9">
        <v>16247574.05327886</v>
      </c>
      <c r="I1544" s="5" t="s">
        <v>2673</v>
      </c>
    </row>
    <row r="1545" spans="1:9" x14ac:dyDescent="0.25">
      <c r="A1545" s="6">
        <v>45996.75</v>
      </c>
      <c r="B1545" s="5" t="s">
        <v>32</v>
      </c>
      <c r="C1545" s="8">
        <v>174.51750653489009</v>
      </c>
      <c r="D1545" s="8">
        <v>174.6083813180698</v>
      </c>
      <c r="E1545" s="8">
        <v>174.33223029977319</v>
      </c>
      <c r="F1545" s="8">
        <v>174.41899616292039</v>
      </c>
      <c r="G1545" s="7">
        <v>91812</v>
      </c>
      <c r="H1545" s="9">
        <v>16013756.87571004</v>
      </c>
      <c r="I1545" s="5" t="s">
        <v>2674</v>
      </c>
    </row>
    <row r="1546" spans="1:9" x14ac:dyDescent="0.25">
      <c r="A1546" s="6">
        <v>45996.753472222219</v>
      </c>
      <c r="B1546" s="5" t="s">
        <v>32</v>
      </c>
      <c r="C1546" s="8">
        <v>174.7020427729145</v>
      </c>
      <c r="D1546" s="8">
        <v>174.72746679685099</v>
      </c>
      <c r="E1546" s="8">
        <v>174.60601130991441</v>
      </c>
      <c r="F1546" s="8">
        <v>174.64366219298881</v>
      </c>
      <c r="G1546" s="7">
        <v>98080</v>
      </c>
      <c r="H1546" s="9">
        <v>17129050.387888338</v>
      </c>
      <c r="I1546" s="5" t="s">
        <v>2675</v>
      </c>
    </row>
    <row r="1547" spans="1:9" x14ac:dyDescent="0.25">
      <c r="A1547" s="6">
        <v>45996.756944444453</v>
      </c>
      <c r="B1547" s="5" t="s">
        <v>32</v>
      </c>
      <c r="C1547" s="8">
        <v>174.57949622443559</v>
      </c>
      <c r="D1547" s="8">
        <v>174.5996925276811</v>
      </c>
      <c r="E1547" s="8">
        <v>174.46747195065711</v>
      </c>
      <c r="F1547" s="8">
        <v>174.53054479242931</v>
      </c>
      <c r="G1547" s="7">
        <v>53634</v>
      </c>
      <c r="H1547" s="9">
        <v>9360771.2393971514</v>
      </c>
      <c r="I1547" s="5" t="s">
        <v>2676</v>
      </c>
    </row>
    <row r="1548" spans="1:9" x14ac:dyDescent="0.25">
      <c r="A1548" s="6">
        <v>45996.760416666657</v>
      </c>
      <c r="B1548" s="5" t="s">
        <v>32</v>
      </c>
      <c r="C1548" s="8">
        <v>174.48517069828429</v>
      </c>
      <c r="D1548" s="8">
        <v>174.54873986994559</v>
      </c>
      <c r="E1548" s="8">
        <v>174.45290669899049</v>
      </c>
      <c r="F1548" s="8">
        <v>174.4554955052696</v>
      </c>
      <c r="G1548" s="7">
        <v>56232</v>
      </c>
      <c r="H1548" s="9">
        <v>9809981.4232523199</v>
      </c>
      <c r="I1548" s="5" t="s">
        <v>2677</v>
      </c>
    </row>
    <row r="1549" spans="1:9" x14ac:dyDescent="0.25">
      <c r="A1549" s="6">
        <v>45996.763888888891</v>
      </c>
      <c r="B1549" s="5" t="s">
        <v>32</v>
      </c>
      <c r="C1549" s="8">
        <v>174.5820699463797</v>
      </c>
      <c r="D1549" s="8">
        <v>174.73138835911851</v>
      </c>
      <c r="E1549" s="8">
        <v>174.47639694621441</v>
      </c>
      <c r="F1549" s="8">
        <v>174.52599359688881</v>
      </c>
      <c r="G1549" s="7">
        <v>47871</v>
      </c>
      <c r="H1549" s="9">
        <v>8354733.8394766618</v>
      </c>
      <c r="I1549" s="5" t="s">
        <v>2678</v>
      </c>
    </row>
    <row r="1550" spans="1:9" x14ac:dyDescent="0.25">
      <c r="A1550" s="6">
        <v>45996.767361111109</v>
      </c>
      <c r="B1550" s="5" t="s">
        <v>32</v>
      </c>
      <c r="C1550" s="8">
        <v>174.49918042268021</v>
      </c>
      <c r="D1550" s="8">
        <v>174.6738242124018</v>
      </c>
      <c r="E1550" s="8">
        <v>174.3345254322532</v>
      </c>
      <c r="F1550" s="8">
        <v>174.50326251509941</v>
      </c>
      <c r="G1550" s="7">
        <v>56152</v>
      </c>
      <c r="H1550" s="9">
        <v>9798707.1967478618</v>
      </c>
      <c r="I1550" s="5" t="s">
        <v>2679</v>
      </c>
    </row>
    <row r="1551" spans="1:9" x14ac:dyDescent="0.25">
      <c r="A1551" s="6">
        <v>45996.770833333343</v>
      </c>
      <c r="B1551" s="5" t="s">
        <v>32</v>
      </c>
      <c r="C1551" s="8">
        <v>174.55296870341741</v>
      </c>
      <c r="D1551" s="8">
        <v>174.61261504331119</v>
      </c>
      <c r="E1551" s="8">
        <v>174.2718834314812</v>
      </c>
      <c r="F1551" s="8">
        <v>174.4743210858876</v>
      </c>
      <c r="G1551" s="7">
        <v>47871</v>
      </c>
      <c r="H1551" s="9">
        <v>8352260.2247025268</v>
      </c>
      <c r="I1551" s="5" t="s">
        <v>2680</v>
      </c>
    </row>
    <row r="1552" spans="1:9" x14ac:dyDescent="0.25">
      <c r="A1552" s="6">
        <v>45996.774305555547</v>
      </c>
      <c r="B1552" s="5" t="s">
        <v>32</v>
      </c>
      <c r="C1552" s="8">
        <v>174.64037432285829</v>
      </c>
      <c r="D1552" s="8">
        <v>174.9631435292641</v>
      </c>
      <c r="E1552" s="8">
        <v>174.55495788114669</v>
      </c>
      <c r="F1552" s="8">
        <v>174.66313053491351</v>
      </c>
      <c r="G1552" s="7">
        <v>43791</v>
      </c>
      <c r="H1552" s="9">
        <v>7648673.1492543966</v>
      </c>
      <c r="I1552" s="5" t="s">
        <v>2681</v>
      </c>
    </row>
    <row r="1553" spans="1:9" x14ac:dyDescent="0.25">
      <c r="A1553" s="6">
        <v>45996.777777777781</v>
      </c>
      <c r="B1553" s="5" t="s">
        <v>32</v>
      </c>
      <c r="C1553" s="8">
        <v>174.77159095759521</v>
      </c>
      <c r="D1553" s="8">
        <v>174.9214352900957</v>
      </c>
      <c r="E1553" s="8">
        <v>174.63416881140949</v>
      </c>
      <c r="F1553" s="8">
        <v>174.78445357256979</v>
      </c>
      <c r="G1553" s="7">
        <v>35228</v>
      </c>
      <c r="H1553" s="9">
        <v>6157306.7304544887</v>
      </c>
      <c r="I1553" s="5" t="s">
        <v>2682</v>
      </c>
    </row>
    <row r="1554" spans="1:9" x14ac:dyDescent="0.25">
      <c r="A1554" s="6">
        <v>45996.78125</v>
      </c>
      <c r="B1554" s="5" t="s">
        <v>32</v>
      </c>
      <c r="C1554" s="8">
        <v>175.0889091975269</v>
      </c>
      <c r="D1554" s="8">
        <v>175.1055587513946</v>
      </c>
      <c r="E1554" s="8">
        <v>174.863588238842</v>
      </c>
      <c r="F1554" s="8">
        <v>175.0286983672159</v>
      </c>
      <c r="G1554" s="7">
        <v>82249</v>
      </c>
      <c r="H1554" s="9">
        <v>14395935.41200514</v>
      </c>
      <c r="I1554" s="5" t="s">
        <v>2683</v>
      </c>
    </row>
    <row r="1555" spans="1:9" x14ac:dyDescent="0.25">
      <c r="A1555" s="6">
        <v>45996.784722222219</v>
      </c>
      <c r="B1555" s="5" t="s">
        <v>32</v>
      </c>
      <c r="C1555" s="8">
        <v>175.40790710587979</v>
      </c>
      <c r="D1555" s="8">
        <v>175.4611573914521</v>
      </c>
      <c r="E1555" s="8">
        <v>175.32436744781879</v>
      </c>
      <c r="F1555" s="8">
        <v>175.42446441635181</v>
      </c>
      <c r="G1555" s="7">
        <v>71284</v>
      </c>
      <c r="H1555" s="9">
        <v>12504957.521455221</v>
      </c>
      <c r="I1555" s="5" t="s">
        <v>2684</v>
      </c>
    </row>
    <row r="1556" spans="1:9" x14ac:dyDescent="0.25">
      <c r="A1556" s="6">
        <v>45996.788194444453</v>
      </c>
      <c r="B1556" s="5" t="s">
        <v>32</v>
      </c>
      <c r="C1556" s="8">
        <v>175.3404298595409</v>
      </c>
      <c r="D1556" s="8">
        <v>175.4915350619826</v>
      </c>
      <c r="E1556" s="8">
        <v>175.23646256869651</v>
      </c>
      <c r="F1556" s="8">
        <v>175.41916340913721</v>
      </c>
      <c r="G1556" s="7">
        <v>40736</v>
      </c>
      <c r="H1556" s="9">
        <v>7145875.0406346144</v>
      </c>
      <c r="I1556" s="5" t="s">
        <v>2685</v>
      </c>
    </row>
    <row r="1557" spans="1:9" x14ac:dyDescent="0.25">
      <c r="A1557" s="6">
        <v>45996.791666666657</v>
      </c>
      <c r="B1557" s="5" t="s">
        <v>32</v>
      </c>
      <c r="C1557" s="8">
        <v>175.51926021786079</v>
      </c>
      <c r="D1557" s="8">
        <v>175.60146522338829</v>
      </c>
      <c r="E1557" s="8">
        <v>175.27823800532329</v>
      </c>
      <c r="F1557" s="8">
        <v>175.46377843394859</v>
      </c>
      <c r="G1557" s="7">
        <v>73856</v>
      </c>
      <c r="H1557" s="9">
        <v>12959052.82001771</v>
      </c>
      <c r="I1557" s="5" t="s">
        <v>2686</v>
      </c>
    </row>
    <row r="1558" spans="1:9" x14ac:dyDescent="0.25">
      <c r="A1558" s="6">
        <v>45996.795138888891</v>
      </c>
      <c r="B1558" s="5" t="s">
        <v>32</v>
      </c>
      <c r="C1558" s="8">
        <v>175.18531769814061</v>
      </c>
      <c r="D1558" s="8">
        <v>175.323596528569</v>
      </c>
      <c r="E1558" s="8">
        <v>175.01492932378969</v>
      </c>
      <c r="F1558" s="8">
        <v>175.2905958283045</v>
      </c>
      <c r="G1558" s="7">
        <v>55184</v>
      </c>
      <c r="H1558" s="9">
        <v>9673236.2401891537</v>
      </c>
      <c r="I1558" s="5" t="s">
        <v>2687</v>
      </c>
    </row>
    <row r="1559" spans="1:9" x14ac:dyDescent="0.25">
      <c r="A1559" s="6">
        <v>45996.798611111109</v>
      </c>
      <c r="B1559" s="5" t="s">
        <v>32</v>
      </c>
      <c r="C1559" s="8">
        <v>175.5161741769526</v>
      </c>
      <c r="D1559" s="8">
        <v>175.53030356371119</v>
      </c>
      <c r="E1559" s="8">
        <v>175.388615839827</v>
      </c>
      <c r="F1559" s="8">
        <v>175.48680070337181</v>
      </c>
      <c r="G1559" s="7">
        <v>61112</v>
      </c>
      <c r="H1559" s="9">
        <v>10724349.364584461</v>
      </c>
      <c r="I1559" s="5" t="s">
        <v>2688</v>
      </c>
    </row>
    <row r="1560" spans="1:9" x14ac:dyDescent="0.25">
      <c r="A1560" s="6">
        <v>45996.802083333343</v>
      </c>
      <c r="B1560" s="5" t="s">
        <v>32</v>
      </c>
      <c r="C1560" s="8">
        <v>175.67219163001161</v>
      </c>
      <c r="D1560" s="8">
        <v>175.77818250476389</v>
      </c>
      <c r="E1560" s="8">
        <v>175.43899584416079</v>
      </c>
      <c r="F1560" s="8">
        <v>175.61292902800639</v>
      </c>
      <c r="G1560" s="7">
        <v>56950</v>
      </c>
      <c r="H1560" s="9">
        <v>10001156.30814497</v>
      </c>
      <c r="I1560" s="5" t="s">
        <v>2689</v>
      </c>
    </row>
    <row r="1561" spans="1:9" x14ac:dyDescent="0.25">
      <c r="A1561" s="6">
        <v>45996.805555555547</v>
      </c>
      <c r="B1561" s="5" t="s">
        <v>32</v>
      </c>
      <c r="C1561" s="8">
        <v>175.63128496621911</v>
      </c>
      <c r="D1561" s="8">
        <v>175.66173949941199</v>
      </c>
      <c r="E1561" s="8">
        <v>175.5742442991689</v>
      </c>
      <c r="F1561" s="8">
        <v>175.62187775631099</v>
      </c>
      <c r="G1561" s="7">
        <v>71959</v>
      </c>
      <c r="H1561" s="9">
        <v>12637574.701466391</v>
      </c>
      <c r="I1561" s="5" t="s">
        <v>2690</v>
      </c>
    </row>
    <row r="1562" spans="1:9" x14ac:dyDescent="0.25">
      <c r="A1562" s="6">
        <v>45996.809027777781</v>
      </c>
      <c r="B1562" s="5" t="s">
        <v>32</v>
      </c>
      <c r="C1562" s="8">
        <v>175.54830805484269</v>
      </c>
      <c r="D1562" s="8">
        <v>175.62479674863249</v>
      </c>
      <c r="E1562" s="8">
        <v>175.4621906556458</v>
      </c>
      <c r="F1562" s="8">
        <v>175.5239255867713</v>
      </c>
      <c r="G1562" s="7">
        <v>53158</v>
      </c>
      <c r="H1562" s="9">
        <v>9330500.8363415897</v>
      </c>
      <c r="I1562" s="5" t="s">
        <v>2691</v>
      </c>
    </row>
    <row r="1563" spans="1:9" x14ac:dyDescent="0.25">
      <c r="A1563" s="6">
        <v>45996.8125</v>
      </c>
      <c r="B1563" s="5" t="s">
        <v>32</v>
      </c>
      <c r="C1563" s="8">
        <v>175.60294969001029</v>
      </c>
      <c r="D1563" s="8">
        <v>175.67010372403621</v>
      </c>
      <c r="E1563" s="8">
        <v>175.59515575079271</v>
      </c>
      <c r="F1563" s="8">
        <v>175.60530095148621</v>
      </c>
      <c r="G1563" s="7">
        <v>53029</v>
      </c>
      <c r="H1563" s="9">
        <v>9312173.5041563641</v>
      </c>
      <c r="I1563" s="5" t="s">
        <v>2692</v>
      </c>
    </row>
    <row r="1564" spans="1:9" x14ac:dyDescent="0.25">
      <c r="A1564" s="6">
        <v>45996.815972222219</v>
      </c>
      <c r="B1564" s="5" t="s">
        <v>32</v>
      </c>
      <c r="C1564" s="8">
        <v>175.5835881577672</v>
      </c>
      <c r="D1564" s="8">
        <v>175.70541044176579</v>
      </c>
      <c r="E1564" s="8">
        <v>175.38917472284919</v>
      </c>
      <c r="F1564" s="8">
        <v>175.56798567996901</v>
      </c>
      <c r="G1564" s="7">
        <v>50274</v>
      </c>
      <c r="H1564" s="9">
        <v>8826504.9120747596</v>
      </c>
      <c r="I1564" s="5" t="s">
        <v>2693</v>
      </c>
    </row>
    <row r="1565" spans="1:9" x14ac:dyDescent="0.25">
      <c r="A1565" s="6">
        <v>45996.819444444453</v>
      </c>
      <c r="B1565" s="5" t="s">
        <v>32</v>
      </c>
      <c r="C1565" s="8">
        <v>175.4609537850377</v>
      </c>
      <c r="D1565" s="8">
        <v>175.55552093065319</v>
      </c>
      <c r="E1565" s="8">
        <v>175.3396921224363</v>
      </c>
      <c r="F1565" s="8">
        <v>175.50378331515671</v>
      </c>
      <c r="G1565" s="7">
        <v>84890</v>
      </c>
      <c r="H1565" s="9">
        <v>14898516.165623659</v>
      </c>
      <c r="I1565" s="5" t="s">
        <v>2694</v>
      </c>
    </row>
    <row r="1566" spans="1:9" x14ac:dyDescent="0.25">
      <c r="A1566" s="6">
        <v>45996.822916666657</v>
      </c>
      <c r="B1566" s="5" t="s">
        <v>32</v>
      </c>
      <c r="C1566" s="8">
        <v>175.33003935901871</v>
      </c>
      <c r="D1566" s="8">
        <v>175.44850762439421</v>
      </c>
      <c r="E1566" s="8">
        <v>175.28144854596599</v>
      </c>
      <c r="F1566" s="8">
        <v>175.40670940991899</v>
      </c>
      <c r="G1566" s="7">
        <v>39421</v>
      </c>
      <c r="H1566" s="9">
        <v>6914707.8916484183</v>
      </c>
      <c r="I1566" s="5" t="s">
        <v>2695</v>
      </c>
    </row>
    <row r="1567" spans="1:9" x14ac:dyDescent="0.25">
      <c r="A1567" s="6">
        <v>45996.826388888891</v>
      </c>
      <c r="B1567" s="5" t="s">
        <v>32</v>
      </c>
      <c r="C1567" s="8">
        <v>175.45735501170901</v>
      </c>
      <c r="D1567" s="8">
        <v>175.52513737494559</v>
      </c>
      <c r="E1567" s="8">
        <v>175.38150465713909</v>
      </c>
      <c r="F1567" s="8">
        <v>175.4358702104341</v>
      </c>
      <c r="G1567" s="7">
        <v>71004</v>
      </c>
      <c r="H1567" s="9">
        <v>12456648.528421661</v>
      </c>
      <c r="I1567" s="5" t="s">
        <v>2696</v>
      </c>
    </row>
    <row r="1568" spans="1:9" x14ac:dyDescent="0.25">
      <c r="A1568" s="6">
        <v>45996.829861111109</v>
      </c>
      <c r="B1568" s="5" t="s">
        <v>32</v>
      </c>
      <c r="C1568" s="8">
        <v>175.45177709782001</v>
      </c>
      <c r="D1568" s="8">
        <v>175.4766295103878</v>
      </c>
      <c r="E1568" s="8">
        <v>175.3436074243175</v>
      </c>
      <c r="F1568" s="8">
        <v>175.40788525217829</v>
      </c>
      <c r="G1568" s="7">
        <v>59883</v>
      </c>
      <c r="H1568" s="9">
        <v>10503950.3925562</v>
      </c>
      <c r="I1568" s="5" t="s">
        <v>2697</v>
      </c>
    </row>
    <row r="1569" spans="1:9" x14ac:dyDescent="0.25">
      <c r="A1569" s="6">
        <v>45996.833333333343</v>
      </c>
      <c r="B1569" s="5" t="s">
        <v>32</v>
      </c>
      <c r="C1569" s="8">
        <v>175.37737080604671</v>
      </c>
      <c r="D1569" s="8">
        <v>175.4663054386271</v>
      </c>
      <c r="E1569" s="8">
        <v>175.32559832825839</v>
      </c>
      <c r="F1569" s="8">
        <v>175.36589734129419</v>
      </c>
      <c r="G1569" s="7">
        <v>67500</v>
      </c>
      <c r="H1569" s="9">
        <v>11837198.07053736</v>
      </c>
      <c r="I1569" s="5" t="s">
        <v>2698</v>
      </c>
    </row>
    <row r="1570" spans="1:9" x14ac:dyDescent="0.25">
      <c r="A1570" s="6">
        <v>45996.836805555547</v>
      </c>
      <c r="B1570" s="5" t="s">
        <v>32</v>
      </c>
      <c r="C1570" s="8">
        <v>175.7126031931524</v>
      </c>
      <c r="D1570" s="8">
        <v>175.88675031272251</v>
      </c>
      <c r="E1570" s="8">
        <v>175.61186131749579</v>
      </c>
      <c r="F1570" s="8">
        <v>175.7470321377395</v>
      </c>
      <c r="G1570" s="7">
        <v>53958</v>
      </c>
      <c r="H1570" s="9">
        <v>9482958.3600881491</v>
      </c>
      <c r="I1570" s="5" t="s">
        <v>2699</v>
      </c>
    </row>
    <row r="1571" spans="1:9" x14ac:dyDescent="0.25">
      <c r="A1571" s="6">
        <v>45996.840277777781</v>
      </c>
      <c r="B1571" s="5" t="s">
        <v>32</v>
      </c>
      <c r="C1571" s="8">
        <v>175.62775368985501</v>
      </c>
      <c r="D1571" s="8">
        <v>175.9539728280474</v>
      </c>
      <c r="E1571" s="8">
        <v>175.547381701315</v>
      </c>
      <c r="F1571" s="8">
        <v>175.7452288158641</v>
      </c>
      <c r="G1571" s="7">
        <v>36594</v>
      </c>
      <c r="H1571" s="9">
        <v>6431220.903287732</v>
      </c>
      <c r="I1571" s="5" t="s">
        <v>2700</v>
      </c>
    </row>
    <row r="1572" spans="1:9" x14ac:dyDescent="0.25">
      <c r="A1572" s="6">
        <v>45996.84375</v>
      </c>
      <c r="B1572" s="5" t="s">
        <v>32</v>
      </c>
      <c r="C1572" s="8">
        <v>175.91357313945261</v>
      </c>
      <c r="D1572" s="8">
        <v>176.2366559390166</v>
      </c>
      <c r="E1572" s="8">
        <v>175.7934026617898</v>
      </c>
      <c r="F1572" s="8">
        <v>175.85017804081019</v>
      </c>
      <c r="G1572" s="7">
        <v>60411</v>
      </c>
      <c r="H1572" s="9">
        <v>10623285.105623391</v>
      </c>
      <c r="I1572" s="5" t="s">
        <v>2701</v>
      </c>
    </row>
    <row r="1573" spans="1:9" x14ac:dyDescent="0.25">
      <c r="A1573" s="6">
        <v>45996.847222222219</v>
      </c>
      <c r="B1573" s="5" t="s">
        <v>32</v>
      </c>
      <c r="C1573" s="8">
        <v>175.81481205897151</v>
      </c>
      <c r="D1573" s="8">
        <v>175.82202805267889</v>
      </c>
      <c r="E1573" s="8">
        <v>175.739964941707</v>
      </c>
      <c r="F1573" s="8">
        <v>175.7952567111553</v>
      </c>
      <c r="G1573" s="7">
        <v>112883</v>
      </c>
      <c r="H1573" s="9">
        <v>19844295.96332534</v>
      </c>
      <c r="I1573" s="5" t="s">
        <v>2702</v>
      </c>
    </row>
    <row r="1574" spans="1:9" x14ac:dyDescent="0.25">
      <c r="A1574" s="6">
        <v>45996.850694444453</v>
      </c>
      <c r="B1574" s="5" t="s">
        <v>32</v>
      </c>
      <c r="C1574" s="8">
        <v>175.77729413007751</v>
      </c>
      <c r="D1574" s="8">
        <v>175.98637924749869</v>
      </c>
      <c r="E1574" s="8">
        <v>175.66092427706789</v>
      </c>
      <c r="F1574" s="8">
        <v>175.8414978903088</v>
      </c>
      <c r="G1574" s="7">
        <v>98677</v>
      </c>
      <c r="H1574" s="9">
        <v>17351511.487321999</v>
      </c>
      <c r="I1574" s="5" t="s">
        <v>2703</v>
      </c>
    </row>
    <row r="1575" spans="1:9" x14ac:dyDescent="0.25">
      <c r="A1575" s="6">
        <v>45996.854166666657</v>
      </c>
      <c r="B1575" s="5" t="s">
        <v>32</v>
      </c>
      <c r="C1575" s="8">
        <v>175.94735723009569</v>
      </c>
      <c r="D1575" s="8">
        <v>176.15317807836379</v>
      </c>
      <c r="E1575" s="8">
        <v>175.89365883691141</v>
      </c>
      <c r="F1575" s="8">
        <v>175.9010910541279</v>
      </c>
      <c r="G1575" s="7">
        <v>48300</v>
      </c>
      <c r="H1575" s="9">
        <v>8496022.6979143769</v>
      </c>
      <c r="I1575" s="5" t="s">
        <v>2704</v>
      </c>
    </row>
    <row r="1576" spans="1:9" x14ac:dyDescent="0.25">
      <c r="A1576" s="6">
        <v>45996.857638888891</v>
      </c>
      <c r="B1576" s="5" t="s">
        <v>32</v>
      </c>
      <c r="C1576" s="8">
        <v>176.1100230864383</v>
      </c>
      <c r="D1576" s="8">
        <v>176.248488239625</v>
      </c>
      <c r="E1576" s="8">
        <v>176.05481111404211</v>
      </c>
      <c r="F1576" s="8">
        <v>176.12790969887109</v>
      </c>
      <c r="G1576" s="7">
        <v>50891</v>
      </c>
      <c r="H1576" s="9">
        <v>8963325.4524852503</v>
      </c>
      <c r="I1576" s="5" t="s">
        <v>2705</v>
      </c>
    </row>
    <row r="1577" spans="1:9" x14ac:dyDescent="0.25">
      <c r="A1577" s="6">
        <v>45996.861111111109</v>
      </c>
      <c r="B1577" s="5" t="s">
        <v>32</v>
      </c>
      <c r="C1577" s="8">
        <v>176.19306352929439</v>
      </c>
      <c r="D1577" s="8">
        <v>176.27200090155671</v>
      </c>
      <c r="E1577" s="8">
        <v>176.00448368713469</v>
      </c>
      <c r="F1577" s="8">
        <v>176.17592815006</v>
      </c>
      <c r="G1577" s="7">
        <v>51887</v>
      </c>
      <c r="H1577" s="9">
        <v>9141240.3839221634</v>
      </c>
      <c r="I1577" s="5" t="s">
        <v>2706</v>
      </c>
    </row>
    <row r="1578" spans="1:9" x14ac:dyDescent="0.25">
      <c r="A1578" s="6">
        <v>45996.864583333343</v>
      </c>
      <c r="B1578" s="5" t="s">
        <v>32</v>
      </c>
      <c r="C1578" s="8">
        <v>176.2415005154198</v>
      </c>
      <c r="D1578" s="8">
        <v>176.35007394677891</v>
      </c>
      <c r="E1578" s="8">
        <v>176.1837293375938</v>
      </c>
      <c r="F1578" s="8">
        <v>176.2883198787417</v>
      </c>
      <c r="G1578" s="7">
        <v>63639</v>
      </c>
      <c r="H1578" s="9">
        <v>11218812.38876324</v>
      </c>
      <c r="I1578" s="5" t="s">
        <v>2707</v>
      </c>
    </row>
    <row r="1579" spans="1:9" x14ac:dyDescent="0.25">
      <c r="A1579" s="6">
        <v>45996.868055555547</v>
      </c>
      <c r="B1579" s="5" t="s">
        <v>32</v>
      </c>
      <c r="C1579" s="8">
        <v>176.32823517316919</v>
      </c>
      <c r="D1579" s="8">
        <v>176.33194061665739</v>
      </c>
      <c r="E1579" s="8">
        <v>176.21777282941741</v>
      </c>
      <c r="F1579" s="8">
        <v>176.31608888227771</v>
      </c>
      <c r="G1579" s="7">
        <v>82549</v>
      </c>
      <c r="H1579" s="9">
        <v>14554716.821143139</v>
      </c>
      <c r="I1579" s="5" t="s">
        <v>2708</v>
      </c>
    </row>
    <row r="1580" spans="1:9" x14ac:dyDescent="0.25">
      <c r="A1580" s="6">
        <v>45996.871527777781</v>
      </c>
      <c r="B1580" s="5" t="s">
        <v>32</v>
      </c>
      <c r="C1580" s="8">
        <v>176.25956893990451</v>
      </c>
      <c r="D1580" s="8">
        <v>176.30947934870031</v>
      </c>
      <c r="E1580" s="8">
        <v>176.17359096150949</v>
      </c>
      <c r="F1580" s="8">
        <v>176.25108826993409</v>
      </c>
      <c r="G1580" s="7">
        <v>72045</v>
      </c>
      <c r="H1580" s="9">
        <v>12698009.654407401</v>
      </c>
      <c r="I1580" s="5" t="s">
        <v>2709</v>
      </c>
    </row>
    <row r="1581" spans="1:9" x14ac:dyDescent="0.25">
      <c r="A1581" s="6">
        <v>45996.875</v>
      </c>
      <c r="B1581" s="5" t="s">
        <v>32</v>
      </c>
      <c r="C1581" s="8">
        <v>176.18666398666531</v>
      </c>
      <c r="D1581" s="8">
        <v>176.21236496638841</v>
      </c>
      <c r="E1581" s="8">
        <v>176.13271427621351</v>
      </c>
      <c r="F1581" s="8">
        <v>176.20231350647629</v>
      </c>
      <c r="G1581" s="7">
        <v>41908</v>
      </c>
      <c r="H1581" s="9">
        <v>7384286.5544294072</v>
      </c>
      <c r="I1581" s="5" t="s">
        <v>2710</v>
      </c>
    </row>
    <row r="1582" spans="1:9" x14ac:dyDescent="0.25">
      <c r="A1582" s="6">
        <v>45992.604166666657</v>
      </c>
      <c r="B1582" s="5" t="s">
        <v>24</v>
      </c>
      <c r="C1582" s="8">
        <v>244.76259722158011</v>
      </c>
      <c r="D1582" s="8">
        <v>244.8059228342016</v>
      </c>
      <c r="E1582" s="8">
        <v>244.6713699843605</v>
      </c>
      <c r="F1582" s="8">
        <v>244.7898467317078</v>
      </c>
      <c r="G1582" s="7">
        <v>51974</v>
      </c>
      <c r="H1582" s="9">
        <v>12722707.49403378</v>
      </c>
      <c r="I1582" s="5" t="s">
        <v>2711</v>
      </c>
    </row>
    <row r="1583" spans="1:9" x14ac:dyDescent="0.25">
      <c r="A1583" s="6">
        <v>45992.607638888891</v>
      </c>
      <c r="B1583" s="5" t="s">
        <v>24</v>
      </c>
      <c r="C1583" s="8">
        <v>244.65779588120549</v>
      </c>
      <c r="D1583" s="8">
        <v>244.9426841209642</v>
      </c>
      <c r="E1583" s="8">
        <v>244.6180626369781</v>
      </c>
      <c r="F1583" s="8">
        <v>244.61930893170549</v>
      </c>
      <c r="G1583" s="7">
        <v>47893</v>
      </c>
      <c r="H1583" s="9">
        <v>11715552.56266617</v>
      </c>
      <c r="I1583" s="5" t="s">
        <v>2712</v>
      </c>
    </row>
    <row r="1584" spans="1:9" x14ac:dyDescent="0.25">
      <c r="A1584" s="6">
        <v>45992.611111111109</v>
      </c>
      <c r="B1584" s="5" t="s">
        <v>24</v>
      </c>
      <c r="C1584" s="8">
        <v>244.6432397424243</v>
      </c>
      <c r="D1584" s="8">
        <v>245.0736192693852</v>
      </c>
      <c r="E1584" s="8">
        <v>244.46495934820669</v>
      </c>
      <c r="F1584" s="8">
        <v>244.62855630644461</v>
      </c>
      <c r="G1584" s="7">
        <v>77232</v>
      </c>
      <c r="H1584" s="9">
        <v>18893152.660659321</v>
      </c>
      <c r="I1584" s="5" t="s">
        <v>2713</v>
      </c>
    </row>
    <row r="1585" spans="1:9" x14ac:dyDescent="0.25">
      <c r="A1585" s="6">
        <v>45992.614583333343</v>
      </c>
      <c r="B1585" s="5" t="s">
        <v>24</v>
      </c>
      <c r="C1585" s="8">
        <v>245.03128097223279</v>
      </c>
      <c r="D1585" s="8">
        <v>245.1655387205906</v>
      </c>
      <c r="E1585" s="8">
        <v>244.8920083103082</v>
      </c>
      <c r="F1585" s="8">
        <v>244.97357447235589</v>
      </c>
      <c r="G1585" s="7">
        <v>104184</v>
      </c>
      <c r="H1585" s="9">
        <v>25522326.882827919</v>
      </c>
      <c r="I1585" s="5" t="s">
        <v>2714</v>
      </c>
    </row>
    <row r="1586" spans="1:9" x14ac:dyDescent="0.25">
      <c r="A1586" s="6">
        <v>45992.618055555547</v>
      </c>
      <c r="B1586" s="5" t="s">
        <v>24</v>
      </c>
      <c r="C1586" s="8">
        <v>244.68233387727861</v>
      </c>
      <c r="D1586" s="8">
        <v>244.81842714086849</v>
      </c>
      <c r="E1586" s="8">
        <v>244.5529802793975</v>
      </c>
      <c r="F1586" s="8">
        <v>244.6881770031269</v>
      </c>
      <c r="G1586" s="7">
        <v>65887</v>
      </c>
      <c r="H1586" s="9">
        <v>16121769.918205019</v>
      </c>
      <c r="I1586" s="5" t="s">
        <v>2715</v>
      </c>
    </row>
    <row r="1587" spans="1:9" x14ac:dyDescent="0.25">
      <c r="A1587" s="6">
        <v>45992.621527777781</v>
      </c>
      <c r="B1587" s="5" t="s">
        <v>24</v>
      </c>
      <c r="C1587" s="8">
        <v>245.056760020556</v>
      </c>
      <c r="D1587" s="8">
        <v>245.07925761817651</v>
      </c>
      <c r="E1587" s="8">
        <v>245.02279673539351</v>
      </c>
      <c r="F1587" s="8">
        <v>245.0450065318538</v>
      </c>
      <c r="G1587" s="7">
        <v>46606</v>
      </c>
      <c r="H1587" s="9">
        <v>11420567.574423579</v>
      </c>
      <c r="I1587" s="5" t="s">
        <v>2716</v>
      </c>
    </row>
    <row r="1588" spans="1:9" x14ac:dyDescent="0.25">
      <c r="A1588" s="6">
        <v>45992.625</v>
      </c>
      <c r="B1588" s="5" t="s">
        <v>24</v>
      </c>
      <c r="C1588" s="8">
        <v>244.6063181076432</v>
      </c>
      <c r="D1588" s="8">
        <v>244.6672240394862</v>
      </c>
      <c r="E1588" s="8">
        <v>244.54435520725181</v>
      </c>
      <c r="F1588" s="8">
        <v>244.60735735524841</v>
      </c>
      <c r="G1588" s="7">
        <v>40605</v>
      </c>
      <c r="H1588" s="9">
        <v>9932281.7454098593</v>
      </c>
      <c r="I1588" s="5" t="s">
        <v>2717</v>
      </c>
    </row>
    <row r="1589" spans="1:9" x14ac:dyDescent="0.25">
      <c r="A1589" s="6">
        <v>45992.628472222219</v>
      </c>
      <c r="B1589" s="5" t="s">
        <v>24</v>
      </c>
      <c r="C1589" s="8">
        <v>244.55739200275431</v>
      </c>
      <c r="D1589" s="8">
        <v>244.67282454705051</v>
      </c>
      <c r="E1589" s="8">
        <v>244.52535715131171</v>
      </c>
      <c r="F1589" s="8">
        <v>244.63153835393749</v>
      </c>
      <c r="G1589" s="7">
        <v>53853</v>
      </c>
      <c r="H1589" s="9">
        <v>13174142.2349746</v>
      </c>
      <c r="I1589" s="5" t="s">
        <v>2718</v>
      </c>
    </row>
    <row r="1590" spans="1:9" x14ac:dyDescent="0.25">
      <c r="A1590" s="6">
        <v>45992.631944444453</v>
      </c>
      <c r="B1590" s="5" t="s">
        <v>24</v>
      </c>
      <c r="C1590" s="8">
        <v>244.3162066628326</v>
      </c>
      <c r="D1590" s="8">
        <v>244.44345481624239</v>
      </c>
      <c r="E1590" s="8">
        <v>244.27403598292881</v>
      </c>
      <c r="F1590" s="8">
        <v>244.29130870895199</v>
      </c>
      <c r="G1590" s="7">
        <v>49155</v>
      </c>
      <c r="H1590" s="9">
        <v>12008139.279588539</v>
      </c>
      <c r="I1590" s="5" t="s">
        <v>2719</v>
      </c>
    </row>
    <row r="1591" spans="1:9" x14ac:dyDescent="0.25">
      <c r="A1591" s="6">
        <v>45992.635416666657</v>
      </c>
      <c r="B1591" s="5" t="s">
        <v>24</v>
      </c>
      <c r="C1591" s="8">
        <v>244.4845647349712</v>
      </c>
      <c r="D1591" s="8">
        <v>244.5454988172728</v>
      </c>
      <c r="E1591" s="8">
        <v>244.03037867161609</v>
      </c>
      <c r="F1591" s="8">
        <v>244.42707377325419</v>
      </c>
      <c r="G1591" s="7">
        <v>92125</v>
      </c>
      <c r="H1591" s="9">
        <v>22517844.17136104</v>
      </c>
      <c r="I1591" s="5" t="s">
        <v>2720</v>
      </c>
    </row>
    <row r="1592" spans="1:9" x14ac:dyDescent="0.25">
      <c r="A1592" s="6">
        <v>45992.638888888891</v>
      </c>
      <c r="B1592" s="5" t="s">
        <v>24</v>
      </c>
      <c r="C1592" s="8">
        <v>244.7867768281821</v>
      </c>
      <c r="D1592" s="8">
        <v>244.84673607523089</v>
      </c>
      <c r="E1592" s="8">
        <v>244.61493618942851</v>
      </c>
      <c r="F1592" s="8">
        <v>244.7555793850685</v>
      </c>
      <c r="G1592" s="7">
        <v>55023</v>
      </c>
      <c r="H1592" s="9">
        <v>13467186.244504619</v>
      </c>
      <c r="I1592" s="5" t="s">
        <v>2721</v>
      </c>
    </row>
    <row r="1593" spans="1:9" x14ac:dyDescent="0.25">
      <c r="A1593" s="6">
        <v>45992.642361111109</v>
      </c>
      <c r="B1593" s="5" t="s">
        <v>24</v>
      </c>
      <c r="C1593" s="8">
        <v>244.82168320541899</v>
      </c>
      <c r="D1593" s="8">
        <v>244.8928289151826</v>
      </c>
      <c r="E1593" s="8">
        <v>244.64965215650801</v>
      </c>
      <c r="F1593" s="8">
        <v>244.77038704822101</v>
      </c>
      <c r="G1593" s="7">
        <v>90037</v>
      </c>
      <c r="H1593" s="9">
        <v>22038391.33866068</v>
      </c>
      <c r="I1593" s="5" t="s">
        <v>2722</v>
      </c>
    </row>
    <row r="1594" spans="1:9" x14ac:dyDescent="0.25">
      <c r="A1594" s="6">
        <v>45992.645833333343</v>
      </c>
      <c r="B1594" s="5" t="s">
        <v>24</v>
      </c>
      <c r="C1594" s="8">
        <v>244.8663555750733</v>
      </c>
      <c r="D1594" s="8">
        <v>244.8838146271618</v>
      </c>
      <c r="E1594" s="8">
        <v>244.7102336797947</v>
      </c>
      <c r="F1594" s="8">
        <v>244.79685408421469</v>
      </c>
      <c r="G1594" s="7">
        <v>59735</v>
      </c>
      <c r="H1594" s="9">
        <v>14622940.07872056</v>
      </c>
      <c r="I1594" s="5" t="s">
        <v>2723</v>
      </c>
    </row>
    <row r="1595" spans="1:9" x14ac:dyDescent="0.25">
      <c r="A1595" s="6">
        <v>45992.649305555547</v>
      </c>
      <c r="B1595" s="5" t="s">
        <v>24</v>
      </c>
      <c r="C1595" s="8">
        <v>244.33748109982449</v>
      </c>
      <c r="D1595" s="8">
        <v>244.41991095867041</v>
      </c>
      <c r="E1595" s="8">
        <v>244.09462391410341</v>
      </c>
      <c r="F1595" s="8">
        <v>244.26585504298399</v>
      </c>
      <c r="G1595" s="7">
        <v>55723</v>
      </c>
      <c r="H1595" s="9">
        <v>13611226.240560191</v>
      </c>
      <c r="I1595" s="5" t="s">
        <v>2724</v>
      </c>
    </row>
    <row r="1596" spans="1:9" x14ac:dyDescent="0.25">
      <c r="A1596" s="6">
        <v>45992.652777777781</v>
      </c>
      <c r="B1596" s="5" t="s">
        <v>24</v>
      </c>
      <c r="C1596" s="8">
        <v>244.78702258127879</v>
      </c>
      <c r="D1596" s="8">
        <v>245.0401599705778</v>
      </c>
      <c r="E1596" s="8">
        <v>244.44181293310871</v>
      </c>
      <c r="F1596" s="8">
        <v>244.69742118801699</v>
      </c>
      <c r="G1596" s="7">
        <v>65672</v>
      </c>
      <c r="H1596" s="9">
        <v>16069769.044259449</v>
      </c>
      <c r="I1596" s="5" t="s">
        <v>2725</v>
      </c>
    </row>
    <row r="1597" spans="1:9" x14ac:dyDescent="0.25">
      <c r="A1597" s="6">
        <v>45992.65625</v>
      </c>
      <c r="B1597" s="5" t="s">
        <v>24</v>
      </c>
      <c r="C1597" s="8">
        <v>244.3878804172499</v>
      </c>
      <c r="D1597" s="8">
        <v>244.42228873709701</v>
      </c>
      <c r="E1597" s="8">
        <v>244.34378711366921</v>
      </c>
      <c r="F1597" s="8">
        <v>244.3979926428176</v>
      </c>
      <c r="G1597" s="7">
        <v>100933</v>
      </c>
      <c r="H1597" s="9">
        <v>24667822.59141751</v>
      </c>
      <c r="I1597" s="5" t="s">
        <v>2726</v>
      </c>
    </row>
    <row r="1598" spans="1:9" x14ac:dyDescent="0.25">
      <c r="A1598" s="6">
        <v>45992.659722222219</v>
      </c>
      <c r="B1598" s="5" t="s">
        <v>24</v>
      </c>
      <c r="C1598" s="8">
        <v>244.5706578631501</v>
      </c>
      <c r="D1598" s="8">
        <v>244.60592062758849</v>
      </c>
      <c r="E1598" s="8">
        <v>244.0909505492701</v>
      </c>
      <c r="F1598" s="8">
        <v>244.52364066166851</v>
      </c>
      <c r="G1598" s="7">
        <v>94975</v>
      </c>
      <c r="H1598" s="9">
        <v>23223632.771841969</v>
      </c>
      <c r="I1598" s="5" t="s">
        <v>2727</v>
      </c>
    </row>
    <row r="1599" spans="1:9" x14ac:dyDescent="0.25">
      <c r="A1599" s="6">
        <v>45992.663194444453</v>
      </c>
      <c r="B1599" s="5" t="s">
        <v>24</v>
      </c>
      <c r="C1599" s="8">
        <v>244.41639686742079</v>
      </c>
      <c r="D1599" s="8">
        <v>244.52240144877689</v>
      </c>
      <c r="E1599" s="8">
        <v>244.35114123698909</v>
      </c>
      <c r="F1599" s="8">
        <v>244.3751590535299</v>
      </c>
      <c r="G1599" s="7">
        <v>58273</v>
      </c>
      <c r="H1599" s="9">
        <v>14240473.643526349</v>
      </c>
      <c r="I1599" s="5" t="s">
        <v>2728</v>
      </c>
    </row>
    <row r="1600" spans="1:9" x14ac:dyDescent="0.25">
      <c r="A1600" s="6">
        <v>45992.666666666657</v>
      </c>
      <c r="B1600" s="5" t="s">
        <v>24</v>
      </c>
      <c r="C1600" s="8">
        <v>243.94039331180511</v>
      </c>
      <c r="D1600" s="8">
        <v>244.24974815879011</v>
      </c>
      <c r="E1600" s="8">
        <v>243.86010212870499</v>
      </c>
      <c r="F1600" s="8">
        <v>244.07467827657419</v>
      </c>
      <c r="G1600" s="7">
        <v>22868</v>
      </c>
      <c r="H1600" s="9">
        <v>5581499.7428286979</v>
      </c>
      <c r="I1600" s="5" t="s">
        <v>2729</v>
      </c>
    </row>
    <row r="1601" spans="1:9" x14ac:dyDescent="0.25">
      <c r="A1601" s="6">
        <v>45992.670138888891</v>
      </c>
      <c r="B1601" s="5" t="s">
        <v>24</v>
      </c>
      <c r="C1601" s="8">
        <v>244.05313322905491</v>
      </c>
      <c r="D1601" s="8">
        <v>244.32153400030401</v>
      </c>
      <c r="E1601" s="8">
        <v>243.97571577103321</v>
      </c>
      <c r="F1601" s="8">
        <v>244.2069714254408</v>
      </c>
      <c r="G1601" s="7">
        <v>77476</v>
      </c>
      <c r="H1601" s="9">
        <v>18920179.318157449</v>
      </c>
      <c r="I1601" s="5" t="s">
        <v>2730</v>
      </c>
    </row>
    <row r="1602" spans="1:9" x14ac:dyDescent="0.25">
      <c r="A1602" s="6">
        <v>45992.673611111109</v>
      </c>
      <c r="B1602" s="5" t="s">
        <v>24</v>
      </c>
      <c r="C1602" s="8">
        <v>244.12826847074851</v>
      </c>
      <c r="D1602" s="8">
        <v>244.29292297873221</v>
      </c>
      <c r="E1602" s="8">
        <v>244.0921772752244</v>
      </c>
      <c r="F1602" s="8">
        <v>244.20770708040129</v>
      </c>
      <c r="G1602" s="7">
        <v>87244</v>
      </c>
      <c r="H1602" s="9">
        <v>21305657.19652253</v>
      </c>
      <c r="I1602" s="5" t="s">
        <v>2731</v>
      </c>
    </row>
    <row r="1603" spans="1:9" x14ac:dyDescent="0.25">
      <c r="A1603" s="6">
        <v>45992.677083333343</v>
      </c>
      <c r="B1603" s="5" t="s">
        <v>24</v>
      </c>
      <c r="C1603" s="8">
        <v>244.25940233780469</v>
      </c>
      <c r="D1603" s="8">
        <v>244.30554661742229</v>
      </c>
      <c r="E1603" s="8">
        <v>244.0308563282594</v>
      </c>
      <c r="F1603" s="8">
        <v>244.26742645307729</v>
      </c>
      <c r="G1603" s="7">
        <v>45079</v>
      </c>
      <c r="H1603" s="9">
        <v>11011331.31707827</v>
      </c>
      <c r="I1603" s="5" t="s">
        <v>2732</v>
      </c>
    </row>
    <row r="1604" spans="1:9" x14ac:dyDescent="0.25">
      <c r="A1604" s="6">
        <v>45992.680555555547</v>
      </c>
      <c r="B1604" s="5" t="s">
        <v>24</v>
      </c>
      <c r="C1604" s="8">
        <v>244.19280425339511</v>
      </c>
      <c r="D1604" s="8">
        <v>244.37869590164871</v>
      </c>
      <c r="E1604" s="8">
        <v>243.9168428527839</v>
      </c>
      <c r="F1604" s="8">
        <v>244.1671901282042</v>
      </c>
      <c r="G1604" s="7">
        <v>83920</v>
      </c>
      <c r="H1604" s="9">
        <v>20490510.5955589</v>
      </c>
      <c r="I1604" s="5" t="s">
        <v>2733</v>
      </c>
    </row>
    <row r="1605" spans="1:9" x14ac:dyDescent="0.25">
      <c r="A1605" s="6">
        <v>45992.684027777781</v>
      </c>
      <c r="B1605" s="5" t="s">
        <v>24</v>
      </c>
      <c r="C1605" s="8">
        <v>244.43811554011521</v>
      </c>
      <c r="D1605" s="8">
        <v>244.71436857080189</v>
      </c>
      <c r="E1605" s="8">
        <v>244.31472270590999</v>
      </c>
      <c r="F1605" s="8">
        <v>244.41952029029181</v>
      </c>
      <c r="G1605" s="7">
        <v>56887</v>
      </c>
      <c r="H1605" s="9">
        <v>13904293.250753829</v>
      </c>
      <c r="I1605" s="5" t="s">
        <v>2734</v>
      </c>
    </row>
    <row r="1606" spans="1:9" x14ac:dyDescent="0.25">
      <c r="A1606" s="6">
        <v>45992.6875</v>
      </c>
      <c r="B1606" s="5" t="s">
        <v>24</v>
      </c>
      <c r="C1606" s="8">
        <v>244.39017111191669</v>
      </c>
      <c r="D1606" s="8">
        <v>244.51770007321781</v>
      </c>
      <c r="E1606" s="8">
        <v>244.28681132976109</v>
      </c>
      <c r="F1606" s="8">
        <v>244.48107400131551</v>
      </c>
      <c r="G1606" s="7">
        <v>49396</v>
      </c>
      <c r="H1606" s="9">
        <v>12076387.13136898</v>
      </c>
      <c r="I1606" s="5" t="s">
        <v>2735</v>
      </c>
    </row>
    <row r="1607" spans="1:9" x14ac:dyDescent="0.25">
      <c r="A1607" s="6">
        <v>45992.690972222219</v>
      </c>
      <c r="B1607" s="5" t="s">
        <v>24</v>
      </c>
      <c r="C1607" s="8">
        <v>244.3793974337855</v>
      </c>
      <c r="D1607" s="8">
        <v>244.62161814931179</v>
      </c>
      <c r="E1607" s="8">
        <v>244.326016824352</v>
      </c>
      <c r="F1607" s="8">
        <v>244.4136722722933</v>
      </c>
      <c r="G1607" s="7">
        <v>55375</v>
      </c>
      <c r="H1607" s="9">
        <v>13534407.10207824</v>
      </c>
      <c r="I1607" s="5" t="s">
        <v>2736</v>
      </c>
    </row>
    <row r="1608" spans="1:9" x14ac:dyDescent="0.25">
      <c r="A1608" s="6">
        <v>45992.694444444453</v>
      </c>
      <c r="B1608" s="5" t="s">
        <v>24</v>
      </c>
      <c r="C1608" s="8">
        <v>244.5174460593154</v>
      </c>
      <c r="D1608" s="8">
        <v>244.76848569015209</v>
      </c>
      <c r="E1608" s="8">
        <v>244.4445951387674</v>
      </c>
      <c r="F1608" s="8">
        <v>244.57613451602049</v>
      </c>
      <c r="G1608" s="7">
        <v>43872</v>
      </c>
      <c r="H1608" s="9">
        <v>10730044.173486849</v>
      </c>
      <c r="I1608" s="5" t="s">
        <v>2737</v>
      </c>
    </row>
    <row r="1609" spans="1:9" x14ac:dyDescent="0.25">
      <c r="A1609" s="6">
        <v>45992.697916666657</v>
      </c>
      <c r="B1609" s="5" t="s">
        <v>24</v>
      </c>
      <c r="C1609" s="8">
        <v>244.65565446823629</v>
      </c>
      <c r="D1609" s="8">
        <v>244.92686487350559</v>
      </c>
      <c r="E1609" s="8">
        <v>244.56833868442749</v>
      </c>
      <c r="F1609" s="8">
        <v>244.69721298252239</v>
      </c>
      <c r="G1609" s="7">
        <v>58165</v>
      </c>
      <c r="H1609" s="9">
        <v>14232813.393128419</v>
      </c>
      <c r="I1609" s="5" t="s">
        <v>2738</v>
      </c>
    </row>
    <row r="1610" spans="1:9" x14ac:dyDescent="0.25">
      <c r="A1610" s="6">
        <v>45992.701388888891</v>
      </c>
      <c r="B1610" s="5" t="s">
        <v>24</v>
      </c>
      <c r="C1610" s="8">
        <v>244.76327714273731</v>
      </c>
      <c r="D1610" s="8">
        <v>244.91707675025441</v>
      </c>
      <c r="E1610" s="8">
        <v>244.59930759237051</v>
      </c>
      <c r="F1610" s="8">
        <v>244.73469711456039</v>
      </c>
      <c r="G1610" s="7">
        <v>74226</v>
      </c>
      <c r="H1610" s="9">
        <v>18165677.62802536</v>
      </c>
      <c r="I1610" s="5" t="s">
        <v>2739</v>
      </c>
    </row>
    <row r="1611" spans="1:9" x14ac:dyDescent="0.25">
      <c r="A1611" s="6">
        <v>45992.704861111109</v>
      </c>
      <c r="B1611" s="5" t="s">
        <v>24</v>
      </c>
      <c r="C1611" s="8">
        <v>244.7523639857782</v>
      </c>
      <c r="D1611" s="8">
        <v>244.76795701123811</v>
      </c>
      <c r="E1611" s="8">
        <v>244.67935058579781</v>
      </c>
      <c r="F1611" s="8">
        <v>244.7487527682415</v>
      </c>
      <c r="G1611" s="7">
        <v>64312</v>
      </c>
      <c r="H1611" s="9">
        <v>15740281.78803115</v>
      </c>
      <c r="I1611" s="5" t="s">
        <v>2740</v>
      </c>
    </row>
    <row r="1612" spans="1:9" x14ac:dyDescent="0.25">
      <c r="A1612" s="6">
        <v>45992.708333333343</v>
      </c>
      <c r="B1612" s="5" t="s">
        <v>24</v>
      </c>
      <c r="C1612" s="8">
        <v>244.8025318189911</v>
      </c>
      <c r="D1612" s="8">
        <v>245.01896224071339</v>
      </c>
      <c r="E1612" s="8">
        <v>244.60778573209089</v>
      </c>
      <c r="F1612" s="8">
        <v>244.75330746206711</v>
      </c>
      <c r="G1612" s="7">
        <v>117629</v>
      </c>
      <c r="H1612" s="9">
        <v>28790086.803455491</v>
      </c>
      <c r="I1612" s="5" t="s">
        <v>2741</v>
      </c>
    </row>
    <row r="1613" spans="1:9" x14ac:dyDescent="0.25">
      <c r="A1613" s="6">
        <v>45992.711805555547</v>
      </c>
      <c r="B1613" s="5" t="s">
        <v>24</v>
      </c>
      <c r="C1613" s="8">
        <v>244.90543182233739</v>
      </c>
      <c r="D1613" s="8">
        <v>245.00986119829119</v>
      </c>
      <c r="E1613" s="8">
        <v>244.90398739867209</v>
      </c>
      <c r="F1613" s="8">
        <v>244.98959593645341</v>
      </c>
      <c r="G1613" s="7">
        <v>89809</v>
      </c>
      <c r="H1613" s="9">
        <v>22002270.62145694</v>
      </c>
      <c r="I1613" s="5" t="s">
        <v>2742</v>
      </c>
    </row>
    <row r="1614" spans="1:9" x14ac:dyDescent="0.25">
      <c r="A1614" s="6">
        <v>45992.715277777781</v>
      </c>
      <c r="B1614" s="5" t="s">
        <v>24</v>
      </c>
      <c r="C1614" s="8">
        <v>244.89987002235051</v>
      </c>
      <c r="D1614" s="8">
        <v>245.0591290324916</v>
      </c>
      <c r="E1614" s="8">
        <v>244.72147408380471</v>
      </c>
      <c r="F1614" s="8">
        <v>244.77532444714601</v>
      </c>
      <c r="G1614" s="7">
        <v>48235</v>
      </c>
      <c r="H1614" s="9">
        <v>11806737.77470809</v>
      </c>
      <c r="I1614" s="5" t="s">
        <v>2743</v>
      </c>
    </row>
    <row r="1615" spans="1:9" x14ac:dyDescent="0.25">
      <c r="A1615" s="6">
        <v>45992.71875</v>
      </c>
      <c r="B1615" s="5" t="s">
        <v>24</v>
      </c>
      <c r="C1615" s="8">
        <v>244.41890167892069</v>
      </c>
      <c r="D1615" s="8">
        <v>244.58880950128639</v>
      </c>
      <c r="E1615" s="8">
        <v>244.37909117543049</v>
      </c>
      <c r="F1615" s="8">
        <v>244.5018964781799</v>
      </c>
      <c r="G1615" s="7">
        <v>48191</v>
      </c>
      <c r="H1615" s="9">
        <v>11782790.89317997</v>
      </c>
      <c r="I1615" s="5" t="s">
        <v>2744</v>
      </c>
    </row>
    <row r="1616" spans="1:9" x14ac:dyDescent="0.25">
      <c r="A1616" s="6">
        <v>45992.722222222219</v>
      </c>
      <c r="B1616" s="5" t="s">
        <v>24</v>
      </c>
      <c r="C1616" s="8">
        <v>244.10841377542161</v>
      </c>
      <c r="D1616" s="8">
        <v>244.33886890420891</v>
      </c>
      <c r="E1616" s="8">
        <v>243.8353565915356</v>
      </c>
      <c r="F1616" s="8">
        <v>244.2972556493126</v>
      </c>
      <c r="G1616" s="7">
        <v>106450</v>
      </c>
      <c r="H1616" s="9">
        <v>26005442.863869332</v>
      </c>
      <c r="I1616" s="5" t="s">
        <v>2745</v>
      </c>
    </row>
    <row r="1617" spans="1:9" x14ac:dyDescent="0.25">
      <c r="A1617" s="6">
        <v>45992.725694444453</v>
      </c>
      <c r="B1617" s="5" t="s">
        <v>24</v>
      </c>
      <c r="C1617" s="8">
        <v>244.5197932792947</v>
      </c>
      <c r="D1617" s="8">
        <v>244.62322007905641</v>
      </c>
      <c r="E1617" s="8">
        <v>244.44088286162781</v>
      </c>
      <c r="F1617" s="8">
        <v>244.54904154140581</v>
      </c>
      <c r="G1617" s="7">
        <v>50715</v>
      </c>
      <c r="H1617" s="9">
        <v>12402304.641772389</v>
      </c>
      <c r="I1617" s="5" t="s">
        <v>2746</v>
      </c>
    </row>
    <row r="1618" spans="1:9" x14ac:dyDescent="0.25">
      <c r="A1618" s="6">
        <v>45992.729166666657</v>
      </c>
      <c r="B1618" s="5" t="s">
        <v>24</v>
      </c>
      <c r="C1618" s="8">
        <v>244.65647622586519</v>
      </c>
      <c r="D1618" s="8">
        <v>244.7294297314055</v>
      </c>
      <c r="E1618" s="8">
        <v>244.48545083207591</v>
      </c>
      <c r="F1618" s="8">
        <v>244.5823523636403</v>
      </c>
      <c r="G1618" s="7">
        <v>59055</v>
      </c>
      <c r="H1618" s="9">
        <v>14443810.81883478</v>
      </c>
      <c r="I1618" s="5" t="s">
        <v>2747</v>
      </c>
    </row>
    <row r="1619" spans="1:9" x14ac:dyDescent="0.25">
      <c r="A1619" s="6">
        <v>45992.732638888891</v>
      </c>
      <c r="B1619" s="5" t="s">
        <v>24</v>
      </c>
      <c r="C1619" s="8">
        <v>244.31851880422229</v>
      </c>
      <c r="D1619" s="8">
        <v>244.46679528969941</v>
      </c>
      <c r="E1619" s="8">
        <v>244.08434393486689</v>
      </c>
      <c r="F1619" s="8">
        <v>244.25637749202281</v>
      </c>
      <c r="G1619" s="7">
        <v>78284</v>
      </c>
      <c r="H1619" s="9">
        <v>19121366.25558551</v>
      </c>
      <c r="I1619" s="5" t="s">
        <v>2748</v>
      </c>
    </row>
    <row r="1620" spans="1:9" x14ac:dyDescent="0.25">
      <c r="A1620" s="6">
        <v>45992.736111111109</v>
      </c>
      <c r="B1620" s="5" t="s">
        <v>24</v>
      </c>
      <c r="C1620" s="8">
        <v>244.1089088980024</v>
      </c>
      <c r="D1620" s="8">
        <v>244.2632213772392</v>
      </c>
      <c r="E1620" s="8">
        <v>244.06414238197101</v>
      </c>
      <c r="F1620" s="8">
        <v>244.12633972122771</v>
      </c>
      <c r="G1620" s="7">
        <v>127798</v>
      </c>
      <c r="H1620" s="9">
        <v>31198857.963693459</v>
      </c>
      <c r="I1620" s="5" t="s">
        <v>2749</v>
      </c>
    </row>
    <row r="1621" spans="1:9" x14ac:dyDescent="0.25">
      <c r="A1621" s="6">
        <v>45992.739583333343</v>
      </c>
      <c r="B1621" s="5" t="s">
        <v>24</v>
      </c>
      <c r="C1621" s="8">
        <v>243.95933512990581</v>
      </c>
      <c r="D1621" s="8">
        <v>244.15951632740911</v>
      </c>
      <c r="E1621" s="8">
        <v>243.7601181076401</v>
      </c>
      <c r="F1621" s="8">
        <v>243.91169289533559</v>
      </c>
      <c r="G1621" s="7">
        <v>125680</v>
      </c>
      <c r="H1621" s="9">
        <v>30654821.56308578</v>
      </c>
      <c r="I1621" s="5" t="s">
        <v>2750</v>
      </c>
    </row>
    <row r="1622" spans="1:9" x14ac:dyDescent="0.25">
      <c r="A1622" s="6">
        <v>45992.743055555547</v>
      </c>
      <c r="B1622" s="5" t="s">
        <v>24</v>
      </c>
      <c r="C1622" s="8">
        <v>243.75874427700111</v>
      </c>
      <c r="D1622" s="8">
        <v>243.82728153123841</v>
      </c>
      <c r="E1622" s="8">
        <v>243.62317250368321</v>
      </c>
      <c r="F1622" s="8">
        <v>243.76634563528279</v>
      </c>
      <c r="G1622" s="7">
        <v>79067</v>
      </c>
      <c r="H1622" s="9">
        <v>19273873.650344901</v>
      </c>
      <c r="I1622" s="5" t="s">
        <v>2751</v>
      </c>
    </row>
    <row r="1623" spans="1:9" x14ac:dyDescent="0.25">
      <c r="A1623" s="6">
        <v>45992.746527777781</v>
      </c>
      <c r="B1623" s="5" t="s">
        <v>24</v>
      </c>
      <c r="C1623" s="8">
        <v>243.6652123643706</v>
      </c>
      <c r="D1623" s="8">
        <v>244.0525487608237</v>
      </c>
      <c r="E1623" s="8">
        <v>243.59201225512561</v>
      </c>
      <c r="F1623" s="8">
        <v>243.71276361539029</v>
      </c>
      <c r="G1623" s="7">
        <v>93017</v>
      </c>
      <c r="H1623" s="9">
        <v>22669430.13321276</v>
      </c>
      <c r="I1623" s="5" t="s">
        <v>2752</v>
      </c>
    </row>
    <row r="1624" spans="1:9" x14ac:dyDescent="0.25">
      <c r="A1624" s="6">
        <v>45992.75</v>
      </c>
      <c r="B1624" s="5" t="s">
        <v>24</v>
      </c>
      <c r="C1624" s="8">
        <v>243.58588768228319</v>
      </c>
      <c r="D1624" s="8">
        <v>243.689395229665</v>
      </c>
      <c r="E1624" s="8">
        <v>243.51591627460849</v>
      </c>
      <c r="F1624" s="8">
        <v>243.54098633111411</v>
      </c>
      <c r="G1624" s="7">
        <v>49399</v>
      </c>
      <c r="H1624" s="9">
        <v>12030681.183770711</v>
      </c>
      <c r="I1624" s="5" t="s">
        <v>2753</v>
      </c>
    </row>
    <row r="1625" spans="1:9" x14ac:dyDescent="0.25">
      <c r="A1625" s="6">
        <v>45992.753472222219</v>
      </c>
      <c r="B1625" s="5" t="s">
        <v>24</v>
      </c>
      <c r="C1625" s="8">
        <v>243.4178845565371</v>
      </c>
      <c r="D1625" s="8">
        <v>243.67613017917759</v>
      </c>
      <c r="E1625" s="8">
        <v>243.21404653992971</v>
      </c>
      <c r="F1625" s="8">
        <v>243.4210450124616</v>
      </c>
      <c r="G1625" s="7">
        <v>41614</v>
      </c>
      <c r="H1625" s="9">
        <v>10129723.36714858</v>
      </c>
      <c r="I1625" s="5" t="s">
        <v>2754</v>
      </c>
    </row>
    <row r="1626" spans="1:9" x14ac:dyDescent="0.25">
      <c r="A1626" s="6">
        <v>45992.756944444453</v>
      </c>
      <c r="B1626" s="5" t="s">
        <v>24</v>
      </c>
      <c r="C1626" s="8">
        <v>243.23999569235809</v>
      </c>
      <c r="D1626" s="8">
        <v>243.3267363374791</v>
      </c>
      <c r="E1626" s="8">
        <v>243.18409756086581</v>
      </c>
      <c r="F1626" s="8">
        <v>243.28486655271081</v>
      </c>
      <c r="G1626" s="7">
        <v>91362</v>
      </c>
      <c r="H1626" s="9">
        <v>22226991.977988761</v>
      </c>
      <c r="I1626" s="5" t="s">
        <v>2755</v>
      </c>
    </row>
    <row r="1627" spans="1:9" x14ac:dyDescent="0.25">
      <c r="A1627" s="6">
        <v>45992.760416666657</v>
      </c>
      <c r="B1627" s="5" t="s">
        <v>24</v>
      </c>
      <c r="C1627" s="8">
        <v>243.44992312875621</v>
      </c>
      <c r="D1627" s="8">
        <v>243.50282427764739</v>
      </c>
      <c r="E1627" s="8">
        <v>243.2333873381294</v>
      </c>
      <c r="F1627" s="8">
        <v>243.33509912738529</v>
      </c>
      <c r="G1627" s="7">
        <v>79226</v>
      </c>
      <c r="H1627" s="9">
        <v>19278466.563466229</v>
      </c>
      <c r="I1627" s="5" t="s">
        <v>2756</v>
      </c>
    </row>
    <row r="1628" spans="1:9" x14ac:dyDescent="0.25">
      <c r="A1628" s="6">
        <v>45992.763888888891</v>
      </c>
      <c r="B1628" s="5" t="s">
        <v>24</v>
      </c>
      <c r="C1628" s="8">
        <v>243.41814936588639</v>
      </c>
      <c r="D1628" s="8">
        <v>243.56495841743461</v>
      </c>
      <c r="E1628" s="8">
        <v>243.1742974831966</v>
      </c>
      <c r="F1628" s="8">
        <v>243.36887056927651</v>
      </c>
      <c r="G1628" s="7">
        <v>79808</v>
      </c>
      <c r="H1628" s="9">
        <v>19422782.822392821</v>
      </c>
      <c r="I1628" s="5" t="s">
        <v>2757</v>
      </c>
    </row>
    <row r="1629" spans="1:9" x14ac:dyDescent="0.25">
      <c r="A1629" s="6">
        <v>45992.767361111109</v>
      </c>
      <c r="B1629" s="5" t="s">
        <v>24</v>
      </c>
      <c r="C1629" s="8">
        <v>243.38327499018331</v>
      </c>
      <c r="D1629" s="8">
        <v>243.53263838548111</v>
      </c>
      <c r="E1629" s="8">
        <v>243.2263303137006</v>
      </c>
      <c r="F1629" s="8">
        <v>243.40803649661549</v>
      </c>
      <c r="G1629" s="7">
        <v>77779</v>
      </c>
      <c r="H1629" s="9">
        <v>18932033.67067026</v>
      </c>
      <c r="I1629" s="5" t="s">
        <v>2758</v>
      </c>
    </row>
    <row r="1630" spans="1:9" x14ac:dyDescent="0.25">
      <c r="A1630" s="6">
        <v>45992.770833333343</v>
      </c>
      <c r="B1630" s="5" t="s">
        <v>24</v>
      </c>
      <c r="C1630" s="8">
        <v>243.79811446007739</v>
      </c>
      <c r="D1630" s="8">
        <v>243.808850491642</v>
      </c>
      <c r="E1630" s="8">
        <v>243.4138253669866</v>
      </c>
      <c r="F1630" s="8">
        <v>243.61426156834349</v>
      </c>
      <c r="G1630" s="7">
        <v>74796</v>
      </c>
      <c r="H1630" s="9">
        <v>18221372.30826582</v>
      </c>
      <c r="I1630" s="5" t="s">
        <v>2759</v>
      </c>
    </row>
    <row r="1631" spans="1:9" x14ac:dyDescent="0.25">
      <c r="A1631" s="6">
        <v>45992.774305555547</v>
      </c>
      <c r="B1631" s="5" t="s">
        <v>24</v>
      </c>
      <c r="C1631" s="8">
        <v>243.17396849589389</v>
      </c>
      <c r="D1631" s="8">
        <v>243.34186329273149</v>
      </c>
      <c r="E1631" s="8">
        <v>243.00217408775549</v>
      </c>
      <c r="F1631" s="8">
        <v>243.26667491067309</v>
      </c>
      <c r="G1631" s="7">
        <v>100020</v>
      </c>
      <c r="H1631" s="9">
        <v>24331532.824565519</v>
      </c>
      <c r="I1631" s="5" t="s">
        <v>2760</v>
      </c>
    </row>
    <row r="1632" spans="1:9" x14ac:dyDescent="0.25">
      <c r="A1632" s="6">
        <v>45992.777777777781</v>
      </c>
      <c r="B1632" s="5" t="s">
        <v>24</v>
      </c>
      <c r="C1632" s="8">
        <v>243.249301372161</v>
      </c>
      <c r="D1632" s="8">
        <v>243.28448996343761</v>
      </c>
      <c r="E1632" s="8">
        <v>242.85679939982731</v>
      </c>
      <c r="F1632" s="8">
        <v>243.21638120147659</v>
      </c>
      <c r="G1632" s="7">
        <v>88336</v>
      </c>
      <c r="H1632" s="9">
        <v>21484762.249813639</v>
      </c>
      <c r="I1632" s="5" t="s">
        <v>2761</v>
      </c>
    </row>
    <row r="1633" spans="1:9" x14ac:dyDescent="0.25">
      <c r="A1633" s="6">
        <v>45992.78125</v>
      </c>
      <c r="B1633" s="5" t="s">
        <v>24</v>
      </c>
      <c r="C1633" s="8">
        <v>243.36728271873821</v>
      </c>
      <c r="D1633" s="8">
        <v>243.66352740504641</v>
      </c>
      <c r="E1633" s="8">
        <v>243.3572903988339</v>
      </c>
      <c r="F1633" s="8">
        <v>243.52917545307099</v>
      </c>
      <c r="G1633" s="7">
        <v>58457</v>
      </c>
      <c r="H1633" s="9">
        <v>14235985.00946017</v>
      </c>
      <c r="I1633" s="5" t="s">
        <v>2762</v>
      </c>
    </row>
    <row r="1634" spans="1:9" x14ac:dyDescent="0.25">
      <c r="A1634" s="6">
        <v>45992.784722222219</v>
      </c>
      <c r="B1634" s="5" t="s">
        <v>24</v>
      </c>
      <c r="C1634" s="8">
        <v>243.8495182225895</v>
      </c>
      <c r="D1634" s="8">
        <v>243.9279746009982</v>
      </c>
      <c r="E1634" s="8">
        <v>243.6613596687624</v>
      </c>
      <c r="F1634" s="8">
        <v>243.7628385359659</v>
      </c>
      <c r="G1634" s="7">
        <v>48060</v>
      </c>
      <c r="H1634" s="9">
        <v>11715242.020038521</v>
      </c>
      <c r="I1634" s="5" t="s">
        <v>2763</v>
      </c>
    </row>
    <row r="1635" spans="1:9" x14ac:dyDescent="0.25">
      <c r="A1635" s="6">
        <v>45992.788194444453</v>
      </c>
      <c r="B1635" s="5" t="s">
        <v>24</v>
      </c>
      <c r="C1635" s="8">
        <v>243.71671509990369</v>
      </c>
      <c r="D1635" s="8">
        <v>243.7987741006562</v>
      </c>
      <c r="E1635" s="8">
        <v>243.60899846522241</v>
      </c>
      <c r="F1635" s="8">
        <v>243.69822475016201</v>
      </c>
      <c r="G1635" s="7">
        <v>117298</v>
      </c>
      <c r="H1635" s="9">
        <v>28585314.3667445</v>
      </c>
      <c r="I1635" s="5" t="s">
        <v>2764</v>
      </c>
    </row>
    <row r="1636" spans="1:9" x14ac:dyDescent="0.25">
      <c r="A1636" s="6">
        <v>45992.791666666657</v>
      </c>
      <c r="B1636" s="5" t="s">
        <v>24</v>
      </c>
      <c r="C1636" s="8">
        <v>243.74826463755059</v>
      </c>
      <c r="D1636" s="8">
        <v>243.86336543097261</v>
      </c>
      <c r="E1636" s="8">
        <v>243.65678147841939</v>
      </c>
      <c r="F1636" s="8">
        <v>243.74660976555029</v>
      </c>
      <c r="G1636" s="7">
        <v>67161</v>
      </c>
      <c r="H1636" s="9">
        <v>16370266.05846413</v>
      </c>
      <c r="I1636" s="5" t="s">
        <v>2765</v>
      </c>
    </row>
    <row r="1637" spans="1:9" x14ac:dyDescent="0.25">
      <c r="A1637" s="6">
        <v>45992.795138888891</v>
      </c>
      <c r="B1637" s="5" t="s">
        <v>24</v>
      </c>
      <c r="C1637" s="8">
        <v>243.0893819056443</v>
      </c>
      <c r="D1637" s="8">
        <v>243.26438313783859</v>
      </c>
      <c r="E1637" s="8">
        <v>243.0232896877024</v>
      </c>
      <c r="F1637" s="8">
        <v>243.21325738554219</v>
      </c>
      <c r="G1637" s="7">
        <v>53101</v>
      </c>
      <c r="H1637" s="9">
        <v>12914867.18042968</v>
      </c>
      <c r="I1637" s="5" t="s">
        <v>2766</v>
      </c>
    </row>
    <row r="1638" spans="1:9" x14ac:dyDescent="0.25">
      <c r="A1638" s="6">
        <v>45992.798611111109</v>
      </c>
      <c r="B1638" s="5" t="s">
        <v>24</v>
      </c>
      <c r="C1638" s="8">
        <v>243.11796480412011</v>
      </c>
      <c r="D1638" s="8">
        <v>243.2970418380863</v>
      </c>
      <c r="E1638" s="8">
        <v>243.00291379149689</v>
      </c>
      <c r="F1638" s="8">
        <v>243.07440748515239</v>
      </c>
      <c r="G1638" s="7">
        <v>86539</v>
      </c>
      <c r="H1638" s="9">
        <v>21035416.149357609</v>
      </c>
      <c r="I1638" s="5" t="s">
        <v>2767</v>
      </c>
    </row>
    <row r="1639" spans="1:9" x14ac:dyDescent="0.25">
      <c r="A1639" s="6">
        <v>45992.802083333343</v>
      </c>
      <c r="B1639" s="5" t="s">
        <v>24</v>
      </c>
      <c r="C1639" s="8">
        <v>243.0745527924488</v>
      </c>
      <c r="D1639" s="8">
        <v>243.35587380504319</v>
      </c>
      <c r="E1639" s="8">
        <v>243.06454806640971</v>
      </c>
      <c r="F1639" s="8">
        <v>243.16131959924951</v>
      </c>
      <c r="G1639" s="7">
        <v>87805</v>
      </c>
      <c r="H1639" s="9">
        <v>21350779.667412098</v>
      </c>
      <c r="I1639" s="5" t="s">
        <v>2768</v>
      </c>
    </row>
    <row r="1640" spans="1:9" x14ac:dyDescent="0.25">
      <c r="A1640" s="6">
        <v>45992.805555555547</v>
      </c>
      <c r="B1640" s="5" t="s">
        <v>24</v>
      </c>
      <c r="C1640" s="8">
        <v>242.8120627585154</v>
      </c>
      <c r="D1640" s="8">
        <v>243.1070331280086</v>
      </c>
      <c r="E1640" s="8">
        <v>242.64148808900259</v>
      </c>
      <c r="F1640" s="8">
        <v>242.96335845693889</v>
      </c>
      <c r="G1640" s="7">
        <v>55621</v>
      </c>
      <c r="H1640" s="9">
        <v>13513864.960733401</v>
      </c>
      <c r="I1640" s="5" t="s">
        <v>2769</v>
      </c>
    </row>
    <row r="1641" spans="1:9" x14ac:dyDescent="0.25">
      <c r="A1641" s="6">
        <v>45992.809027777781</v>
      </c>
      <c r="B1641" s="5" t="s">
        <v>24</v>
      </c>
      <c r="C1641" s="8">
        <v>243.35460470937551</v>
      </c>
      <c r="D1641" s="8">
        <v>243.47578954595639</v>
      </c>
      <c r="E1641" s="8">
        <v>243.15175928830911</v>
      </c>
      <c r="F1641" s="8">
        <v>243.20520404695591</v>
      </c>
      <c r="G1641" s="7">
        <v>52803</v>
      </c>
      <c r="H1641" s="9">
        <v>12841964.389291409</v>
      </c>
      <c r="I1641" s="5" t="s">
        <v>2770</v>
      </c>
    </row>
    <row r="1642" spans="1:9" x14ac:dyDescent="0.25">
      <c r="A1642" s="6">
        <v>45992.8125</v>
      </c>
      <c r="B1642" s="5" t="s">
        <v>24</v>
      </c>
      <c r="C1642" s="8">
        <v>243.38630861892301</v>
      </c>
      <c r="D1642" s="8">
        <v>243.48998357868291</v>
      </c>
      <c r="E1642" s="8">
        <v>243.19742012334871</v>
      </c>
      <c r="F1642" s="8">
        <v>243.4469430669655</v>
      </c>
      <c r="G1642" s="7">
        <v>86015</v>
      </c>
      <c r="H1642" s="9">
        <v>20940088.807905041</v>
      </c>
      <c r="I1642" s="5" t="s">
        <v>2771</v>
      </c>
    </row>
    <row r="1643" spans="1:9" x14ac:dyDescent="0.25">
      <c r="A1643" s="6">
        <v>45992.815972222219</v>
      </c>
      <c r="B1643" s="5" t="s">
        <v>24</v>
      </c>
      <c r="C1643" s="8">
        <v>243.6189466159432</v>
      </c>
      <c r="D1643" s="8">
        <v>243.75290985965569</v>
      </c>
      <c r="E1643" s="8">
        <v>243.5384999458644</v>
      </c>
      <c r="F1643" s="8">
        <v>243.68432645598051</v>
      </c>
      <c r="G1643" s="7">
        <v>83482</v>
      </c>
      <c r="H1643" s="9">
        <v>20343254.941198159</v>
      </c>
      <c r="I1643" s="5" t="s">
        <v>2772</v>
      </c>
    </row>
    <row r="1644" spans="1:9" x14ac:dyDescent="0.25">
      <c r="A1644" s="6">
        <v>45992.819444444453</v>
      </c>
      <c r="B1644" s="5" t="s">
        <v>24</v>
      </c>
      <c r="C1644" s="8">
        <v>243.85553434253691</v>
      </c>
      <c r="D1644" s="8">
        <v>243.875460693538</v>
      </c>
      <c r="E1644" s="8">
        <v>243.77507100218639</v>
      </c>
      <c r="F1644" s="8">
        <v>243.80144257738399</v>
      </c>
      <c r="G1644" s="7">
        <v>69170</v>
      </c>
      <c r="H1644" s="9">
        <v>16863745.78307765</v>
      </c>
      <c r="I1644" s="5" t="s">
        <v>2773</v>
      </c>
    </row>
    <row r="1645" spans="1:9" x14ac:dyDescent="0.25">
      <c r="A1645" s="6">
        <v>45992.822916666657</v>
      </c>
      <c r="B1645" s="5" t="s">
        <v>24</v>
      </c>
      <c r="C1645" s="8">
        <v>243.78932969845499</v>
      </c>
      <c r="D1645" s="8">
        <v>243.92498921087369</v>
      </c>
      <c r="E1645" s="8">
        <v>243.59661290867311</v>
      </c>
      <c r="F1645" s="8">
        <v>243.76318643279191</v>
      </c>
      <c r="G1645" s="7">
        <v>33425</v>
      </c>
      <c r="H1645" s="9">
        <v>8147784.506516071</v>
      </c>
      <c r="I1645" s="5" t="s">
        <v>2774</v>
      </c>
    </row>
    <row r="1646" spans="1:9" x14ac:dyDescent="0.25">
      <c r="A1646" s="6">
        <v>45992.826388888891</v>
      </c>
      <c r="B1646" s="5" t="s">
        <v>24</v>
      </c>
      <c r="C1646" s="8">
        <v>243.80334012790249</v>
      </c>
      <c r="D1646" s="8">
        <v>243.8716835265484</v>
      </c>
      <c r="E1646" s="8">
        <v>243.4575832667924</v>
      </c>
      <c r="F1646" s="8">
        <v>243.73945663320359</v>
      </c>
      <c r="G1646" s="7">
        <v>69800</v>
      </c>
      <c r="H1646" s="9">
        <v>17013014.072997611</v>
      </c>
      <c r="I1646" s="5" t="s">
        <v>2775</v>
      </c>
    </row>
    <row r="1647" spans="1:9" x14ac:dyDescent="0.25">
      <c r="A1647" s="6">
        <v>45992.829861111109</v>
      </c>
      <c r="B1647" s="5" t="s">
        <v>24</v>
      </c>
      <c r="C1647" s="8">
        <v>243.74850129280389</v>
      </c>
      <c r="D1647" s="8">
        <v>243.7959594236288</v>
      </c>
      <c r="E1647" s="8">
        <v>243.65883659424921</v>
      </c>
      <c r="F1647" s="8">
        <v>243.75710932599051</v>
      </c>
      <c r="G1647" s="7">
        <v>97613</v>
      </c>
      <c r="H1647" s="9">
        <v>23793862.712637909</v>
      </c>
      <c r="I1647" s="5" t="s">
        <v>2776</v>
      </c>
    </row>
    <row r="1648" spans="1:9" x14ac:dyDescent="0.25">
      <c r="A1648" s="6">
        <v>45992.833333333343</v>
      </c>
      <c r="B1648" s="5" t="s">
        <v>24</v>
      </c>
      <c r="C1648" s="8">
        <v>244.17938274918339</v>
      </c>
      <c r="D1648" s="8">
        <v>244.27119899414129</v>
      </c>
      <c r="E1648" s="8">
        <v>243.95893235248769</v>
      </c>
      <c r="F1648" s="8">
        <v>244.03736991631061</v>
      </c>
      <c r="G1648" s="7">
        <v>96663</v>
      </c>
      <c r="H1648" s="9">
        <v>23589384.288220331</v>
      </c>
      <c r="I1648" s="5" t="s">
        <v>2777</v>
      </c>
    </row>
    <row r="1649" spans="1:9" x14ac:dyDescent="0.25">
      <c r="A1649" s="6">
        <v>45992.836805555547</v>
      </c>
      <c r="B1649" s="5" t="s">
        <v>24</v>
      </c>
      <c r="C1649" s="8">
        <v>243.84900083313249</v>
      </c>
      <c r="D1649" s="8">
        <v>243.98966887568281</v>
      </c>
      <c r="E1649" s="8">
        <v>243.70887067875131</v>
      </c>
      <c r="F1649" s="8">
        <v>243.7847310756396</v>
      </c>
      <c r="G1649" s="7">
        <v>93060</v>
      </c>
      <c r="H1649" s="9">
        <v>22686607.07389902</v>
      </c>
      <c r="I1649" s="5" t="s">
        <v>2778</v>
      </c>
    </row>
    <row r="1650" spans="1:9" x14ac:dyDescent="0.25">
      <c r="A1650" s="6">
        <v>45992.840277777781</v>
      </c>
      <c r="B1650" s="5" t="s">
        <v>24</v>
      </c>
      <c r="C1650" s="8">
        <v>243.7431859444531</v>
      </c>
      <c r="D1650" s="8">
        <v>243.84227348035029</v>
      </c>
      <c r="E1650" s="8">
        <v>243.65004863783659</v>
      </c>
      <c r="F1650" s="8">
        <v>243.66222941489201</v>
      </c>
      <c r="G1650" s="7">
        <v>78940</v>
      </c>
      <c r="H1650" s="9">
        <v>19234696.390011579</v>
      </c>
      <c r="I1650" s="5" t="s">
        <v>2779</v>
      </c>
    </row>
    <row r="1651" spans="1:9" x14ac:dyDescent="0.25">
      <c r="A1651" s="6">
        <v>45992.84375</v>
      </c>
      <c r="B1651" s="5" t="s">
        <v>24</v>
      </c>
      <c r="C1651" s="8">
        <v>243.82026380367779</v>
      </c>
      <c r="D1651" s="8">
        <v>243.90378475408869</v>
      </c>
      <c r="E1651" s="8">
        <v>243.67683284293659</v>
      </c>
      <c r="F1651" s="8">
        <v>243.8056973790251</v>
      </c>
      <c r="G1651" s="7">
        <v>54593</v>
      </c>
      <c r="H1651" s="9">
        <v>13310084.437013119</v>
      </c>
      <c r="I1651" s="5" t="s">
        <v>2780</v>
      </c>
    </row>
    <row r="1652" spans="1:9" x14ac:dyDescent="0.25">
      <c r="A1652" s="6">
        <v>45992.847222222219</v>
      </c>
      <c r="B1652" s="5" t="s">
        <v>24</v>
      </c>
      <c r="C1652" s="8">
        <v>243.8422105249</v>
      </c>
      <c r="D1652" s="8">
        <v>243.84795054435719</v>
      </c>
      <c r="E1652" s="8">
        <v>243.76054635369411</v>
      </c>
      <c r="F1652" s="8">
        <v>243.8059541510834</v>
      </c>
      <c r="G1652" s="7">
        <v>67830</v>
      </c>
      <c r="H1652" s="9">
        <v>16537357.870067989</v>
      </c>
      <c r="I1652" s="5" t="s">
        <v>2781</v>
      </c>
    </row>
    <row r="1653" spans="1:9" x14ac:dyDescent="0.25">
      <c r="A1653" s="6">
        <v>45992.850694444453</v>
      </c>
      <c r="B1653" s="5" t="s">
        <v>24</v>
      </c>
      <c r="C1653" s="8">
        <v>243.89355975380329</v>
      </c>
      <c r="D1653" s="8">
        <v>244.10135475858829</v>
      </c>
      <c r="E1653" s="8">
        <v>243.81908854194771</v>
      </c>
      <c r="F1653" s="8">
        <v>243.87948321630131</v>
      </c>
      <c r="G1653" s="7">
        <v>52728</v>
      </c>
      <c r="H1653" s="9">
        <v>12859277.39102914</v>
      </c>
      <c r="I1653" s="5" t="s">
        <v>2782</v>
      </c>
    </row>
    <row r="1654" spans="1:9" x14ac:dyDescent="0.25">
      <c r="A1654" s="6">
        <v>45992.854166666657</v>
      </c>
      <c r="B1654" s="5" t="s">
        <v>24</v>
      </c>
      <c r="C1654" s="8">
        <v>243.4580763396188</v>
      </c>
      <c r="D1654" s="8">
        <v>243.72618059144469</v>
      </c>
      <c r="E1654" s="8">
        <v>243.38095427990299</v>
      </c>
      <c r="F1654" s="8">
        <v>243.62177867046489</v>
      </c>
      <c r="G1654" s="7">
        <v>100121</v>
      </c>
      <c r="H1654" s="9">
        <v>24391656.102265619</v>
      </c>
      <c r="I1654" s="5" t="s">
        <v>2783</v>
      </c>
    </row>
    <row r="1655" spans="1:9" x14ac:dyDescent="0.25">
      <c r="A1655" s="6">
        <v>45992.857638888891</v>
      </c>
      <c r="B1655" s="5" t="s">
        <v>24</v>
      </c>
      <c r="C1655" s="8">
        <v>243.27145253750629</v>
      </c>
      <c r="D1655" s="8">
        <v>243.39597795418771</v>
      </c>
      <c r="E1655" s="8">
        <v>242.9838798345202</v>
      </c>
      <c r="F1655" s="8">
        <v>243.32248955785539</v>
      </c>
      <c r="G1655" s="7">
        <v>83816</v>
      </c>
      <c r="H1655" s="9">
        <v>20394317.78478121</v>
      </c>
      <c r="I1655" s="5" t="s">
        <v>2784</v>
      </c>
    </row>
    <row r="1656" spans="1:9" x14ac:dyDescent="0.25">
      <c r="A1656" s="6">
        <v>45992.861111111109</v>
      </c>
      <c r="B1656" s="5" t="s">
        <v>24</v>
      </c>
      <c r="C1656" s="8">
        <v>243.2982669295773</v>
      </c>
      <c r="D1656" s="8">
        <v>243.35031753518609</v>
      </c>
      <c r="E1656" s="8">
        <v>243.14233350268469</v>
      </c>
      <c r="F1656" s="8">
        <v>243.29608142694471</v>
      </c>
      <c r="G1656" s="7">
        <v>68471</v>
      </c>
      <c r="H1656" s="9">
        <v>16658725.991384329</v>
      </c>
      <c r="I1656" s="5" t="s">
        <v>2785</v>
      </c>
    </row>
    <row r="1657" spans="1:9" x14ac:dyDescent="0.25">
      <c r="A1657" s="6">
        <v>45992.864583333343</v>
      </c>
      <c r="B1657" s="5" t="s">
        <v>24</v>
      </c>
      <c r="C1657" s="8">
        <v>243.08566868042229</v>
      </c>
      <c r="D1657" s="8">
        <v>243.1906460341815</v>
      </c>
      <c r="E1657" s="8">
        <v>243.02886039911979</v>
      </c>
      <c r="F1657" s="8">
        <v>243.0752806472106</v>
      </c>
      <c r="G1657" s="7">
        <v>47795</v>
      </c>
      <c r="H1657" s="9">
        <v>11617783.038533431</v>
      </c>
      <c r="I1657" s="5" t="s">
        <v>2786</v>
      </c>
    </row>
    <row r="1658" spans="1:9" x14ac:dyDescent="0.25">
      <c r="A1658" s="6">
        <v>45992.868055555547</v>
      </c>
      <c r="B1658" s="5" t="s">
        <v>24</v>
      </c>
      <c r="C1658" s="8">
        <v>243.083181807301</v>
      </c>
      <c r="D1658" s="8">
        <v>243.1506958941641</v>
      </c>
      <c r="E1658" s="8">
        <v>242.8349154439158</v>
      </c>
      <c r="F1658" s="8">
        <v>243.02325480313721</v>
      </c>
      <c r="G1658" s="7">
        <v>55102</v>
      </c>
      <c r="H1658" s="9">
        <v>13391067.386162469</v>
      </c>
      <c r="I1658" s="5" t="s">
        <v>2787</v>
      </c>
    </row>
    <row r="1659" spans="1:9" x14ac:dyDescent="0.25">
      <c r="A1659" s="6">
        <v>45992.871527777781</v>
      </c>
      <c r="B1659" s="5" t="s">
        <v>24</v>
      </c>
      <c r="C1659" s="8">
        <v>242.90715423676929</v>
      </c>
      <c r="D1659" s="8">
        <v>242.92303947230701</v>
      </c>
      <c r="E1659" s="8">
        <v>242.8612787477802</v>
      </c>
      <c r="F1659" s="8">
        <v>242.9195964144925</v>
      </c>
      <c r="G1659" s="7">
        <v>53499</v>
      </c>
      <c r="H1659" s="9">
        <v>12995955.48857894</v>
      </c>
      <c r="I1659" s="5" t="s">
        <v>2788</v>
      </c>
    </row>
    <row r="1660" spans="1:9" x14ac:dyDescent="0.25">
      <c r="A1660" s="6">
        <v>45992.875</v>
      </c>
      <c r="B1660" s="5" t="s">
        <v>24</v>
      </c>
      <c r="C1660" s="8">
        <v>243.1618657256877</v>
      </c>
      <c r="D1660" s="8">
        <v>243.30119762798469</v>
      </c>
      <c r="E1660" s="8">
        <v>243.10570599999491</v>
      </c>
      <c r="F1660" s="8">
        <v>243.11888489040251</v>
      </c>
      <c r="G1660" s="7">
        <v>52802</v>
      </c>
      <c r="H1660" s="9">
        <v>12837163.359983031</v>
      </c>
      <c r="I1660" s="5" t="s">
        <v>2789</v>
      </c>
    </row>
    <row r="1661" spans="1:9" x14ac:dyDescent="0.25">
      <c r="A1661" s="6">
        <v>45993.604166666657</v>
      </c>
      <c r="B1661" s="5" t="s">
        <v>24</v>
      </c>
      <c r="C1661" s="8">
        <v>243.08478783166979</v>
      </c>
      <c r="D1661" s="8">
        <v>243.3473826772441</v>
      </c>
      <c r="E1661" s="8">
        <v>242.96350738720301</v>
      </c>
      <c r="F1661" s="8">
        <v>243.1876941884635</v>
      </c>
      <c r="G1661" s="7">
        <v>50860</v>
      </c>
      <c r="H1661" s="9">
        <v>12368526.12642525</v>
      </c>
      <c r="I1661" s="5" t="s">
        <v>2790</v>
      </c>
    </row>
    <row r="1662" spans="1:9" x14ac:dyDescent="0.25">
      <c r="A1662" s="6">
        <v>45993.607638888891</v>
      </c>
      <c r="B1662" s="5" t="s">
        <v>24</v>
      </c>
      <c r="C1662" s="8">
        <v>242.9694509755648</v>
      </c>
      <c r="D1662" s="8">
        <v>243.1107151708292</v>
      </c>
      <c r="E1662" s="8">
        <v>242.79920299051909</v>
      </c>
      <c r="F1662" s="8">
        <v>243.04671770305839</v>
      </c>
      <c r="G1662" s="7">
        <v>90902</v>
      </c>
      <c r="H1662" s="9">
        <v>22093432.732643411</v>
      </c>
      <c r="I1662" s="5" t="s">
        <v>2791</v>
      </c>
    </row>
    <row r="1663" spans="1:9" x14ac:dyDescent="0.25">
      <c r="A1663" s="6">
        <v>45993.611111111109</v>
      </c>
      <c r="B1663" s="5" t="s">
        <v>24</v>
      </c>
      <c r="C1663" s="8">
        <v>242.96485396833231</v>
      </c>
      <c r="D1663" s="8">
        <v>243.16291855854411</v>
      </c>
      <c r="E1663" s="8">
        <v>242.8198013606509</v>
      </c>
      <c r="F1663" s="8">
        <v>243.08988446844921</v>
      </c>
      <c r="G1663" s="7">
        <v>72061</v>
      </c>
      <c r="H1663" s="9">
        <v>17517300.164680921</v>
      </c>
      <c r="I1663" s="5" t="s">
        <v>2792</v>
      </c>
    </row>
    <row r="1664" spans="1:9" x14ac:dyDescent="0.25">
      <c r="A1664" s="6">
        <v>45993.614583333343</v>
      </c>
      <c r="B1664" s="5" t="s">
        <v>24</v>
      </c>
      <c r="C1664" s="8">
        <v>243.16553077039481</v>
      </c>
      <c r="D1664" s="8">
        <v>243.29344560067369</v>
      </c>
      <c r="E1664" s="8">
        <v>243.1043721075776</v>
      </c>
      <c r="F1664" s="8">
        <v>243.20074962336369</v>
      </c>
      <c r="G1664" s="7">
        <v>48153</v>
      </c>
      <c r="H1664" s="9">
        <v>11710845.69661383</v>
      </c>
      <c r="I1664" s="5" t="s">
        <v>2793</v>
      </c>
    </row>
    <row r="1665" spans="1:9" x14ac:dyDescent="0.25">
      <c r="A1665" s="6">
        <v>45993.618055555547</v>
      </c>
      <c r="B1665" s="5" t="s">
        <v>24</v>
      </c>
      <c r="C1665" s="8">
        <v>243.43498668242501</v>
      </c>
      <c r="D1665" s="8">
        <v>243.5306760177051</v>
      </c>
      <c r="E1665" s="8">
        <v>243.15117928484531</v>
      </c>
      <c r="F1665" s="8">
        <v>243.48302800347821</v>
      </c>
      <c r="G1665" s="7">
        <v>67734</v>
      </c>
      <c r="H1665" s="9">
        <v>16492079.418787589</v>
      </c>
      <c r="I1665" s="5" t="s">
        <v>2794</v>
      </c>
    </row>
    <row r="1666" spans="1:9" x14ac:dyDescent="0.25">
      <c r="A1666" s="6">
        <v>45993.621527777781</v>
      </c>
      <c r="B1666" s="5" t="s">
        <v>24</v>
      </c>
      <c r="C1666" s="8">
        <v>243.36404097866611</v>
      </c>
      <c r="D1666" s="8">
        <v>243.51985607674101</v>
      </c>
      <c r="E1666" s="8">
        <v>243.31807990947399</v>
      </c>
      <c r="F1666" s="8">
        <v>243.34616776569209</v>
      </c>
      <c r="G1666" s="7">
        <v>25207</v>
      </c>
      <c r="H1666" s="9">
        <v>6134026.8508698018</v>
      </c>
      <c r="I1666" s="5" t="s">
        <v>2795</v>
      </c>
    </row>
    <row r="1667" spans="1:9" x14ac:dyDescent="0.25">
      <c r="A1667" s="6">
        <v>45993.625</v>
      </c>
      <c r="B1667" s="5" t="s">
        <v>24</v>
      </c>
      <c r="C1667" s="8">
        <v>242.90651279167321</v>
      </c>
      <c r="D1667" s="8">
        <v>243.0382974005355</v>
      </c>
      <c r="E1667" s="8">
        <v>242.7334701765833</v>
      </c>
      <c r="F1667" s="8">
        <v>242.9023665044615</v>
      </c>
      <c r="G1667" s="7">
        <v>84023</v>
      </c>
      <c r="H1667" s="9">
        <v>20409385.540804371</v>
      </c>
      <c r="I1667" s="5" t="s">
        <v>2796</v>
      </c>
    </row>
    <row r="1668" spans="1:9" x14ac:dyDescent="0.25">
      <c r="A1668" s="6">
        <v>45993.628472222219</v>
      </c>
      <c r="B1668" s="5" t="s">
        <v>24</v>
      </c>
      <c r="C1668" s="8">
        <v>242.9100159579213</v>
      </c>
      <c r="D1668" s="8">
        <v>243.03497311097721</v>
      </c>
      <c r="E1668" s="8">
        <v>242.78415553205309</v>
      </c>
      <c r="F1668" s="8">
        <v>242.84617438554429</v>
      </c>
      <c r="G1668" s="7">
        <v>61675</v>
      </c>
      <c r="H1668" s="9">
        <v>14977537.80522844</v>
      </c>
      <c r="I1668" s="5" t="s">
        <v>2797</v>
      </c>
    </row>
    <row r="1669" spans="1:9" x14ac:dyDescent="0.25">
      <c r="A1669" s="6">
        <v>45993.631944444453</v>
      </c>
      <c r="B1669" s="5" t="s">
        <v>24</v>
      </c>
      <c r="C1669" s="8">
        <v>242.60889825578039</v>
      </c>
      <c r="D1669" s="8">
        <v>242.6209659140435</v>
      </c>
      <c r="E1669" s="8">
        <v>242.3667104286894</v>
      </c>
      <c r="F1669" s="8">
        <v>242.58373791904049</v>
      </c>
      <c r="G1669" s="7">
        <v>78307</v>
      </c>
      <c r="H1669" s="9">
        <v>18996004.765226308</v>
      </c>
      <c r="I1669" s="5" t="s">
        <v>2798</v>
      </c>
    </row>
    <row r="1670" spans="1:9" x14ac:dyDescent="0.25">
      <c r="A1670" s="6">
        <v>45993.635416666657</v>
      </c>
      <c r="B1670" s="5" t="s">
        <v>24</v>
      </c>
      <c r="C1670" s="8">
        <v>242.48361811171901</v>
      </c>
      <c r="D1670" s="8">
        <v>242.57639249400009</v>
      </c>
      <c r="E1670" s="8">
        <v>242.47485225015851</v>
      </c>
      <c r="F1670" s="8">
        <v>242.53647804558361</v>
      </c>
      <c r="G1670" s="7">
        <v>75837</v>
      </c>
      <c r="H1670" s="9">
        <v>18393238.885542929</v>
      </c>
      <c r="I1670" s="5" t="s">
        <v>2799</v>
      </c>
    </row>
    <row r="1671" spans="1:9" x14ac:dyDescent="0.25">
      <c r="A1671" s="6">
        <v>45993.638888888891</v>
      </c>
      <c r="B1671" s="5" t="s">
        <v>24</v>
      </c>
      <c r="C1671" s="8">
        <v>242.6506152642522</v>
      </c>
      <c r="D1671" s="8">
        <v>242.89849381278239</v>
      </c>
      <c r="E1671" s="8">
        <v>242.61268986430699</v>
      </c>
      <c r="F1671" s="8">
        <v>242.74072285653759</v>
      </c>
      <c r="G1671" s="7">
        <v>38681</v>
      </c>
      <c r="H1671" s="9">
        <v>9389453.9008137323</v>
      </c>
      <c r="I1671" s="5" t="s">
        <v>2800</v>
      </c>
    </row>
    <row r="1672" spans="1:9" x14ac:dyDescent="0.25">
      <c r="A1672" s="6">
        <v>45993.642361111109</v>
      </c>
      <c r="B1672" s="5" t="s">
        <v>24</v>
      </c>
      <c r="C1672" s="8">
        <v>242.57468082635489</v>
      </c>
      <c r="D1672" s="8">
        <v>242.7628091665164</v>
      </c>
      <c r="E1672" s="8">
        <v>242.50004190216731</v>
      </c>
      <c r="F1672" s="8">
        <v>242.70597190042139</v>
      </c>
      <c r="G1672" s="7">
        <v>52334</v>
      </c>
      <c r="H1672" s="9">
        <v>12701774.33343666</v>
      </c>
      <c r="I1672" s="5" t="s">
        <v>2801</v>
      </c>
    </row>
    <row r="1673" spans="1:9" x14ac:dyDescent="0.25">
      <c r="A1673" s="6">
        <v>45993.645833333343</v>
      </c>
      <c r="B1673" s="5" t="s">
        <v>24</v>
      </c>
      <c r="C1673" s="8">
        <v>242.58158925316809</v>
      </c>
      <c r="D1673" s="8">
        <v>242.6971021632628</v>
      </c>
      <c r="E1673" s="8">
        <v>242.45973609814641</v>
      </c>
      <c r="F1673" s="8">
        <v>242.5523257318782</v>
      </c>
      <c r="G1673" s="7">
        <v>53175</v>
      </c>
      <c r="H1673" s="9">
        <v>12897719.920792621</v>
      </c>
      <c r="I1673" s="5" t="s">
        <v>2802</v>
      </c>
    </row>
    <row r="1674" spans="1:9" x14ac:dyDescent="0.25">
      <c r="A1674" s="6">
        <v>45993.649305555547</v>
      </c>
      <c r="B1674" s="5" t="s">
        <v>24</v>
      </c>
      <c r="C1674" s="8">
        <v>242.41755514008989</v>
      </c>
      <c r="D1674" s="8">
        <v>242.5833472020978</v>
      </c>
      <c r="E1674" s="8">
        <v>242.38280204087641</v>
      </c>
      <c r="F1674" s="8">
        <v>242.47005762846831</v>
      </c>
      <c r="G1674" s="7">
        <v>54987</v>
      </c>
      <c r="H1674" s="9">
        <v>13332701.05881658</v>
      </c>
      <c r="I1674" s="5" t="s">
        <v>2803</v>
      </c>
    </row>
    <row r="1675" spans="1:9" x14ac:dyDescent="0.25">
      <c r="A1675" s="6">
        <v>45993.652777777781</v>
      </c>
      <c r="B1675" s="5" t="s">
        <v>24</v>
      </c>
      <c r="C1675" s="8">
        <v>242.4196838332623</v>
      </c>
      <c r="D1675" s="8">
        <v>242.52922797692781</v>
      </c>
      <c r="E1675" s="8">
        <v>242.30732432625439</v>
      </c>
      <c r="F1675" s="8">
        <v>242.4085111778632</v>
      </c>
      <c r="G1675" s="7">
        <v>53856</v>
      </c>
      <c r="H1675" s="9">
        <v>13055152.777995</v>
      </c>
      <c r="I1675" s="5" t="s">
        <v>2804</v>
      </c>
    </row>
    <row r="1676" spans="1:9" x14ac:dyDescent="0.25">
      <c r="A1676" s="6">
        <v>45993.65625</v>
      </c>
      <c r="B1676" s="5" t="s">
        <v>24</v>
      </c>
      <c r="C1676" s="8">
        <v>242.518957891957</v>
      </c>
      <c r="D1676" s="8">
        <v>242.64253611605011</v>
      </c>
      <c r="E1676" s="8">
        <v>242.33333942333061</v>
      </c>
      <c r="F1676" s="8">
        <v>242.5098445696311</v>
      </c>
      <c r="G1676" s="7">
        <v>72950</v>
      </c>
      <c r="H1676" s="9">
        <v>17691093.16135459</v>
      </c>
      <c r="I1676" s="5" t="s">
        <v>2805</v>
      </c>
    </row>
    <row r="1677" spans="1:9" x14ac:dyDescent="0.25">
      <c r="A1677" s="6">
        <v>45993.659722222219</v>
      </c>
      <c r="B1677" s="5" t="s">
        <v>24</v>
      </c>
      <c r="C1677" s="8">
        <v>242.29467263178151</v>
      </c>
      <c r="D1677" s="8">
        <v>242.44491235066249</v>
      </c>
      <c r="E1677" s="8">
        <v>242.0316267814882</v>
      </c>
      <c r="F1677" s="8">
        <v>242.27029077307679</v>
      </c>
      <c r="G1677" s="7">
        <v>41030</v>
      </c>
      <c r="H1677" s="9">
        <v>9940350.0304193422</v>
      </c>
      <c r="I1677" s="5" t="s">
        <v>2806</v>
      </c>
    </row>
    <row r="1678" spans="1:9" x14ac:dyDescent="0.25">
      <c r="A1678" s="6">
        <v>45993.663194444453</v>
      </c>
      <c r="B1678" s="5" t="s">
        <v>24</v>
      </c>
      <c r="C1678" s="8">
        <v>242.69145753680061</v>
      </c>
      <c r="D1678" s="8">
        <v>242.88063732220829</v>
      </c>
      <c r="E1678" s="8">
        <v>242.47420125656751</v>
      </c>
      <c r="F1678" s="8">
        <v>242.6423310187493</v>
      </c>
      <c r="G1678" s="7">
        <v>70651</v>
      </c>
      <c r="H1678" s="9">
        <v>17142923.328805659</v>
      </c>
      <c r="I1678" s="5" t="s">
        <v>2807</v>
      </c>
    </row>
    <row r="1679" spans="1:9" x14ac:dyDescent="0.25">
      <c r="A1679" s="6">
        <v>45993.666666666657</v>
      </c>
      <c r="B1679" s="5" t="s">
        <v>24</v>
      </c>
      <c r="C1679" s="8">
        <v>242.7419857367158</v>
      </c>
      <c r="D1679" s="8">
        <v>242.80396318705311</v>
      </c>
      <c r="E1679" s="8">
        <v>242.548403565385</v>
      </c>
      <c r="F1679" s="8">
        <v>242.57134443109749</v>
      </c>
      <c r="G1679" s="7">
        <v>37633</v>
      </c>
      <c r="H1679" s="9">
        <v>9128687.4049754906</v>
      </c>
      <c r="I1679" s="5" t="s">
        <v>2808</v>
      </c>
    </row>
    <row r="1680" spans="1:9" x14ac:dyDescent="0.25">
      <c r="A1680" s="6">
        <v>45993.670138888891</v>
      </c>
      <c r="B1680" s="5" t="s">
        <v>24</v>
      </c>
      <c r="C1680" s="8">
        <v>242.6046579436827</v>
      </c>
      <c r="D1680" s="8">
        <v>242.70643303442139</v>
      </c>
      <c r="E1680" s="8">
        <v>242.54772897722481</v>
      </c>
      <c r="F1680" s="8">
        <v>242.56466789237359</v>
      </c>
      <c r="G1680" s="7">
        <v>53980</v>
      </c>
      <c r="H1680" s="9">
        <v>13093640.77283033</v>
      </c>
      <c r="I1680" s="5" t="s">
        <v>2809</v>
      </c>
    </row>
    <row r="1681" spans="1:9" x14ac:dyDescent="0.25">
      <c r="A1681" s="6">
        <v>45993.673611111109</v>
      </c>
      <c r="B1681" s="5" t="s">
        <v>24</v>
      </c>
      <c r="C1681" s="8">
        <v>242.5312587315816</v>
      </c>
      <c r="D1681" s="8">
        <v>242.65184240640261</v>
      </c>
      <c r="E1681" s="8">
        <v>242.38154446691439</v>
      </c>
      <c r="F1681" s="8">
        <v>242.4883769933362</v>
      </c>
      <c r="G1681" s="7">
        <v>33163</v>
      </c>
      <c r="H1681" s="9">
        <v>8041642.0462300098</v>
      </c>
      <c r="I1681" s="5" t="s">
        <v>2810</v>
      </c>
    </row>
    <row r="1682" spans="1:9" x14ac:dyDescent="0.25">
      <c r="A1682" s="6">
        <v>45993.677083333343</v>
      </c>
      <c r="B1682" s="5" t="s">
        <v>24</v>
      </c>
      <c r="C1682" s="8">
        <v>242.50560411714989</v>
      </c>
      <c r="D1682" s="8">
        <v>242.6500531777582</v>
      </c>
      <c r="E1682" s="8">
        <v>242.38722028391041</v>
      </c>
      <c r="F1682" s="8">
        <v>242.58351307423399</v>
      </c>
      <c r="G1682" s="7">
        <v>83567</v>
      </c>
      <c r="H1682" s="9">
        <v>20271976.43707452</v>
      </c>
      <c r="I1682" s="5" t="s">
        <v>2811</v>
      </c>
    </row>
    <row r="1683" spans="1:9" x14ac:dyDescent="0.25">
      <c r="A1683" s="6">
        <v>45993.680555555547</v>
      </c>
      <c r="B1683" s="5" t="s">
        <v>24</v>
      </c>
      <c r="C1683" s="8">
        <v>242.99980671559459</v>
      </c>
      <c r="D1683" s="8">
        <v>243.34697590920351</v>
      </c>
      <c r="E1683" s="8">
        <v>242.97939522594791</v>
      </c>
      <c r="F1683" s="8">
        <v>243.04227863965929</v>
      </c>
      <c r="G1683" s="7">
        <v>53126</v>
      </c>
      <c r="H1683" s="9">
        <v>12911864.09501054</v>
      </c>
      <c r="I1683" s="5" t="s">
        <v>2812</v>
      </c>
    </row>
    <row r="1684" spans="1:9" x14ac:dyDescent="0.25">
      <c r="A1684" s="6">
        <v>45993.684027777781</v>
      </c>
      <c r="B1684" s="5" t="s">
        <v>24</v>
      </c>
      <c r="C1684" s="8">
        <v>243.41058180526761</v>
      </c>
      <c r="D1684" s="8">
        <v>243.44583698669609</v>
      </c>
      <c r="E1684" s="8">
        <v>243.2271470721945</v>
      </c>
      <c r="F1684" s="8">
        <v>243.27569520186881</v>
      </c>
      <c r="G1684" s="7">
        <v>111889</v>
      </c>
      <c r="H1684" s="9">
        <v>27219874.260441899</v>
      </c>
      <c r="I1684" s="5" t="s">
        <v>2813</v>
      </c>
    </row>
    <row r="1685" spans="1:9" x14ac:dyDescent="0.25">
      <c r="A1685" s="6">
        <v>45993.6875</v>
      </c>
      <c r="B1685" s="5" t="s">
        <v>24</v>
      </c>
      <c r="C1685" s="8">
        <v>243.25848158026039</v>
      </c>
      <c r="D1685" s="8">
        <v>243.48541703933111</v>
      </c>
      <c r="E1685" s="8">
        <v>243.1414729067526</v>
      </c>
      <c r="F1685" s="8">
        <v>243.45912576518219</v>
      </c>
      <c r="G1685" s="7">
        <v>48621</v>
      </c>
      <c r="H1685" s="9">
        <v>11837226.153828921</v>
      </c>
      <c r="I1685" s="5" t="s">
        <v>2814</v>
      </c>
    </row>
    <row r="1686" spans="1:9" x14ac:dyDescent="0.25">
      <c r="A1686" s="6">
        <v>45993.690972222219</v>
      </c>
      <c r="B1686" s="5" t="s">
        <v>24</v>
      </c>
      <c r="C1686" s="8">
        <v>243.44419803229439</v>
      </c>
      <c r="D1686" s="8">
        <v>243.5409960542022</v>
      </c>
      <c r="E1686" s="8">
        <v>243.15293873842541</v>
      </c>
      <c r="F1686" s="8">
        <v>243.47986192482321</v>
      </c>
      <c r="G1686" s="7">
        <v>34116</v>
      </c>
      <c r="H1686" s="9">
        <v>8306558.9694272699</v>
      </c>
      <c r="I1686" s="5" t="s">
        <v>2815</v>
      </c>
    </row>
    <row r="1687" spans="1:9" x14ac:dyDescent="0.25">
      <c r="A1687" s="6">
        <v>45993.694444444453</v>
      </c>
      <c r="B1687" s="5" t="s">
        <v>24</v>
      </c>
      <c r="C1687" s="8">
        <v>243.54969942755881</v>
      </c>
      <c r="D1687" s="8">
        <v>243.75921385054781</v>
      </c>
      <c r="E1687" s="8">
        <v>243.34382335092201</v>
      </c>
      <c r="F1687" s="8">
        <v>243.5093832454767</v>
      </c>
      <c r="G1687" s="7">
        <v>40311</v>
      </c>
      <c r="H1687" s="9">
        <v>9816106.7480084095</v>
      </c>
      <c r="I1687" s="5" t="s">
        <v>2816</v>
      </c>
    </row>
    <row r="1688" spans="1:9" x14ac:dyDescent="0.25">
      <c r="A1688" s="6">
        <v>45993.697916666657</v>
      </c>
      <c r="B1688" s="5" t="s">
        <v>24</v>
      </c>
      <c r="C1688" s="8">
        <v>243.60599209617791</v>
      </c>
      <c r="D1688" s="8">
        <v>243.75224295721361</v>
      </c>
      <c r="E1688" s="8">
        <v>243.43165241089639</v>
      </c>
      <c r="F1688" s="8">
        <v>243.68512001707131</v>
      </c>
      <c r="G1688" s="7">
        <v>38618</v>
      </c>
      <c r="H1688" s="9">
        <v>9410631.9648192581</v>
      </c>
      <c r="I1688" s="5" t="s">
        <v>2817</v>
      </c>
    </row>
    <row r="1689" spans="1:9" x14ac:dyDescent="0.25">
      <c r="A1689" s="6">
        <v>45993.701388888891</v>
      </c>
      <c r="B1689" s="5" t="s">
        <v>24</v>
      </c>
      <c r="C1689" s="8">
        <v>243.8305040419192</v>
      </c>
      <c r="D1689" s="8">
        <v>244.0272310551359</v>
      </c>
      <c r="E1689" s="8">
        <v>243.62347957887991</v>
      </c>
      <c r="F1689" s="8">
        <v>243.7739037541576</v>
      </c>
      <c r="G1689" s="7">
        <v>64363</v>
      </c>
      <c r="H1689" s="9">
        <v>15690019.767328851</v>
      </c>
      <c r="I1689" s="5" t="s">
        <v>2818</v>
      </c>
    </row>
    <row r="1690" spans="1:9" x14ac:dyDescent="0.25">
      <c r="A1690" s="6">
        <v>45993.704861111109</v>
      </c>
      <c r="B1690" s="5" t="s">
        <v>24</v>
      </c>
      <c r="C1690" s="8">
        <v>243.4715882552878</v>
      </c>
      <c r="D1690" s="8">
        <v>243.71769643276619</v>
      </c>
      <c r="E1690" s="8">
        <v>243.43539915696141</v>
      </c>
      <c r="F1690" s="8">
        <v>243.55735737758249</v>
      </c>
      <c r="G1690" s="7">
        <v>24098</v>
      </c>
      <c r="H1690" s="9">
        <v>5869245.198084984</v>
      </c>
      <c r="I1690" s="5" t="s">
        <v>2819</v>
      </c>
    </row>
    <row r="1691" spans="1:9" x14ac:dyDescent="0.25">
      <c r="A1691" s="6">
        <v>45993.708333333343</v>
      </c>
      <c r="B1691" s="5" t="s">
        <v>24</v>
      </c>
      <c r="C1691" s="8">
        <v>244.03341590516391</v>
      </c>
      <c r="D1691" s="8">
        <v>244.20580772760309</v>
      </c>
      <c r="E1691" s="8">
        <v>243.88545294694671</v>
      </c>
      <c r="F1691" s="8">
        <v>243.92274569635691</v>
      </c>
      <c r="G1691" s="7">
        <v>46707</v>
      </c>
      <c r="H1691" s="9">
        <v>11392899.683239739</v>
      </c>
      <c r="I1691" s="5" t="s">
        <v>2820</v>
      </c>
    </row>
    <row r="1692" spans="1:9" x14ac:dyDescent="0.25">
      <c r="A1692" s="6">
        <v>45993.711805555547</v>
      </c>
      <c r="B1692" s="5" t="s">
        <v>24</v>
      </c>
      <c r="C1692" s="8">
        <v>243.94298511859071</v>
      </c>
      <c r="D1692" s="8">
        <v>244.32635774869831</v>
      </c>
      <c r="E1692" s="8">
        <v>243.84800308449849</v>
      </c>
      <c r="F1692" s="8">
        <v>244.02587846910541</v>
      </c>
      <c r="G1692" s="7">
        <v>88364</v>
      </c>
      <c r="H1692" s="9">
        <v>21563102.725044031</v>
      </c>
      <c r="I1692" s="5" t="s">
        <v>2821</v>
      </c>
    </row>
    <row r="1693" spans="1:9" x14ac:dyDescent="0.25">
      <c r="A1693" s="6">
        <v>45993.715277777781</v>
      </c>
      <c r="B1693" s="5" t="s">
        <v>24</v>
      </c>
      <c r="C1693" s="8">
        <v>244.15273302019389</v>
      </c>
      <c r="D1693" s="8">
        <v>244.22924061210361</v>
      </c>
      <c r="E1693" s="8">
        <v>244.0261740477813</v>
      </c>
      <c r="F1693" s="8">
        <v>244.1882827845827</v>
      </c>
      <c r="G1693" s="7">
        <v>60860</v>
      </c>
      <c r="H1693" s="9">
        <v>14861298.8902697</v>
      </c>
      <c r="I1693" s="5" t="s">
        <v>2822</v>
      </c>
    </row>
    <row r="1694" spans="1:9" x14ac:dyDescent="0.25">
      <c r="A1694" s="6">
        <v>45993.71875</v>
      </c>
      <c r="B1694" s="5" t="s">
        <v>24</v>
      </c>
      <c r="C1694" s="8">
        <v>244.30256333725191</v>
      </c>
      <c r="D1694" s="8">
        <v>244.3623413610141</v>
      </c>
      <c r="E1694" s="8">
        <v>244.2990919020111</v>
      </c>
      <c r="F1694" s="8">
        <v>244.305348469222</v>
      </c>
      <c r="G1694" s="7">
        <v>90077</v>
      </c>
      <c r="H1694" s="9">
        <v>22006292.87406211</v>
      </c>
      <c r="I1694" s="5" t="s">
        <v>2823</v>
      </c>
    </row>
    <row r="1695" spans="1:9" x14ac:dyDescent="0.25">
      <c r="A1695" s="6">
        <v>45993.722222222219</v>
      </c>
      <c r="B1695" s="5" t="s">
        <v>24</v>
      </c>
      <c r="C1695" s="8">
        <v>244.52045007600631</v>
      </c>
      <c r="D1695" s="8">
        <v>244.61767270291369</v>
      </c>
      <c r="E1695" s="8">
        <v>244.41329835412401</v>
      </c>
      <c r="F1695" s="8">
        <v>244.48814808168251</v>
      </c>
      <c r="G1695" s="7">
        <v>69666</v>
      </c>
      <c r="H1695" s="9">
        <v>17032511.324258491</v>
      </c>
      <c r="I1695" s="5" t="s">
        <v>2824</v>
      </c>
    </row>
    <row r="1696" spans="1:9" x14ac:dyDescent="0.25">
      <c r="A1696" s="6">
        <v>45993.725694444453</v>
      </c>
      <c r="B1696" s="5" t="s">
        <v>24</v>
      </c>
      <c r="C1696" s="8">
        <v>244.34000946783419</v>
      </c>
      <c r="D1696" s="8">
        <v>244.58236962248321</v>
      </c>
      <c r="E1696" s="8">
        <v>244.33172858660029</v>
      </c>
      <c r="F1696" s="8">
        <v>244.3930832101575</v>
      </c>
      <c r="G1696" s="7">
        <v>63708</v>
      </c>
      <c r="H1696" s="9">
        <v>15569794.54515272</v>
      </c>
      <c r="I1696" s="5" t="s">
        <v>2825</v>
      </c>
    </row>
    <row r="1697" spans="1:9" x14ac:dyDescent="0.25">
      <c r="A1697" s="6">
        <v>45993.729166666657</v>
      </c>
      <c r="B1697" s="5" t="s">
        <v>24</v>
      </c>
      <c r="C1697" s="8">
        <v>244.27193892126971</v>
      </c>
      <c r="D1697" s="8">
        <v>244.38103973932931</v>
      </c>
      <c r="E1697" s="8">
        <v>244.2238350408216</v>
      </c>
      <c r="F1697" s="8">
        <v>244.25542646175589</v>
      </c>
      <c r="G1697" s="7">
        <v>35412</v>
      </c>
      <c r="H1697" s="9">
        <v>8649573.1618637014</v>
      </c>
      <c r="I1697" s="5" t="s">
        <v>2826</v>
      </c>
    </row>
    <row r="1698" spans="1:9" x14ac:dyDescent="0.25">
      <c r="A1698" s="6">
        <v>45993.732638888891</v>
      </c>
      <c r="B1698" s="5" t="s">
        <v>24</v>
      </c>
      <c r="C1698" s="8">
        <v>244.17351786535511</v>
      </c>
      <c r="D1698" s="8">
        <v>244.19843857372291</v>
      </c>
      <c r="E1698" s="8">
        <v>244.00346731477151</v>
      </c>
      <c r="F1698" s="8">
        <v>244.13891041178971</v>
      </c>
      <c r="G1698" s="7">
        <v>52891</v>
      </c>
      <c r="H1698" s="9">
        <v>12912751.11058997</v>
      </c>
      <c r="I1698" s="5" t="s">
        <v>2827</v>
      </c>
    </row>
    <row r="1699" spans="1:9" x14ac:dyDescent="0.25">
      <c r="A1699" s="6">
        <v>45993.736111111109</v>
      </c>
      <c r="B1699" s="5" t="s">
        <v>24</v>
      </c>
      <c r="C1699" s="8">
        <v>244.17452022500589</v>
      </c>
      <c r="D1699" s="8">
        <v>244.19094352950279</v>
      </c>
      <c r="E1699" s="8">
        <v>243.99978153299401</v>
      </c>
      <c r="F1699" s="8">
        <v>244.11376608387869</v>
      </c>
      <c r="G1699" s="7">
        <v>32069</v>
      </c>
      <c r="H1699" s="9">
        <v>7828484.3645439046</v>
      </c>
      <c r="I1699" s="5" t="s">
        <v>2828</v>
      </c>
    </row>
    <row r="1700" spans="1:9" x14ac:dyDescent="0.25">
      <c r="A1700" s="6">
        <v>45993.739583333343</v>
      </c>
      <c r="B1700" s="5" t="s">
        <v>24</v>
      </c>
      <c r="C1700" s="8">
        <v>243.95398700648889</v>
      </c>
      <c r="D1700" s="8">
        <v>244.0597745909119</v>
      </c>
      <c r="E1700" s="8">
        <v>243.79322706012169</v>
      </c>
      <c r="F1700" s="8">
        <v>243.8927362119052</v>
      </c>
      <c r="G1700" s="7">
        <v>80035</v>
      </c>
      <c r="H1700" s="9">
        <v>19519955.142719831</v>
      </c>
      <c r="I1700" s="5" t="s">
        <v>2829</v>
      </c>
    </row>
    <row r="1701" spans="1:9" x14ac:dyDescent="0.25">
      <c r="A1701" s="6">
        <v>45993.743055555547</v>
      </c>
      <c r="B1701" s="5" t="s">
        <v>24</v>
      </c>
      <c r="C1701" s="8">
        <v>243.9915248724657</v>
      </c>
      <c r="D1701" s="8">
        <v>244.29538377887079</v>
      </c>
      <c r="E1701" s="8">
        <v>243.87782164942899</v>
      </c>
      <c r="F1701" s="8">
        <v>244.07682850592619</v>
      </c>
      <c r="G1701" s="7">
        <v>38912</v>
      </c>
      <c r="H1701" s="9">
        <v>9497517.5508226007</v>
      </c>
      <c r="I1701" s="5" t="s">
        <v>2830</v>
      </c>
    </row>
    <row r="1702" spans="1:9" x14ac:dyDescent="0.25">
      <c r="A1702" s="6">
        <v>45993.746527777781</v>
      </c>
      <c r="B1702" s="5" t="s">
        <v>24</v>
      </c>
      <c r="C1702" s="8">
        <v>243.79971017134579</v>
      </c>
      <c r="D1702" s="8">
        <v>243.9086793562704</v>
      </c>
      <c r="E1702" s="8">
        <v>243.71457165156269</v>
      </c>
      <c r="F1702" s="8">
        <v>243.77636621534609</v>
      </c>
      <c r="G1702" s="7">
        <v>52610</v>
      </c>
      <c r="H1702" s="9">
        <v>12825074.62658936</v>
      </c>
      <c r="I1702" s="5" t="s">
        <v>2831</v>
      </c>
    </row>
    <row r="1703" spans="1:9" x14ac:dyDescent="0.25">
      <c r="A1703" s="6">
        <v>45993.75</v>
      </c>
      <c r="B1703" s="5" t="s">
        <v>24</v>
      </c>
      <c r="C1703" s="8">
        <v>243.3688374849327</v>
      </c>
      <c r="D1703" s="8">
        <v>243.50243032216639</v>
      </c>
      <c r="E1703" s="8">
        <v>243.35460200109469</v>
      </c>
      <c r="F1703" s="8">
        <v>243.43542552691451</v>
      </c>
      <c r="G1703" s="7">
        <v>76190</v>
      </c>
      <c r="H1703" s="9">
        <v>18547345.070895609</v>
      </c>
      <c r="I1703" s="5" t="s">
        <v>2832</v>
      </c>
    </row>
    <row r="1704" spans="1:9" x14ac:dyDescent="0.25">
      <c r="A1704" s="6">
        <v>45993.753472222219</v>
      </c>
      <c r="B1704" s="5" t="s">
        <v>24</v>
      </c>
      <c r="C1704" s="8">
        <v>243.3020993923048</v>
      </c>
      <c r="D1704" s="8">
        <v>243.3470937702925</v>
      </c>
      <c r="E1704" s="8">
        <v>243.2439965150721</v>
      </c>
      <c r="F1704" s="8">
        <v>243.27493911994421</v>
      </c>
      <c r="G1704" s="7">
        <v>26279</v>
      </c>
      <c r="H1704" s="9">
        <v>6393022.1251330143</v>
      </c>
      <c r="I1704" s="5" t="s">
        <v>2833</v>
      </c>
    </row>
    <row r="1705" spans="1:9" x14ac:dyDescent="0.25">
      <c r="A1705" s="6">
        <v>45993.756944444453</v>
      </c>
      <c r="B1705" s="5" t="s">
        <v>24</v>
      </c>
      <c r="C1705" s="8">
        <v>243.03737577566471</v>
      </c>
      <c r="D1705" s="8">
        <v>243.2310192320229</v>
      </c>
      <c r="E1705" s="8">
        <v>242.89524518811709</v>
      </c>
      <c r="F1705" s="8">
        <v>243.1472729834899</v>
      </c>
      <c r="G1705" s="7">
        <v>67358</v>
      </c>
      <c r="H1705" s="9">
        <v>16377914.013621921</v>
      </c>
      <c r="I1705" s="5" t="s">
        <v>2834</v>
      </c>
    </row>
    <row r="1706" spans="1:9" x14ac:dyDescent="0.25">
      <c r="A1706" s="6">
        <v>45993.760416666657</v>
      </c>
      <c r="B1706" s="5" t="s">
        <v>24</v>
      </c>
      <c r="C1706" s="8">
        <v>243.58436937383601</v>
      </c>
      <c r="D1706" s="8">
        <v>243.69163709481529</v>
      </c>
      <c r="E1706" s="8">
        <v>243.5099607356992</v>
      </c>
      <c r="F1706" s="8">
        <v>243.57204805758789</v>
      </c>
      <c r="G1706" s="7">
        <v>65711</v>
      </c>
      <c r="H1706" s="9">
        <v>16005362.849912159</v>
      </c>
      <c r="I1706" s="5" t="s">
        <v>2835</v>
      </c>
    </row>
    <row r="1707" spans="1:9" x14ac:dyDescent="0.25">
      <c r="A1707" s="6">
        <v>45993.763888888891</v>
      </c>
      <c r="B1707" s="5" t="s">
        <v>24</v>
      </c>
      <c r="C1707" s="8">
        <v>243.3043931326512</v>
      </c>
      <c r="D1707" s="8">
        <v>243.46792914745811</v>
      </c>
      <c r="E1707" s="8">
        <v>243.28999048947679</v>
      </c>
      <c r="F1707" s="8">
        <v>243.33257555139599</v>
      </c>
      <c r="G1707" s="7">
        <v>51772</v>
      </c>
      <c r="H1707" s="9">
        <v>12597814.101446871</v>
      </c>
      <c r="I1707" s="5" t="s">
        <v>2836</v>
      </c>
    </row>
    <row r="1708" spans="1:9" x14ac:dyDescent="0.25">
      <c r="A1708" s="6">
        <v>45993.767361111109</v>
      </c>
      <c r="B1708" s="5" t="s">
        <v>24</v>
      </c>
      <c r="C1708" s="8">
        <v>243.31696644284619</v>
      </c>
      <c r="D1708" s="8">
        <v>243.50021892986959</v>
      </c>
      <c r="E1708" s="8">
        <v>243.0587520836695</v>
      </c>
      <c r="F1708" s="8">
        <v>243.28770508812059</v>
      </c>
      <c r="G1708" s="7">
        <v>57627</v>
      </c>
      <c r="H1708" s="9">
        <v>14019940.58111313</v>
      </c>
      <c r="I1708" s="5" t="s">
        <v>2837</v>
      </c>
    </row>
    <row r="1709" spans="1:9" x14ac:dyDescent="0.25">
      <c r="A1709" s="6">
        <v>45993.770833333343</v>
      </c>
      <c r="B1709" s="5" t="s">
        <v>24</v>
      </c>
      <c r="C1709" s="8">
        <v>243.21489690157711</v>
      </c>
      <c r="D1709" s="8">
        <v>243.25573080727929</v>
      </c>
      <c r="E1709" s="8">
        <v>243.1541883453196</v>
      </c>
      <c r="F1709" s="8">
        <v>243.2388019648215</v>
      </c>
      <c r="G1709" s="7">
        <v>86748</v>
      </c>
      <c r="H1709" s="9">
        <v>21100479.592844341</v>
      </c>
      <c r="I1709" s="5" t="s">
        <v>2838</v>
      </c>
    </row>
    <row r="1710" spans="1:9" x14ac:dyDescent="0.25">
      <c r="A1710" s="6">
        <v>45993.774305555547</v>
      </c>
      <c r="B1710" s="5" t="s">
        <v>24</v>
      </c>
      <c r="C1710" s="8">
        <v>242.75560562285671</v>
      </c>
      <c r="D1710" s="8">
        <v>242.8499914853312</v>
      </c>
      <c r="E1710" s="8">
        <v>242.53356691129099</v>
      </c>
      <c r="F1710" s="8">
        <v>242.84757235065391</v>
      </c>
      <c r="G1710" s="7">
        <v>67696</v>
      </c>
      <c r="H1710" s="9">
        <v>16439809.25784987</v>
      </c>
      <c r="I1710" s="5" t="s">
        <v>2839</v>
      </c>
    </row>
    <row r="1711" spans="1:9" x14ac:dyDescent="0.25">
      <c r="A1711" s="6">
        <v>45993.777777777781</v>
      </c>
      <c r="B1711" s="5" t="s">
        <v>24</v>
      </c>
      <c r="C1711" s="8">
        <v>242.6254653446818</v>
      </c>
      <c r="D1711" s="8">
        <v>242.82438112857639</v>
      </c>
      <c r="E1711" s="8">
        <v>242.47941170290369</v>
      </c>
      <c r="F1711" s="8">
        <v>242.64255645574099</v>
      </c>
      <c r="G1711" s="7">
        <v>147851</v>
      </c>
      <c r="H1711" s="9">
        <v>35874944.614537753</v>
      </c>
      <c r="I1711" s="5" t="s">
        <v>2840</v>
      </c>
    </row>
    <row r="1712" spans="1:9" x14ac:dyDescent="0.25">
      <c r="A1712" s="6">
        <v>45993.78125</v>
      </c>
      <c r="B1712" s="5" t="s">
        <v>24</v>
      </c>
      <c r="C1712" s="8">
        <v>242.6429614378313</v>
      </c>
      <c r="D1712" s="8">
        <v>242.66506085335769</v>
      </c>
      <c r="E1712" s="8">
        <v>242.47219134655779</v>
      </c>
      <c r="F1712" s="8">
        <v>242.54735950376741</v>
      </c>
      <c r="G1712" s="7">
        <v>43644</v>
      </c>
      <c r="H1712" s="9">
        <v>10585736.958182421</v>
      </c>
      <c r="I1712" s="5" t="s">
        <v>2841</v>
      </c>
    </row>
    <row r="1713" spans="1:9" x14ac:dyDescent="0.25">
      <c r="A1713" s="6">
        <v>45993.784722222219</v>
      </c>
      <c r="B1713" s="5" t="s">
        <v>24</v>
      </c>
      <c r="C1713" s="8">
        <v>242.58384487137451</v>
      </c>
      <c r="D1713" s="8">
        <v>243.0558168010653</v>
      </c>
      <c r="E1713" s="8">
        <v>242.18797395990339</v>
      </c>
      <c r="F1713" s="8">
        <v>242.62968942959679</v>
      </c>
      <c r="G1713" s="7">
        <v>55051</v>
      </c>
      <c r="H1713" s="9">
        <v>13357007.032788729</v>
      </c>
      <c r="I1713" s="5" t="s">
        <v>2842</v>
      </c>
    </row>
    <row r="1714" spans="1:9" x14ac:dyDescent="0.25">
      <c r="A1714" s="6">
        <v>45993.788194444453</v>
      </c>
      <c r="B1714" s="5" t="s">
        <v>24</v>
      </c>
      <c r="C1714" s="8">
        <v>242.68178630155509</v>
      </c>
      <c r="D1714" s="8">
        <v>242.91809890446501</v>
      </c>
      <c r="E1714" s="8">
        <v>242.58163499788631</v>
      </c>
      <c r="F1714" s="8">
        <v>242.74685181391391</v>
      </c>
      <c r="G1714" s="7">
        <v>101321</v>
      </c>
      <c r="H1714" s="9">
        <v>24595353.772637568</v>
      </c>
      <c r="I1714" s="5" t="s">
        <v>2843</v>
      </c>
    </row>
    <row r="1715" spans="1:9" x14ac:dyDescent="0.25">
      <c r="A1715" s="6">
        <v>45993.791666666657</v>
      </c>
      <c r="B1715" s="5" t="s">
        <v>24</v>
      </c>
      <c r="C1715" s="8">
        <v>242.35895350427239</v>
      </c>
      <c r="D1715" s="8">
        <v>242.50564386783489</v>
      </c>
      <c r="E1715" s="8">
        <v>242.1075036482757</v>
      </c>
      <c r="F1715" s="8">
        <v>242.3213626928698</v>
      </c>
      <c r="G1715" s="7">
        <v>41394</v>
      </c>
      <c r="H1715" s="9">
        <v>10030650.487308649</v>
      </c>
      <c r="I1715" s="5" t="s">
        <v>2844</v>
      </c>
    </row>
    <row r="1716" spans="1:9" x14ac:dyDescent="0.25">
      <c r="A1716" s="6">
        <v>45993.795138888891</v>
      </c>
      <c r="B1716" s="5" t="s">
        <v>24</v>
      </c>
      <c r="C1716" s="8">
        <v>242.14840859317019</v>
      </c>
      <c r="D1716" s="8">
        <v>242.32423498277461</v>
      </c>
      <c r="E1716" s="8">
        <v>242.14073266334009</v>
      </c>
      <c r="F1716" s="8">
        <v>242.20632574411249</v>
      </c>
      <c r="G1716" s="7">
        <v>47547</v>
      </c>
      <c r="H1716" s="9">
        <v>11516184.17015532</v>
      </c>
      <c r="I1716" s="5" t="s">
        <v>2845</v>
      </c>
    </row>
    <row r="1717" spans="1:9" x14ac:dyDescent="0.25">
      <c r="A1717" s="6">
        <v>45993.798611111109</v>
      </c>
      <c r="B1717" s="5" t="s">
        <v>24</v>
      </c>
      <c r="C1717" s="8">
        <v>242.3336739279388</v>
      </c>
      <c r="D1717" s="8">
        <v>242.40620927511731</v>
      </c>
      <c r="E1717" s="8">
        <v>242.11808761611809</v>
      </c>
      <c r="F1717" s="8">
        <v>242.25574460743681</v>
      </c>
      <c r="G1717" s="7">
        <v>78950</v>
      </c>
      <c r="H1717" s="9">
        <v>19126091.03675713</v>
      </c>
      <c r="I1717" s="5" t="s">
        <v>2846</v>
      </c>
    </row>
    <row r="1718" spans="1:9" x14ac:dyDescent="0.25">
      <c r="A1718" s="6">
        <v>45993.802083333343</v>
      </c>
      <c r="B1718" s="5" t="s">
        <v>24</v>
      </c>
      <c r="C1718" s="8">
        <v>242.7057250956257</v>
      </c>
      <c r="D1718" s="8">
        <v>242.80553194063751</v>
      </c>
      <c r="E1718" s="8">
        <v>242.5625303180893</v>
      </c>
      <c r="F1718" s="8">
        <v>242.60220131090949</v>
      </c>
      <c r="G1718" s="7">
        <v>76809</v>
      </c>
      <c r="H1718" s="9">
        <v>18634032.480489649</v>
      </c>
      <c r="I1718" s="5" t="s">
        <v>2847</v>
      </c>
    </row>
    <row r="1719" spans="1:9" x14ac:dyDescent="0.25">
      <c r="A1719" s="6">
        <v>45993.805555555547</v>
      </c>
      <c r="B1719" s="5" t="s">
        <v>24</v>
      </c>
      <c r="C1719" s="8">
        <v>242.74418442462681</v>
      </c>
      <c r="D1719" s="8">
        <v>242.7595754007836</v>
      </c>
      <c r="E1719" s="8">
        <v>242.56588120279261</v>
      </c>
      <c r="F1719" s="8">
        <v>242.70537875074939</v>
      </c>
      <c r="G1719" s="7">
        <v>79434</v>
      </c>
      <c r="H1719" s="9">
        <v>19279059.055687029</v>
      </c>
      <c r="I1719" s="5" t="s">
        <v>2848</v>
      </c>
    </row>
    <row r="1720" spans="1:9" x14ac:dyDescent="0.25">
      <c r="A1720" s="6">
        <v>45993.809027777781</v>
      </c>
      <c r="B1720" s="5" t="s">
        <v>24</v>
      </c>
      <c r="C1720" s="8">
        <v>242.46736758170019</v>
      </c>
      <c r="D1720" s="8">
        <v>242.61867122767771</v>
      </c>
      <c r="E1720" s="8">
        <v>242.4103753670685</v>
      </c>
      <c r="F1720" s="8">
        <v>242.4201722881177</v>
      </c>
      <c r="G1720" s="7">
        <v>56060</v>
      </c>
      <c r="H1720" s="9">
        <v>13590074.85847188</v>
      </c>
      <c r="I1720" s="5" t="s">
        <v>2849</v>
      </c>
    </row>
    <row r="1721" spans="1:9" x14ac:dyDescent="0.25">
      <c r="A1721" s="6">
        <v>45993.8125</v>
      </c>
      <c r="B1721" s="5" t="s">
        <v>24</v>
      </c>
      <c r="C1721" s="8">
        <v>242.4756493232241</v>
      </c>
      <c r="D1721" s="8">
        <v>242.57289635045981</v>
      </c>
      <c r="E1721" s="8">
        <v>242.39589191802989</v>
      </c>
      <c r="F1721" s="8">
        <v>242.51469451698321</v>
      </c>
      <c r="G1721" s="7">
        <v>49832</v>
      </c>
      <c r="H1721" s="9">
        <v>12084992.25717031</v>
      </c>
      <c r="I1721" s="5" t="s">
        <v>2850</v>
      </c>
    </row>
    <row r="1722" spans="1:9" x14ac:dyDescent="0.25">
      <c r="A1722" s="6">
        <v>45993.815972222219</v>
      </c>
      <c r="B1722" s="5" t="s">
        <v>24</v>
      </c>
      <c r="C1722" s="8">
        <v>242.2331475656847</v>
      </c>
      <c r="D1722" s="8">
        <v>242.3215571688703</v>
      </c>
      <c r="E1722" s="8">
        <v>242.1529832693993</v>
      </c>
      <c r="F1722" s="8">
        <v>242.19831232314269</v>
      </c>
      <c r="G1722" s="7">
        <v>59006</v>
      </c>
      <c r="H1722" s="9">
        <v>14291153.61693936</v>
      </c>
      <c r="I1722" s="5" t="s">
        <v>2851</v>
      </c>
    </row>
    <row r="1723" spans="1:9" x14ac:dyDescent="0.25">
      <c r="A1723" s="6">
        <v>45993.819444444453</v>
      </c>
      <c r="B1723" s="5" t="s">
        <v>24</v>
      </c>
      <c r="C1723" s="8">
        <v>242.3216236661369</v>
      </c>
      <c r="D1723" s="8">
        <v>242.51269222119481</v>
      </c>
      <c r="E1723" s="8">
        <v>242.26123584221321</v>
      </c>
      <c r="F1723" s="8">
        <v>242.2820272284817</v>
      </c>
      <c r="G1723" s="7">
        <v>63369</v>
      </c>
      <c r="H1723" s="9">
        <v>15353169.783441661</v>
      </c>
      <c r="I1723" s="5" t="s">
        <v>2852</v>
      </c>
    </row>
    <row r="1724" spans="1:9" x14ac:dyDescent="0.25">
      <c r="A1724" s="6">
        <v>45993.822916666657</v>
      </c>
      <c r="B1724" s="5" t="s">
        <v>24</v>
      </c>
      <c r="C1724" s="8">
        <v>242.07708962317011</v>
      </c>
      <c r="D1724" s="8">
        <v>242.1759482084247</v>
      </c>
      <c r="E1724" s="8">
        <v>241.89695047514061</v>
      </c>
      <c r="F1724" s="8">
        <v>242.1261275132583</v>
      </c>
      <c r="G1724" s="7">
        <v>71811</v>
      </c>
      <c r="H1724" s="9">
        <v>17387319.342854589</v>
      </c>
      <c r="I1724" s="5" t="s">
        <v>2853</v>
      </c>
    </row>
    <row r="1725" spans="1:9" x14ac:dyDescent="0.25">
      <c r="A1725" s="6">
        <v>45993.826388888891</v>
      </c>
      <c r="B1725" s="5" t="s">
        <v>24</v>
      </c>
      <c r="C1725" s="8">
        <v>242.29379986047431</v>
      </c>
      <c r="D1725" s="8">
        <v>242.56537048764969</v>
      </c>
      <c r="E1725" s="8">
        <v>242.26803997955631</v>
      </c>
      <c r="F1725" s="8">
        <v>242.27232423603419</v>
      </c>
      <c r="G1725" s="7">
        <v>81596</v>
      </c>
      <c r="H1725" s="9">
        <v>19768452.568363439</v>
      </c>
      <c r="I1725" s="5" t="s">
        <v>2854</v>
      </c>
    </row>
    <row r="1726" spans="1:9" x14ac:dyDescent="0.25">
      <c r="A1726" s="6">
        <v>45993.829861111109</v>
      </c>
      <c r="B1726" s="5" t="s">
        <v>24</v>
      </c>
      <c r="C1726" s="8">
        <v>243.0229904544488</v>
      </c>
      <c r="D1726" s="8">
        <v>243.02703702278981</v>
      </c>
      <c r="E1726" s="8">
        <v>242.77075638427459</v>
      </c>
      <c r="F1726" s="8">
        <v>242.9969224119877</v>
      </c>
      <c r="G1726" s="7">
        <v>34070</v>
      </c>
      <c r="H1726" s="9">
        <v>8278905.1465764223</v>
      </c>
      <c r="I1726" s="5" t="s">
        <v>2855</v>
      </c>
    </row>
    <row r="1727" spans="1:9" x14ac:dyDescent="0.25">
      <c r="A1727" s="6">
        <v>45993.833333333343</v>
      </c>
      <c r="B1727" s="5" t="s">
        <v>24</v>
      </c>
      <c r="C1727" s="8">
        <v>243.45905957766669</v>
      </c>
      <c r="D1727" s="8">
        <v>243.59175899377351</v>
      </c>
      <c r="E1727" s="8">
        <v>243.38287790847991</v>
      </c>
      <c r="F1727" s="8">
        <v>243.45554287034241</v>
      </c>
      <c r="G1727" s="7">
        <v>40515</v>
      </c>
      <c r="H1727" s="9">
        <v>9863601.319391923</v>
      </c>
      <c r="I1727" s="5" t="s">
        <v>2856</v>
      </c>
    </row>
    <row r="1728" spans="1:9" x14ac:dyDescent="0.25">
      <c r="A1728" s="6">
        <v>45993.836805555547</v>
      </c>
      <c r="B1728" s="5" t="s">
        <v>24</v>
      </c>
      <c r="C1728" s="8">
        <v>243.4025612758056</v>
      </c>
      <c r="D1728" s="8">
        <v>243.5321524777282</v>
      </c>
      <c r="E1728" s="8">
        <v>243.188173335324</v>
      </c>
      <c r="F1728" s="8">
        <v>243.45039590369609</v>
      </c>
      <c r="G1728" s="7">
        <v>70616</v>
      </c>
      <c r="H1728" s="9">
        <v>17191493.157135408</v>
      </c>
      <c r="I1728" s="5" t="s">
        <v>2857</v>
      </c>
    </row>
    <row r="1729" spans="1:9" x14ac:dyDescent="0.25">
      <c r="A1729" s="6">
        <v>45993.840277777781</v>
      </c>
      <c r="B1729" s="5" t="s">
        <v>24</v>
      </c>
      <c r="C1729" s="8">
        <v>243.46005887613339</v>
      </c>
      <c r="D1729" s="8">
        <v>243.65814626430901</v>
      </c>
      <c r="E1729" s="8">
        <v>243.26601579322241</v>
      </c>
      <c r="F1729" s="8">
        <v>243.45845661118699</v>
      </c>
      <c r="G1729" s="7">
        <v>42881</v>
      </c>
      <c r="H1729" s="9">
        <v>10439742.07794431</v>
      </c>
      <c r="I1729" s="5" t="s">
        <v>2858</v>
      </c>
    </row>
    <row r="1730" spans="1:9" x14ac:dyDescent="0.25">
      <c r="A1730" s="6">
        <v>45993.84375</v>
      </c>
      <c r="B1730" s="5" t="s">
        <v>24</v>
      </c>
      <c r="C1730" s="8">
        <v>243.24989641321039</v>
      </c>
      <c r="D1730" s="8">
        <v>243.40914976317421</v>
      </c>
      <c r="E1730" s="8">
        <v>243.19389142466599</v>
      </c>
      <c r="F1730" s="8">
        <v>243.3368611314126</v>
      </c>
      <c r="G1730" s="7">
        <v>42880</v>
      </c>
      <c r="H1730" s="9">
        <v>10434284.60531497</v>
      </c>
      <c r="I1730" s="5" t="s">
        <v>2859</v>
      </c>
    </row>
    <row r="1731" spans="1:9" x14ac:dyDescent="0.25">
      <c r="A1731" s="6">
        <v>45993.847222222219</v>
      </c>
      <c r="B1731" s="5" t="s">
        <v>24</v>
      </c>
      <c r="C1731" s="8">
        <v>243.44779188539491</v>
      </c>
      <c r="D1731" s="8">
        <v>243.51263271328119</v>
      </c>
      <c r="E1731" s="8">
        <v>243.44612933558611</v>
      </c>
      <c r="F1731" s="8">
        <v>243.4544400955748</v>
      </c>
      <c r="G1731" s="7">
        <v>49795</v>
      </c>
      <c r="H1731" s="9">
        <v>12122813.84455915</v>
      </c>
      <c r="I1731" s="5" t="s">
        <v>2860</v>
      </c>
    </row>
    <row r="1732" spans="1:9" x14ac:dyDescent="0.25">
      <c r="A1732" s="6">
        <v>45993.850694444453</v>
      </c>
      <c r="B1732" s="5" t="s">
        <v>24</v>
      </c>
      <c r="C1732" s="8">
        <v>243.255632002151</v>
      </c>
      <c r="D1732" s="8">
        <v>243.38999018109561</v>
      </c>
      <c r="E1732" s="8">
        <v>243.07489054489</v>
      </c>
      <c r="F1732" s="8">
        <v>243.2227606023902</v>
      </c>
      <c r="G1732" s="7">
        <v>65280</v>
      </c>
      <c r="H1732" s="9">
        <v>15877581.812124031</v>
      </c>
      <c r="I1732" s="5" t="s">
        <v>2861</v>
      </c>
    </row>
    <row r="1733" spans="1:9" x14ac:dyDescent="0.25">
      <c r="A1733" s="6">
        <v>45993.854166666657</v>
      </c>
      <c r="B1733" s="5" t="s">
        <v>24</v>
      </c>
      <c r="C1733" s="8">
        <v>243.15564057975291</v>
      </c>
      <c r="D1733" s="8">
        <v>243.45139576990559</v>
      </c>
      <c r="E1733" s="8">
        <v>243.1172450990112</v>
      </c>
      <c r="F1733" s="8">
        <v>243.21442087839509</v>
      </c>
      <c r="G1733" s="7">
        <v>72304</v>
      </c>
      <c r="H1733" s="9">
        <v>17585375.48719148</v>
      </c>
      <c r="I1733" s="5" t="s">
        <v>2862</v>
      </c>
    </row>
    <row r="1734" spans="1:9" x14ac:dyDescent="0.25">
      <c r="A1734" s="6">
        <v>45993.857638888891</v>
      </c>
      <c r="B1734" s="5" t="s">
        <v>24</v>
      </c>
      <c r="C1734" s="8">
        <v>243.1588010172874</v>
      </c>
      <c r="D1734" s="8">
        <v>243.2209883298238</v>
      </c>
      <c r="E1734" s="8">
        <v>242.92477020509929</v>
      </c>
      <c r="F1734" s="8">
        <v>243.0750182870826</v>
      </c>
      <c r="G1734" s="7">
        <v>79936</v>
      </c>
      <c r="H1734" s="9">
        <v>19430444.661796238</v>
      </c>
      <c r="I1734" s="5" t="s">
        <v>2863</v>
      </c>
    </row>
    <row r="1735" spans="1:9" x14ac:dyDescent="0.25">
      <c r="A1735" s="6">
        <v>45993.861111111109</v>
      </c>
      <c r="B1735" s="5" t="s">
        <v>24</v>
      </c>
      <c r="C1735" s="8">
        <v>242.98726093882181</v>
      </c>
      <c r="D1735" s="8">
        <v>243.06065606177179</v>
      </c>
      <c r="E1735" s="8">
        <v>242.89697262492101</v>
      </c>
      <c r="F1735" s="8">
        <v>243.04963449985371</v>
      </c>
      <c r="G1735" s="7">
        <v>52972</v>
      </c>
      <c r="H1735" s="9">
        <v>12874825.238726251</v>
      </c>
      <c r="I1735" s="5" t="s">
        <v>2864</v>
      </c>
    </row>
    <row r="1736" spans="1:9" x14ac:dyDescent="0.25">
      <c r="A1736" s="6">
        <v>45993.864583333343</v>
      </c>
      <c r="B1736" s="5" t="s">
        <v>24</v>
      </c>
      <c r="C1736" s="8">
        <v>243.49098031193441</v>
      </c>
      <c r="D1736" s="8">
        <v>243.54244593806959</v>
      </c>
      <c r="E1736" s="8">
        <v>243.31997005239069</v>
      </c>
      <c r="F1736" s="8">
        <v>243.42162047517439</v>
      </c>
      <c r="G1736" s="7">
        <v>82929</v>
      </c>
      <c r="H1736" s="9">
        <v>20186711.564385738</v>
      </c>
      <c r="I1736" s="5" t="s">
        <v>2865</v>
      </c>
    </row>
    <row r="1737" spans="1:9" x14ac:dyDescent="0.25">
      <c r="A1737" s="6">
        <v>45993.868055555547</v>
      </c>
      <c r="B1737" s="5" t="s">
        <v>24</v>
      </c>
      <c r="C1737" s="8">
        <v>243.4813831852789</v>
      </c>
      <c r="D1737" s="8">
        <v>243.50830768150479</v>
      </c>
      <c r="E1737" s="8">
        <v>243.40182894791749</v>
      </c>
      <c r="F1737" s="8">
        <v>243.48142729419499</v>
      </c>
      <c r="G1737" s="7">
        <v>124643</v>
      </c>
      <c r="H1737" s="9">
        <v>30348255.542230349</v>
      </c>
      <c r="I1737" s="5" t="s">
        <v>2866</v>
      </c>
    </row>
    <row r="1738" spans="1:9" x14ac:dyDescent="0.25">
      <c r="A1738" s="6">
        <v>45993.871527777781</v>
      </c>
      <c r="B1738" s="5" t="s">
        <v>24</v>
      </c>
      <c r="C1738" s="8">
        <v>243.25951407355831</v>
      </c>
      <c r="D1738" s="8">
        <v>243.3248871325078</v>
      </c>
      <c r="E1738" s="8">
        <v>242.8968267664774</v>
      </c>
      <c r="F1738" s="8">
        <v>243.24984644613571</v>
      </c>
      <c r="G1738" s="7">
        <v>51495</v>
      </c>
      <c r="H1738" s="9">
        <v>12526150.84274376</v>
      </c>
      <c r="I1738" s="5" t="s">
        <v>2867</v>
      </c>
    </row>
    <row r="1739" spans="1:9" x14ac:dyDescent="0.25">
      <c r="A1739" s="6">
        <v>45993.875</v>
      </c>
      <c r="B1739" s="5" t="s">
        <v>24</v>
      </c>
      <c r="C1739" s="8">
        <v>243.59077886055161</v>
      </c>
      <c r="D1739" s="8">
        <v>243.67474852998291</v>
      </c>
      <c r="E1739" s="8">
        <v>243.3729074296962</v>
      </c>
      <c r="F1739" s="8">
        <v>243.54009704513479</v>
      </c>
      <c r="G1739" s="7">
        <v>71522</v>
      </c>
      <c r="H1739" s="9">
        <v>17418474.820862129</v>
      </c>
      <c r="I1739" s="5" t="s">
        <v>2868</v>
      </c>
    </row>
    <row r="1740" spans="1:9" x14ac:dyDescent="0.25">
      <c r="A1740" s="6">
        <v>45994.604166666657</v>
      </c>
      <c r="B1740" s="5" t="s">
        <v>24</v>
      </c>
      <c r="C1740" s="8">
        <v>243.64014504396519</v>
      </c>
      <c r="D1740" s="8">
        <v>243.79230985463391</v>
      </c>
      <c r="E1740" s="8">
        <v>243.24516205079891</v>
      </c>
      <c r="F1740" s="8">
        <v>243.4971096325086</v>
      </c>
      <c r="G1740" s="7">
        <v>47513</v>
      </c>
      <c r="H1740" s="9">
        <v>11569278.16996938</v>
      </c>
      <c r="I1740" s="5" t="s">
        <v>2869</v>
      </c>
    </row>
    <row r="1741" spans="1:9" x14ac:dyDescent="0.25">
      <c r="A1741" s="6">
        <v>45994.607638888891</v>
      </c>
      <c r="B1741" s="5" t="s">
        <v>24</v>
      </c>
      <c r="C1741" s="8">
        <v>243.6298255164279</v>
      </c>
      <c r="D1741" s="8">
        <v>243.69960265746411</v>
      </c>
      <c r="E1741" s="8">
        <v>243.48024613976861</v>
      </c>
      <c r="F1741" s="8">
        <v>243.67041936721739</v>
      </c>
      <c r="G1741" s="7">
        <v>78809</v>
      </c>
      <c r="H1741" s="9">
        <v>19203422.079911038</v>
      </c>
      <c r="I1741" s="5" t="s">
        <v>2870</v>
      </c>
    </row>
    <row r="1742" spans="1:9" x14ac:dyDescent="0.25">
      <c r="A1742" s="6">
        <v>45994.611111111109</v>
      </c>
      <c r="B1742" s="5" t="s">
        <v>24</v>
      </c>
      <c r="C1742" s="8">
        <v>243.87146821950199</v>
      </c>
      <c r="D1742" s="8">
        <v>243.89543384677691</v>
      </c>
      <c r="E1742" s="8">
        <v>243.61070336456001</v>
      </c>
      <c r="F1742" s="8">
        <v>243.78343276753611</v>
      </c>
      <c r="G1742" s="7">
        <v>67149</v>
      </c>
      <c r="H1742" s="9">
        <v>16369813.726907279</v>
      </c>
      <c r="I1742" s="5" t="s">
        <v>2871</v>
      </c>
    </row>
    <row r="1743" spans="1:9" x14ac:dyDescent="0.25">
      <c r="A1743" s="6">
        <v>45994.614583333343</v>
      </c>
      <c r="B1743" s="5" t="s">
        <v>24</v>
      </c>
      <c r="C1743" s="8">
        <v>244.2271036295343</v>
      </c>
      <c r="D1743" s="8">
        <v>244.25912833770019</v>
      </c>
      <c r="E1743" s="8">
        <v>243.94995498539481</v>
      </c>
      <c r="F1743" s="8">
        <v>244.1385797246713</v>
      </c>
      <c r="G1743" s="7">
        <v>86647</v>
      </c>
      <c r="H1743" s="9">
        <v>21153875.517403591</v>
      </c>
      <c r="I1743" s="5" t="s">
        <v>2872</v>
      </c>
    </row>
    <row r="1744" spans="1:9" x14ac:dyDescent="0.25">
      <c r="A1744" s="6">
        <v>45994.618055555547</v>
      </c>
      <c r="B1744" s="5" t="s">
        <v>24</v>
      </c>
      <c r="C1744" s="8">
        <v>244.39247413963551</v>
      </c>
      <c r="D1744" s="8">
        <v>244.53372903956341</v>
      </c>
      <c r="E1744" s="8">
        <v>244.30779550982899</v>
      </c>
      <c r="F1744" s="8">
        <v>244.35532288526741</v>
      </c>
      <c r="G1744" s="7">
        <v>87125</v>
      </c>
      <c r="H1744" s="9">
        <v>21289457.506378919</v>
      </c>
      <c r="I1744" s="5" t="s">
        <v>2873</v>
      </c>
    </row>
    <row r="1745" spans="1:9" x14ac:dyDescent="0.25">
      <c r="A1745" s="6">
        <v>45994.621527777781</v>
      </c>
      <c r="B1745" s="5" t="s">
        <v>24</v>
      </c>
      <c r="C1745" s="8">
        <v>244.57359572617619</v>
      </c>
      <c r="D1745" s="8">
        <v>244.7774774415378</v>
      </c>
      <c r="E1745" s="8">
        <v>244.3032018777881</v>
      </c>
      <c r="F1745" s="8">
        <v>244.67149951648611</v>
      </c>
      <c r="G1745" s="7">
        <v>40115</v>
      </c>
      <c r="H1745" s="9">
        <v>9814997.2031038385</v>
      </c>
      <c r="I1745" s="5" t="s">
        <v>2874</v>
      </c>
    </row>
    <row r="1746" spans="1:9" x14ac:dyDescent="0.25">
      <c r="A1746" s="6">
        <v>45994.625</v>
      </c>
      <c r="B1746" s="5" t="s">
        <v>24</v>
      </c>
      <c r="C1746" s="8">
        <v>244.80725933757901</v>
      </c>
      <c r="D1746" s="8">
        <v>244.93546749707369</v>
      </c>
      <c r="E1746" s="8">
        <v>244.5767679250327</v>
      </c>
      <c r="F1746" s="8">
        <v>244.83970069957019</v>
      </c>
      <c r="G1746" s="7">
        <v>34884</v>
      </c>
      <c r="H1746" s="9">
        <v>8540988.1192038078</v>
      </c>
      <c r="I1746" s="5" t="s">
        <v>2875</v>
      </c>
    </row>
    <row r="1747" spans="1:9" x14ac:dyDescent="0.25">
      <c r="A1747" s="6">
        <v>45994.628472222219</v>
      </c>
      <c r="B1747" s="5" t="s">
        <v>24</v>
      </c>
      <c r="C1747" s="8">
        <v>244.93904280264971</v>
      </c>
      <c r="D1747" s="8">
        <v>245.0289151900003</v>
      </c>
      <c r="E1747" s="8">
        <v>244.72721690910811</v>
      </c>
      <c r="F1747" s="8">
        <v>244.9033822482196</v>
      </c>
      <c r="G1747" s="7">
        <v>95190</v>
      </c>
      <c r="H1747" s="9">
        <v>23312352.95620802</v>
      </c>
      <c r="I1747" s="5" t="s">
        <v>2876</v>
      </c>
    </row>
    <row r="1748" spans="1:9" x14ac:dyDescent="0.25">
      <c r="A1748" s="6">
        <v>45994.631944444453</v>
      </c>
      <c r="B1748" s="5" t="s">
        <v>24</v>
      </c>
      <c r="C1748" s="8">
        <v>245.01562910304739</v>
      </c>
      <c r="D1748" s="8">
        <v>245.26612715037299</v>
      </c>
      <c r="E1748" s="8">
        <v>244.6768269034535</v>
      </c>
      <c r="F1748" s="8">
        <v>245.06974864561681</v>
      </c>
      <c r="G1748" s="7">
        <v>44086</v>
      </c>
      <c r="H1748" s="9">
        <v>10804144.93879066</v>
      </c>
      <c r="I1748" s="5" t="s">
        <v>2877</v>
      </c>
    </row>
    <row r="1749" spans="1:9" x14ac:dyDescent="0.25">
      <c r="A1749" s="6">
        <v>45994.635416666657</v>
      </c>
      <c r="B1749" s="5" t="s">
        <v>24</v>
      </c>
      <c r="C1749" s="8">
        <v>245.13320768944229</v>
      </c>
      <c r="D1749" s="8">
        <v>245.15464849584751</v>
      </c>
      <c r="E1749" s="8">
        <v>245.0259639196789</v>
      </c>
      <c r="F1749" s="8">
        <v>245.0919280476374</v>
      </c>
      <c r="G1749" s="7">
        <v>71492</v>
      </c>
      <c r="H1749" s="9">
        <v>17522112.119981691</v>
      </c>
      <c r="I1749" s="5" t="s">
        <v>2878</v>
      </c>
    </row>
    <row r="1750" spans="1:9" x14ac:dyDescent="0.25">
      <c r="A1750" s="6">
        <v>45994.638888888891</v>
      </c>
      <c r="B1750" s="5" t="s">
        <v>24</v>
      </c>
      <c r="C1750" s="8">
        <v>245.37425459950489</v>
      </c>
      <c r="D1750" s="8">
        <v>245.39312910722541</v>
      </c>
      <c r="E1750" s="8">
        <v>245.06219727825601</v>
      </c>
      <c r="F1750" s="8">
        <v>245.38276566364479</v>
      </c>
      <c r="G1750" s="7">
        <v>94023</v>
      </c>
      <c r="H1750" s="9">
        <v>23071623.77599287</v>
      </c>
      <c r="I1750" s="5" t="s">
        <v>2879</v>
      </c>
    </row>
    <row r="1751" spans="1:9" x14ac:dyDescent="0.25">
      <c r="A1751" s="6">
        <v>45994.642361111109</v>
      </c>
      <c r="B1751" s="5" t="s">
        <v>24</v>
      </c>
      <c r="C1751" s="8">
        <v>245.2590975510814</v>
      </c>
      <c r="D1751" s="8">
        <v>245.35471782722379</v>
      </c>
      <c r="E1751" s="8">
        <v>245.1505608405233</v>
      </c>
      <c r="F1751" s="8">
        <v>245.33115972234481</v>
      </c>
      <c r="G1751" s="7">
        <v>59303</v>
      </c>
      <c r="H1751" s="9">
        <v>14548873.765014211</v>
      </c>
      <c r="I1751" s="5" t="s">
        <v>2880</v>
      </c>
    </row>
    <row r="1752" spans="1:9" x14ac:dyDescent="0.25">
      <c r="A1752" s="6">
        <v>45994.645833333343</v>
      </c>
      <c r="B1752" s="5" t="s">
        <v>24</v>
      </c>
      <c r="C1752" s="8">
        <v>244.99878344438761</v>
      </c>
      <c r="D1752" s="8">
        <v>245.14749506780021</v>
      </c>
      <c r="E1752" s="8">
        <v>244.97273924122871</v>
      </c>
      <c r="F1752" s="8">
        <v>245.07512939189161</v>
      </c>
      <c r="G1752" s="7">
        <v>69628</v>
      </c>
      <c r="H1752" s="9">
        <v>17064091.109298632</v>
      </c>
      <c r="I1752" s="5" t="s">
        <v>2881</v>
      </c>
    </row>
    <row r="1753" spans="1:9" x14ac:dyDescent="0.25">
      <c r="A1753" s="6">
        <v>45994.649305555547</v>
      </c>
      <c r="B1753" s="5" t="s">
        <v>24</v>
      </c>
      <c r="C1753" s="8">
        <v>245.3131997246285</v>
      </c>
      <c r="D1753" s="8">
        <v>245.45669980523141</v>
      </c>
      <c r="E1753" s="8">
        <v>245.07864247694309</v>
      </c>
      <c r="F1753" s="8">
        <v>245.35476721620529</v>
      </c>
      <c r="G1753" s="7">
        <v>43789</v>
      </c>
      <c r="H1753" s="9">
        <v>10743839.90163042</v>
      </c>
      <c r="I1753" s="5" t="s">
        <v>2882</v>
      </c>
    </row>
    <row r="1754" spans="1:9" x14ac:dyDescent="0.25">
      <c r="A1754" s="6">
        <v>45994.652777777781</v>
      </c>
      <c r="B1754" s="5" t="s">
        <v>24</v>
      </c>
      <c r="C1754" s="8">
        <v>245.31093261042011</v>
      </c>
      <c r="D1754" s="8">
        <v>245.33949184299641</v>
      </c>
      <c r="E1754" s="8">
        <v>245.26796858177499</v>
      </c>
      <c r="F1754" s="8">
        <v>245.32508892003801</v>
      </c>
      <c r="G1754" s="7">
        <v>54179</v>
      </c>
      <c r="H1754" s="9">
        <v>13291467.99259874</v>
      </c>
      <c r="I1754" s="5" t="s">
        <v>2883</v>
      </c>
    </row>
    <row r="1755" spans="1:9" x14ac:dyDescent="0.25">
      <c r="A1755" s="6">
        <v>45994.65625</v>
      </c>
      <c r="B1755" s="5" t="s">
        <v>24</v>
      </c>
      <c r="C1755" s="8">
        <v>245.05031695013761</v>
      </c>
      <c r="D1755" s="8">
        <v>245.1138714124414</v>
      </c>
      <c r="E1755" s="8">
        <v>244.92632450280561</v>
      </c>
      <c r="F1755" s="8">
        <v>245.0299502617944</v>
      </c>
      <c r="G1755" s="7">
        <v>192265</v>
      </c>
      <c r="H1755" s="9">
        <v>47110683.387083903</v>
      </c>
      <c r="I1755" s="5" t="s">
        <v>2884</v>
      </c>
    </row>
    <row r="1756" spans="1:9" x14ac:dyDescent="0.25">
      <c r="A1756" s="6">
        <v>45994.659722222219</v>
      </c>
      <c r="B1756" s="5" t="s">
        <v>24</v>
      </c>
      <c r="C1756" s="8">
        <v>244.39241766156829</v>
      </c>
      <c r="D1756" s="8">
        <v>244.57192335709479</v>
      </c>
      <c r="E1756" s="8">
        <v>244.31813812861529</v>
      </c>
      <c r="F1756" s="8">
        <v>244.49803145698331</v>
      </c>
      <c r="G1756" s="7">
        <v>44392</v>
      </c>
      <c r="H1756" s="9">
        <v>10853756.612438399</v>
      </c>
      <c r="I1756" s="5" t="s">
        <v>2885</v>
      </c>
    </row>
    <row r="1757" spans="1:9" x14ac:dyDescent="0.25">
      <c r="A1757" s="6">
        <v>45994.663194444453</v>
      </c>
      <c r="B1757" s="5" t="s">
        <v>24</v>
      </c>
      <c r="C1757" s="8">
        <v>244.6510592616053</v>
      </c>
      <c r="D1757" s="8">
        <v>244.73998948384391</v>
      </c>
      <c r="E1757" s="8">
        <v>244.52292921198389</v>
      </c>
      <c r="F1757" s="8">
        <v>244.5643276642283</v>
      </c>
      <c r="G1757" s="7">
        <v>105980</v>
      </c>
      <c r="H1757" s="9">
        <v>25918927.445854921</v>
      </c>
      <c r="I1757" s="5" t="s">
        <v>2886</v>
      </c>
    </row>
    <row r="1758" spans="1:9" x14ac:dyDescent="0.25">
      <c r="A1758" s="6">
        <v>45994.666666666657</v>
      </c>
      <c r="B1758" s="5" t="s">
        <v>24</v>
      </c>
      <c r="C1758" s="8">
        <v>244.23810163356151</v>
      </c>
      <c r="D1758" s="8">
        <v>244.26741772030579</v>
      </c>
      <c r="E1758" s="8">
        <v>244.1994999628655</v>
      </c>
      <c r="F1758" s="8">
        <v>244.24732973317629</v>
      </c>
      <c r="G1758" s="7">
        <v>58322</v>
      </c>
      <c r="H1758" s="9">
        <v>14244992.76469831</v>
      </c>
      <c r="I1758" s="5" t="s">
        <v>2887</v>
      </c>
    </row>
    <row r="1759" spans="1:9" x14ac:dyDescent="0.25">
      <c r="A1759" s="6">
        <v>45994.670138888891</v>
      </c>
      <c r="B1759" s="5" t="s">
        <v>24</v>
      </c>
      <c r="C1759" s="8">
        <v>244.16933938789961</v>
      </c>
      <c r="D1759" s="8">
        <v>244.37753384648789</v>
      </c>
      <c r="E1759" s="8">
        <v>244.0190466220464</v>
      </c>
      <c r="F1759" s="8">
        <v>244.21250881180421</v>
      </c>
      <c r="G1759" s="7">
        <v>54483</v>
      </c>
      <c r="H1759" s="9">
        <v>13305430.117593531</v>
      </c>
      <c r="I1759" s="5" t="s">
        <v>2888</v>
      </c>
    </row>
    <row r="1760" spans="1:9" x14ac:dyDescent="0.25">
      <c r="A1760" s="6">
        <v>45994.673611111109</v>
      </c>
      <c r="B1760" s="5" t="s">
        <v>24</v>
      </c>
      <c r="C1760" s="8">
        <v>244.352268088475</v>
      </c>
      <c r="D1760" s="8">
        <v>244.46600450110029</v>
      </c>
      <c r="E1760" s="8">
        <v>243.96283098025279</v>
      </c>
      <c r="F1760" s="8">
        <v>244.31172288044979</v>
      </c>
      <c r="G1760" s="7">
        <v>43969</v>
      </c>
      <c r="H1760" s="9">
        <v>10742142.1433305</v>
      </c>
      <c r="I1760" s="5" t="s">
        <v>2889</v>
      </c>
    </row>
    <row r="1761" spans="1:9" x14ac:dyDescent="0.25">
      <c r="A1761" s="6">
        <v>45994.677083333343</v>
      </c>
      <c r="B1761" s="5" t="s">
        <v>24</v>
      </c>
      <c r="C1761" s="8">
        <v>244.0613504451147</v>
      </c>
      <c r="D1761" s="8">
        <v>244.06566638367809</v>
      </c>
      <c r="E1761" s="8">
        <v>244.00281813725141</v>
      </c>
      <c r="F1761" s="8">
        <v>244.0604200858474</v>
      </c>
      <c r="G1761" s="7">
        <v>85035</v>
      </c>
      <c r="H1761" s="9">
        <v>20753677.82200003</v>
      </c>
      <c r="I1761" s="5" t="s">
        <v>2890</v>
      </c>
    </row>
    <row r="1762" spans="1:9" x14ac:dyDescent="0.25">
      <c r="A1762" s="6">
        <v>45994.680555555547</v>
      </c>
      <c r="B1762" s="5" t="s">
        <v>24</v>
      </c>
      <c r="C1762" s="8">
        <v>243.96979531309859</v>
      </c>
      <c r="D1762" s="8">
        <v>244.0498458840438</v>
      </c>
      <c r="E1762" s="8">
        <v>243.88966154319479</v>
      </c>
      <c r="F1762" s="8">
        <v>243.95992015580239</v>
      </c>
      <c r="G1762" s="7">
        <v>53738</v>
      </c>
      <c r="H1762" s="9">
        <v>13109918.189332509</v>
      </c>
      <c r="I1762" s="5" t="s">
        <v>2891</v>
      </c>
    </row>
    <row r="1763" spans="1:9" x14ac:dyDescent="0.25">
      <c r="A1763" s="6">
        <v>45994.684027777781</v>
      </c>
      <c r="B1763" s="5" t="s">
        <v>24</v>
      </c>
      <c r="C1763" s="8">
        <v>244.3155975709673</v>
      </c>
      <c r="D1763" s="8">
        <v>244.45782869933839</v>
      </c>
      <c r="E1763" s="8">
        <v>244.2264858273013</v>
      </c>
      <c r="F1763" s="8">
        <v>244.26265129132059</v>
      </c>
      <c r="G1763" s="7">
        <v>64459</v>
      </c>
      <c r="H1763" s="9">
        <v>15744926.239587231</v>
      </c>
      <c r="I1763" s="5" t="s">
        <v>2892</v>
      </c>
    </row>
    <row r="1764" spans="1:9" x14ac:dyDescent="0.25">
      <c r="A1764" s="6">
        <v>45994.6875</v>
      </c>
      <c r="B1764" s="5" t="s">
        <v>24</v>
      </c>
      <c r="C1764" s="8">
        <v>243.95523026942149</v>
      </c>
      <c r="D1764" s="8">
        <v>244.25908475188629</v>
      </c>
      <c r="E1764" s="8">
        <v>243.72876470422119</v>
      </c>
      <c r="F1764" s="8">
        <v>244.09504302200489</v>
      </c>
      <c r="G1764" s="7">
        <v>59215</v>
      </c>
      <c r="H1764" s="9">
        <v>14454087.972548019</v>
      </c>
      <c r="I1764" s="5" t="s">
        <v>2893</v>
      </c>
    </row>
    <row r="1765" spans="1:9" x14ac:dyDescent="0.25">
      <c r="A1765" s="6">
        <v>45994.690972222219</v>
      </c>
      <c r="B1765" s="5" t="s">
        <v>24</v>
      </c>
      <c r="C1765" s="8">
        <v>243.7408928748481</v>
      </c>
      <c r="D1765" s="8">
        <v>243.91448602884969</v>
      </c>
      <c r="E1765" s="8">
        <v>243.74036328046071</v>
      </c>
      <c r="F1765" s="8">
        <v>243.77831891545591</v>
      </c>
      <c r="G1765" s="7">
        <v>56119</v>
      </c>
      <c r="H1765" s="9">
        <v>13680595.479216469</v>
      </c>
      <c r="I1765" s="5" t="s">
        <v>2894</v>
      </c>
    </row>
    <row r="1766" spans="1:9" x14ac:dyDescent="0.25">
      <c r="A1766" s="6">
        <v>45994.694444444453</v>
      </c>
      <c r="B1766" s="5" t="s">
        <v>24</v>
      </c>
      <c r="C1766" s="8">
        <v>244.14683373989681</v>
      </c>
      <c r="D1766" s="8">
        <v>244.37432896518709</v>
      </c>
      <c r="E1766" s="8">
        <v>244.06502290844239</v>
      </c>
      <c r="F1766" s="8">
        <v>244.08052638770391</v>
      </c>
      <c r="G1766" s="7">
        <v>32212</v>
      </c>
      <c r="H1766" s="9">
        <v>7862321.9160007164</v>
      </c>
      <c r="I1766" s="5" t="s">
        <v>2895</v>
      </c>
    </row>
    <row r="1767" spans="1:9" x14ac:dyDescent="0.25">
      <c r="A1767" s="6">
        <v>45994.697916666657</v>
      </c>
      <c r="B1767" s="5" t="s">
        <v>24</v>
      </c>
      <c r="C1767" s="8">
        <v>244.44104399650101</v>
      </c>
      <c r="D1767" s="8">
        <v>244.49811213128709</v>
      </c>
      <c r="E1767" s="8">
        <v>244.08838770059961</v>
      </c>
      <c r="F1767" s="8">
        <v>244.29811203280451</v>
      </c>
      <c r="G1767" s="7">
        <v>56688</v>
      </c>
      <c r="H1767" s="9">
        <v>13848771.37491562</v>
      </c>
      <c r="I1767" s="5" t="s">
        <v>2896</v>
      </c>
    </row>
    <row r="1768" spans="1:9" x14ac:dyDescent="0.25">
      <c r="A1768" s="6">
        <v>45994.701388888891</v>
      </c>
      <c r="B1768" s="5" t="s">
        <v>24</v>
      </c>
      <c r="C1768" s="8">
        <v>244.318798079364</v>
      </c>
      <c r="D1768" s="8">
        <v>244.4131658799075</v>
      </c>
      <c r="E1768" s="8">
        <v>244.25316188960841</v>
      </c>
      <c r="F1768" s="8">
        <v>244.326539547766</v>
      </c>
      <c r="G1768" s="7">
        <v>32735</v>
      </c>
      <c r="H1768" s="9">
        <v>7998029.2720961189</v>
      </c>
      <c r="I1768" s="5" t="s">
        <v>2897</v>
      </c>
    </row>
    <row r="1769" spans="1:9" x14ac:dyDescent="0.25">
      <c r="A1769" s="6">
        <v>45994.704861111109</v>
      </c>
      <c r="B1769" s="5" t="s">
        <v>24</v>
      </c>
      <c r="C1769" s="8">
        <v>244.37523203174669</v>
      </c>
      <c r="D1769" s="8">
        <v>244.48073727153189</v>
      </c>
      <c r="E1769" s="8">
        <v>244.35874946389291</v>
      </c>
      <c r="F1769" s="8">
        <v>244.3645355545498</v>
      </c>
      <c r="G1769" s="7">
        <v>69564</v>
      </c>
      <c r="H1769" s="9">
        <v>16998974.551316701</v>
      </c>
      <c r="I1769" s="5" t="s">
        <v>2898</v>
      </c>
    </row>
    <row r="1770" spans="1:9" x14ac:dyDescent="0.25">
      <c r="A1770" s="6">
        <v>45994.708333333343</v>
      </c>
      <c r="B1770" s="5" t="s">
        <v>24</v>
      </c>
      <c r="C1770" s="8">
        <v>244.93212796916899</v>
      </c>
      <c r="D1770" s="8">
        <v>244.95067062975451</v>
      </c>
      <c r="E1770" s="8">
        <v>244.8190935421645</v>
      </c>
      <c r="F1770" s="8">
        <v>244.85812866635689</v>
      </c>
      <c r="G1770" s="7">
        <v>60542</v>
      </c>
      <c r="H1770" s="9">
        <v>14824200.82571858</v>
      </c>
      <c r="I1770" s="5" t="s">
        <v>2899</v>
      </c>
    </row>
    <row r="1771" spans="1:9" x14ac:dyDescent="0.25">
      <c r="A1771" s="6">
        <v>45994.711805555547</v>
      </c>
      <c r="B1771" s="5" t="s">
        <v>24</v>
      </c>
      <c r="C1771" s="8">
        <v>245.1077614441987</v>
      </c>
      <c r="D1771" s="8">
        <v>245.3014218784181</v>
      </c>
      <c r="E1771" s="8">
        <v>245.04539270569001</v>
      </c>
      <c r="F1771" s="8">
        <v>245.14392532775341</v>
      </c>
      <c r="G1771" s="7">
        <v>23937</v>
      </c>
      <c r="H1771" s="9">
        <v>5868010.1405704329</v>
      </c>
      <c r="I1771" s="5" t="s">
        <v>2900</v>
      </c>
    </row>
    <row r="1772" spans="1:9" x14ac:dyDescent="0.25">
      <c r="A1772" s="6">
        <v>45994.715277777781</v>
      </c>
      <c r="B1772" s="5" t="s">
        <v>24</v>
      </c>
      <c r="C1772" s="8">
        <v>245.20821970815561</v>
      </c>
      <c r="D1772" s="8">
        <v>245.38169887259531</v>
      </c>
      <c r="E1772" s="8">
        <v>245.20817146575811</v>
      </c>
      <c r="F1772" s="8">
        <v>245.24897729230469</v>
      </c>
      <c r="G1772" s="7">
        <v>66910</v>
      </c>
      <c r="H1772" s="9">
        <v>16409609.07062811</v>
      </c>
      <c r="I1772" s="5" t="s">
        <v>2901</v>
      </c>
    </row>
    <row r="1773" spans="1:9" x14ac:dyDescent="0.25">
      <c r="A1773" s="6">
        <v>45994.71875</v>
      </c>
      <c r="B1773" s="5" t="s">
        <v>24</v>
      </c>
      <c r="C1773" s="8">
        <v>245.79603842774699</v>
      </c>
      <c r="D1773" s="8">
        <v>245.9223333446605</v>
      </c>
      <c r="E1773" s="8">
        <v>245.77430294569319</v>
      </c>
      <c r="F1773" s="8">
        <v>245.79012613217921</v>
      </c>
      <c r="G1773" s="7">
        <v>70730</v>
      </c>
      <c r="H1773" s="9">
        <v>17384735.621329028</v>
      </c>
      <c r="I1773" s="5" t="s">
        <v>2902</v>
      </c>
    </row>
    <row r="1774" spans="1:9" x14ac:dyDescent="0.25">
      <c r="A1774" s="6">
        <v>45994.722222222219</v>
      </c>
      <c r="B1774" s="5" t="s">
        <v>24</v>
      </c>
      <c r="C1774" s="8">
        <v>245.56986260471109</v>
      </c>
      <c r="D1774" s="8">
        <v>245.82253571954541</v>
      </c>
      <c r="E1774" s="8">
        <v>245.38947323458299</v>
      </c>
      <c r="F1774" s="8">
        <v>245.58646142569251</v>
      </c>
      <c r="G1774" s="7">
        <v>51705</v>
      </c>
      <c r="H1774" s="9">
        <v>12698047.98801543</v>
      </c>
      <c r="I1774" s="5" t="s">
        <v>2903</v>
      </c>
    </row>
    <row r="1775" spans="1:9" x14ac:dyDescent="0.25">
      <c r="A1775" s="6">
        <v>45994.725694444453</v>
      </c>
      <c r="B1775" s="5" t="s">
        <v>24</v>
      </c>
      <c r="C1775" s="8">
        <v>245.6844604124492</v>
      </c>
      <c r="D1775" s="8">
        <v>245.87474040064811</v>
      </c>
      <c r="E1775" s="8">
        <v>245.67182877009299</v>
      </c>
      <c r="F1775" s="8">
        <v>245.75039107993899</v>
      </c>
      <c r="G1775" s="7">
        <v>42187</v>
      </c>
      <c r="H1775" s="9">
        <v>10367471.748489389</v>
      </c>
      <c r="I1775" s="5" t="s">
        <v>2904</v>
      </c>
    </row>
    <row r="1776" spans="1:9" x14ac:dyDescent="0.25">
      <c r="A1776" s="6">
        <v>45994.729166666657</v>
      </c>
      <c r="B1776" s="5" t="s">
        <v>24</v>
      </c>
      <c r="C1776" s="8">
        <v>245.5631104257848</v>
      </c>
      <c r="D1776" s="8">
        <v>245.88332663212921</v>
      </c>
      <c r="E1776" s="8">
        <v>245.49468861835251</v>
      </c>
      <c r="F1776" s="8">
        <v>245.62995592792711</v>
      </c>
      <c r="G1776" s="7">
        <v>97244</v>
      </c>
      <c r="H1776" s="9">
        <v>23886039.434255339</v>
      </c>
      <c r="I1776" s="5" t="s">
        <v>2905</v>
      </c>
    </row>
    <row r="1777" spans="1:9" x14ac:dyDescent="0.25">
      <c r="A1777" s="6">
        <v>45994.732638888891</v>
      </c>
      <c r="B1777" s="5" t="s">
        <v>24</v>
      </c>
      <c r="C1777" s="8">
        <v>245.78932573912991</v>
      </c>
      <c r="D1777" s="8">
        <v>245.93287050184779</v>
      </c>
      <c r="E1777" s="8">
        <v>245.63290787991119</v>
      </c>
      <c r="F1777" s="8">
        <v>245.6591595337128</v>
      </c>
      <c r="G1777" s="7">
        <v>25962</v>
      </c>
      <c r="H1777" s="9">
        <v>6377803.0998142511</v>
      </c>
      <c r="I1777" s="5" t="s">
        <v>2906</v>
      </c>
    </row>
    <row r="1778" spans="1:9" x14ac:dyDescent="0.25">
      <c r="A1778" s="6">
        <v>45994.736111111109</v>
      </c>
      <c r="B1778" s="5" t="s">
        <v>24</v>
      </c>
      <c r="C1778" s="8">
        <v>245.99168398993379</v>
      </c>
      <c r="D1778" s="8">
        <v>246.04411318473589</v>
      </c>
      <c r="E1778" s="8">
        <v>245.64724340206371</v>
      </c>
      <c r="F1778" s="8">
        <v>245.94589333887731</v>
      </c>
      <c r="G1778" s="7">
        <v>163313</v>
      </c>
      <c r="H1778" s="9">
        <v>40166161.678852059</v>
      </c>
      <c r="I1778" s="5" t="s">
        <v>2907</v>
      </c>
    </row>
    <row r="1779" spans="1:9" x14ac:dyDescent="0.25">
      <c r="A1779" s="6">
        <v>45994.739583333343</v>
      </c>
      <c r="B1779" s="5" t="s">
        <v>24</v>
      </c>
      <c r="C1779" s="8">
        <v>246.40022096758679</v>
      </c>
      <c r="D1779" s="8">
        <v>246.40965574773929</v>
      </c>
      <c r="E1779" s="8">
        <v>246.1635186993251</v>
      </c>
      <c r="F1779" s="8">
        <v>246.28217469645821</v>
      </c>
      <c r="G1779" s="7">
        <v>35512</v>
      </c>
      <c r="H1779" s="9">
        <v>8745972.5878206249</v>
      </c>
      <c r="I1779" s="5" t="s">
        <v>2908</v>
      </c>
    </row>
    <row r="1780" spans="1:9" x14ac:dyDescent="0.25">
      <c r="A1780" s="6">
        <v>45994.743055555547</v>
      </c>
      <c r="B1780" s="5" t="s">
        <v>24</v>
      </c>
      <c r="C1780" s="8">
        <v>246.37887657899299</v>
      </c>
      <c r="D1780" s="8">
        <v>246.5441681573285</v>
      </c>
      <c r="E1780" s="8">
        <v>246.1247508256474</v>
      </c>
      <c r="F1780" s="8">
        <v>246.5168503674405</v>
      </c>
      <c r="G1780" s="7">
        <v>68131</v>
      </c>
      <c r="H1780" s="9">
        <v>16795439.53238409</v>
      </c>
      <c r="I1780" s="5" t="s">
        <v>2909</v>
      </c>
    </row>
    <row r="1781" spans="1:9" x14ac:dyDescent="0.25">
      <c r="A1781" s="6">
        <v>45994.746527777781</v>
      </c>
      <c r="B1781" s="5" t="s">
        <v>24</v>
      </c>
      <c r="C1781" s="8">
        <v>246.1780031831284</v>
      </c>
      <c r="D1781" s="8">
        <v>246.4307918203861</v>
      </c>
      <c r="E1781" s="8">
        <v>246.02386055366119</v>
      </c>
      <c r="F1781" s="8">
        <v>246.24054581769991</v>
      </c>
      <c r="G1781" s="7">
        <v>51227</v>
      </c>
      <c r="H1781" s="9">
        <v>12614164.44060331</v>
      </c>
      <c r="I1781" s="5" t="s">
        <v>2910</v>
      </c>
    </row>
    <row r="1782" spans="1:9" x14ac:dyDescent="0.25">
      <c r="A1782" s="6">
        <v>45994.75</v>
      </c>
      <c r="B1782" s="5" t="s">
        <v>24</v>
      </c>
      <c r="C1782" s="8">
        <v>245.92797881120919</v>
      </c>
      <c r="D1782" s="8">
        <v>246.02215511576799</v>
      </c>
      <c r="E1782" s="8">
        <v>245.77550811456749</v>
      </c>
      <c r="F1782" s="8">
        <v>245.93181742884991</v>
      </c>
      <c r="G1782" s="7">
        <v>42486</v>
      </c>
      <c r="H1782" s="9">
        <v>10448659.19528212</v>
      </c>
      <c r="I1782" s="5" t="s">
        <v>2911</v>
      </c>
    </row>
    <row r="1783" spans="1:9" x14ac:dyDescent="0.25">
      <c r="A1783" s="6">
        <v>45994.753472222219</v>
      </c>
      <c r="B1783" s="5" t="s">
        <v>24</v>
      </c>
      <c r="C1783" s="8">
        <v>245.6634300571246</v>
      </c>
      <c r="D1783" s="8">
        <v>246.0318380513352</v>
      </c>
      <c r="E1783" s="8">
        <v>245.48419752100381</v>
      </c>
      <c r="F1783" s="8">
        <v>245.8378178768439</v>
      </c>
      <c r="G1783" s="7">
        <v>54410</v>
      </c>
      <c r="H1783" s="9">
        <v>13376035.670679079</v>
      </c>
      <c r="I1783" s="5" t="s">
        <v>2912</v>
      </c>
    </row>
    <row r="1784" spans="1:9" x14ac:dyDescent="0.25">
      <c r="A1784" s="6">
        <v>45994.756944444453</v>
      </c>
      <c r="B1784" s="5" t="s">
        <v>24</v>
      </c>
      <c r="C1784" s="8">
        <v>245.90637539722431</v>
      </c>
      <c r="D1784" s="8">
        <v>246.06472211720319</v>
      </c>
      <c r="E1784" s="8">
        <v>245.62981189378439</v>
      </c>
      <c r="F1784" s="8">
        <v>245.87268162438781</v>
      </c>
      <c r="G1784" s="7">
        <v>43721</v>
      </c>
      <c r="H1784" s="9">
        <v>10749799.51329986</v>
      </c>
      <c r="I1784" s="5" t="s">
        <v>2913</v>
      </c>
    </row>
    <row r="1785" spans="1:9" x14ac:dyDescent="0.25">
      <c r="A1785" s="6">
        <v>45994.760416666657</v>
      </c>
      <c r="B1785" s="5" t="s">
        <v>24</v>
      </c>
      <c r="C1785" s="8">
        <v>246.4631412972775</v>
      </c>
      <c r="D1785" s="8">
        <v>246.5510974879617</v>
      </c>
      <c r="E1785" s="8">
        <v>246.37069773941619</v>
      </c>
      <c r="F1785" s="8">
        <v>246.37647131744151</v>
      </c>
      <c r="G1785" s="7">
        <v>80622</v>
      </c>
      <c r="H1785" s="9">
        <v>19863363.870554771</v>
      </c>
      <c r="I1785" s="5" t="s">
        <v>2914</v>
      </c>
    </row>
    <row r="1786" spans="1:9" x14ac:dyDescent="0.25">
      <c r="A1786" s="6">
        <v>45994.763888888891</v>
      </c>
      <c r="B1786" s="5" t="s">
        <v>24</v>
      </c>
      <c r="C1786" s="8">
        <v>246.64285433422381</v>
      </c>
      <c r="D1786" s="8">
        <v>246.79824564469379</v>
      </c>
      <c r="E1786" s="8">
        <v>246.57193754713131</v>
      </c>
      <c r="F1786" s="8">
        <v>246.57693354232711</v>
      </c>
      <c r="G1786" s="7">
        <v>69169</v>
      </c>
      <c r="H1786" s="9">
        <v>17055479.91618922</v>
      </c>
      <c r="I1786" s="5" t="s">
        <v>2915</v>
      </c>
    </row>
    <row r="1787" spans="1:9" x14ac:dyDescent="0.25">
      <c r="A1787" s="6">
        <v>45994.767361111109</v>
      </c>
      <c r="B1787" s="5" t="s">
        <v>24</v>
      </c>
      <c r="C1787" s="8">
        <v>246.5722395739553</v>
      </c>
      <c r="D1787" s="8">
        <v>246.67898735259851</v>
      </c>
      <c r="E1787" s="8">
        <v>246.43032530451529</v>
      </c>
      <c r="F1787" s="8">
        <v>246.64815685808779</v>
      </c>
      <c r="G1787" s="7">
        <v>51947</v>
      </c>
      <c r="H1787" s="9">
        <v>12812631.80430709</v>
      </c>
      <c r="I1787" s="5" t="s">
        <v>2916</v>
      </c>
    </row>
    <row r="1788" spans="1:9" x14ac:dyDescent="0.25">
      <c r="A1788" s="6">
        <v>45994.770833333343</v>
      </c>
      <c r="B1788" s="5" t="s">
        <v>24</v>
      </c>
      <c r="C1788" s="8">
        <v>246.7457402139222</v>
      </c>
      <c r="D1788" s="8">
        <v>246.8362527078649</v>
      </c>
      <c r="E1788" s="8">
        <v>246.54919382364861</v>
      </c>
      <c r="F1788" s="8">
        <v>246.70196483079309</v>
      </c>
      <c r="G1788" s="7">
        <v>63626</v>
      </c>
      <c r="H1788" s="9">
        <v>15696659.21432404</v>
      </c>
      <c r="I1788" s="5" t="s">
        <v>2917</v>
      </c>
    </row>
    <row r="1789" spans="1:9" x14ac:dyDescent="0.25">
      <c r="A1789" s="6">
        <v>45994.774305555547</v>
      </c>
      <c r="B1789" s="5" t="s">
        <v>24</v>
      </c>
      <c r="C1789" s="8">
        <v>246.43308901646401</v>
      </c>
      <c r="D1789" s="8">
        <v>246.49713265008199</v>
      </c>
      <c r="E1789" s="8">
        <v>246.17847813072009</v>
      </c>
      <c r="F1789" s="8">
        <v>246.42700128434441</v>
      </c>
      <c r="G1789" s="7">
        <v>48304</v>
      </c>
      <c r="H1789" s="9">
        <v>11903409.870038969</v>
      </c>
      <c r="I1789" s="5" t="s">
        <v>2918</v>
      </c>
    </row>
    <row r="1790" spans="1:9" x14ac:dyDescent="0.25">
      <c r="A1790" s="6">
        <v>45994.777777777781</v>
      </c>
      <c r="B1790" s="5" t="s">
        <v>24</v>
      </c>
      <c r="C1790" s="8">
        <v>246.6003377639056</v>
      </c>
      <c r="D1790" s="8">
        <v>246.61457554476709</v>
      </c>
      <c r="E1790" s="8">
        <v>246.31820104687711</v>
      </c>
      <c r="F1790" s="8">
        <v>246.52268527355409</v>
      </c>
      <c r="G1790" s="7">
        <v>59095</v>
      </c>
      <c r="H1790" s="9">
        <v>14568258.086240681</v>
      </c>
      <c r="I1790" s="5" t="s">
        <v>2919</v>
      </c>
    </row>
    <row r="1791" spans="1:9" x14ac:dyDescent="0.25">
      <c r="A1791" s="6">
        <v>45994.78125</v>
      </c>
      <c r="B1791" s="5" t="s">
        <v>24</v>
      </c>
      <c r="C1791" s="8">
        <v>246.45737019340621</v>
      </c>
      <c r="D1791" s="8">
        <v>246.6418597554366</v>
      </c>
      <c r="E1791" s="8">
        <v>246.2345371268413</v>
      </c>
      <c r="F1791" s="8">
        <v>246.36290360642491</v>
      </c>
      <c r="G1791" s="7">
        <v>55502</v>
      </c>
      <c r="H1791" s="9">
        <v>13673633.8759638</v>
      </c>
      <c r="I1791" s="5" t="s">
        <v>2920</v>
      </c>
    </row>
    <row r="1792" spans="1:9" x14ac:dyDescent="0.25">
      <c r="A1792" s="6">
        <v>45994.784722222219</v>
      </c>
      <c r="B1792" s="5" t="s">
        <v>24</v>
      </c>
      <c r="C1792" s="8">
        <v>246.40115303158981</v>
      </c>
      <c r="D1792" s="8">
        <v>246.5322829554097</v>
      </c>
      <c r="E1792" s="8">
        <v>246.40007559254099</v>
      </c>
      <c r="F1792" s="8">
        <v>246.45299853354121</v>
      </c>
      <c r="G1792" s="7">
        <v>56459</v>
      </c>
      <c r="H1792" s="9">
        <v>13914489.844205201</v>
      </c>
      <c r="I1792" s="5" t="s">
        <v>2921</v>
      </c>
    </row>
    <row r="1793" spans="1:9" x14ac:dyDescent="0.25">
      <c r="A1793" s="6">
        <v>45994.788194444453</v>
      </c>
      <c r="B1793" s="5" t="s">
        <v>24</v>
      </c>
      <c r="C1793" s="8">
        <v>246.17517090281649</v>
      </c>
      <c r="D1793" s="8">
        <v>246.4944822753252</v>
      </c>
      <c r="E1793" s="8">
        <v>246.0965524118121</v>
      </c>
      <c r="F1793" s="8">
        <v>246.2157687317634</v>
      </c>
      <c r="G1793" s="7">
        <v>54188</v>
      </c>
      <c r="H1793" s="9">
        <v>13341940.0760368</v>
      </c>
      <c r="I1793" s="5" t="s">
        <v>2922</v>
      </c>
    </row>
    <row r="1794" spans="1:9" x14ac:dyDescent="0.25">
      <c r="A1794" s="6">
        <v>45994.791666666657</v>
      </c>
      <c r="B1794" s="5" t="s">
        <v>24</v>
      </c>
      <c r="C1794" s="8">
        <v>246.43855371565871</v>
      </c>
      <c r="D1794" s="8">
        <v>246.786698414792</v>
      </c>
      <c r="E1794" s="8">
        <v>246.36870337759279</v>
      </c>
      <c r="F1794" s="8">
        <v>246.549926329009</v>
      </c>
      <c r="G1794" s="7">
        <v>51230</v>
      </c>
      <c r="H1794" s="9">
        <v>12630752.72583513</v>
      </c>
      <c r="I1794" s="5" t="s">
        <v>2923</v>
      </c>
    </row>
    <row r="1795" spans="1:9" x14ac:dyDescent="0.25">
      <c r="A1795" s="6">
        <v>45994.795138888891</v>
      </c>
      <c r="B1795" s="5" t="s">
        <v>24</v>
      </c>
      <c r="C1795" s="8">
        <v>246.56935994666071</v>
      </c>
      <c r="D1795" s="8">
        <v>246.8643750375243</v>
      </c>
      <c r="E1795" s="8">
        <v>246.38600478496031</v>
      </c>
      <c r="F1795" s="8">
        <v>246.6624585247157</v>
      </c>
      <c r="G1795" s="7">
        <v>29757</v>
      </c>
      <c r="H1795" s="9">
        <v>7339934.778319966</v>
      </c>
      <c r="I1795" s="5" t="s">
        <v>2924</v>
      </c>
    </row>
    <row r="1796" spans="1:9" x14ac:dyDescent="0.25">
      <c r="A1796" s="6">
        <v>45994.798611111109</v>
      </c>
      <c r="B1796" s="5" t="s">
        <v>24</v>
      </c>
      <c r="C1796" s="8">
        <v>246.77143419478361</v>
      </c>
      <c r="D1796" s="8">
        <v>246.7913288406624</v>
      </c>
      <c r="E1796" s="8">
        <v>246.46765380677729</v>
      </c>
      <c r="F1796" s="8">
        <v>246.66886801008991</v>
      </c>
      <c r="G1796" s="7">
        <v>55759</v>
      </c>
      <c r="H1796" s="9">
        <v>13754009.411374601</v>
      </c>
      <c r="I1796" s="5" t="s">
        <v>2925</v>
      </c>
    </row>
    <row r="1797" spans="1:9" x14ac:dyDescent="0.25">
      <c r="A1797" s="6">
        <v>45994.802083333343</v>
      </c>
      <c r="B1797" s="5" t="s">
        <v>24</v>
      </c>
      <c r="C1797" s="8">
        <v>246.61078015755729</v>
      </c>
      <c r="D1797" s="8">
        <v>246.74583258052979</v>
      </c>
      <c r="E1797" s="8">
        <v>246.51340301953331</v>
      </c>
      <c r="F1797" s="8">
        <v>246.52250857398559</v>
      </c>
      <c r="G1797" s="7">
        <v>98216</v>
      </c>
      <c r="H1797" s="9">
        <v>24212454.702102572</v>
      </c>
      <c r="I1797" s="5" t="s">
        <v>2926</v>
      </c>
    </row>
    <row r="1798" spans="1:9" x14ac:dyDescent="0.25">
      <c r="A1798" s="6">
        <v>45994.805555555547</v>
      </c>
      <c r="B1798" s="5" t="s">
        <v>24</v>
      </c>
      <c r="C1798" s="8">
        <v>246.3523778792981</v>
      </c>
      <c r="D1798" s="8">
        <v>246.4081753375427</v>
      </c>
      <c r="E1798" s="8">
        <v>246.2362429125067</v>
      </c>
      <c r="F1798" s="8">
        <v>246.27371245503261</v>
      </c>
      <c r="G1798" s="7">
        <v>62735</v>
      </c>
      <c r="H1798" s="9">
        <v>15449981.35086647</v>
      </c>
      <c r="I1798" s="5" t="s">
        <v>2927</v>
      </c>
    </row>
    <row r="1799" spans="1:9" x14ac:dyDescent="0.25">
      <c r="A1799" s="6">
        <v>45994.809027777781</v>
      </c>
      <c r="B1799" s="5" t="s">
        <v>24</v>
      </c>
      <c r="C1799" s="8">
        <v>246.36203152452109</v>
      </c>
      <c r="D1799" s="8">
        <v>246.57697515450459</v>
      </c>
      <c r="E1799" s="8">
        <v>246.10631285334699</v>
      </c>
      <c r="F1799" s="8">
        <v>246.32041201280001</v>
      </c>
      <c r="G1799" s="7">
        <v>62547</v>
      </c>
      <c r="H1799" s="9">
        <v>15406602.810164601</v>
      </c>
      <c r="I1799" s="5" t="s">
        <v>2928</v>
      </c>
    </row>
    <row r="1800" spans="1:9" x14ac:dyDescent="0.25">
      <c r="A1800" s="6">
        <v>45994.8125</v>
      </c>
      <c r="B1800" s="5" t="s">
        <v>24</v>
      </c>
      <c r="C1800" s="8">
        <v>246.27266277468411</v>
      </c>
      <c r="D1800" s="8">
        <v>246.59506093268459</v>
      </c>
      <c r="E1800" s="8">
        <v>246.12895401718399</v>
      </c>
      <c r="F1800" s="8">
        <v>246.34327384767261</v>
      </c>
      <c r="G1800" s="7">
        <v>48727</v>
      </c>
      <c r="H1800" s="9">
        <v>12003568.70477554</v>
      </c>
      <c r="I1800" s="5" t="s">
        <v>2929</v>
      </c>
    </row>
    <row r="1801" spans="1:9" x14ac:dyDescent="0.25">
      <c r="A1801" s="6">
        <v>45994.815972222219</v>
      </c>
      <c r="B1801" s="5" t="s">
        <v>24</v>
      </c>
      <c r="C1801" s="8">
        <v>246.5082669258158</v>
      </c>
      <c r="D1801" s="8">
        <v>246.60578282043849</v>
      </c>
      <c r="E1801" s="8">
        <v>246.34580096257841</v>
      </c>
      <c r="F1801" s="8">
        <v>246.39301892778329</v>
      </c>
      <c r="G1801" s="7">
        <v>60687</v>
      </c>
      <c r="H1801" s="9">
        <v>14952853.139670391</v>
      </c>
      <c r="I1801" s="5" t="s">
        <v>2930</v>
      </c>
    </row>
    <row r="1802" spans="1:9" x14ac:dyDescent="0.25">
      <c r="A1802" s="6">
        <v>45994.819444444453</v>
      </c>
      <c r="B1802" s="5" t="s">
        <v>24</v>
      </c>
      <c r="C1802" s="8">
        <v>246.34804146146129</v>
      </c>
      <c r="D1802" s="8">
        <v>246.63806338092249</v>
      </c>
      <c r="E1802" s="8">
        <v>246.18519393488509</v>
      </c>
      <c r="F1802" s="8">
        <v>246.3388465800256</v>
      </c>
      <c r="G1802" s="7">
        <v>51779</v>
      </c>
      <c r="H1802" s="9">
        <v>12755179.13706715</v>
      </c>
      <c r="I1802" s="5" t="s">
        <v>2931</v>
      </c>
    </row>
    <row r="1803" spans="1:9" x14ac:dyDescent="0.25">
      <c r="A1803" s="6">
        <v>45994.822916666657</v>
      </c>
      <c r="B1803" s="5" t="s">
        <v>24</v>
      </c>
      <c r="C1803" s="8">
        <v>246.2744806723606</v>
      </c>
      <c r="D1803" s="8">
        <v>246.72655533574479</v>
      </c>
      <c r="E1803" s="8">
        <v>246.18232209625131</v>
      </c>
      <c r="F1803" s="8">
        <v>246.37611670063649</v>
      </c>
      <c r="G1803" s="7">
        <v>30650</v>
      </c>
      <c r="H1803" s="9">
        <v>7551427.976874508</v>
      </c>
      <c r="I1803" s="5" t="s">
        <v>2932</v>
      </c>
    </row>
    <row r="1804" spans="1:9" x14ac:dyDescent="0.25">
      <c r="A1804" s="6">
        <v>45994.826388888891</v>
      </c>
      <c r="B1804" s="5" t="s">
        <v>24</v>
      </c>
      <c r="C1804" s="8">
        <v>246.22591478035261</v>
      </c>
      <c r="D1804" s="8">
        <v>246.3881796842152</v>
      </c>
      <c r="E1804" s="8">
        <v>246.02871048783851</v>
      </c>
      <c r="F1804" s="8">
        <v>246.2480856978238</v>
      </c>
      <c r="G1804" s="7">
        <v>38006</v>
      </c>
      <c r="H1804" s="9">
        <v>9358904.7450314909</v>
      </c>
      <c r="I1804" s="5" t="s">
        <v>2933</v>
      </c>
    </row>
    <row r="1805" spans="1:9" x14ac:dyDescent="0.25">
      <c r="A1805" s="6">
        <v>45994.829861111109</v>
      </c>
      <c r="B1805" s="5" t="s">
        <v>24</v>
      </c>
      <c r="C1805" s="8">
        <v>246.07582097766749</v>
      </c>
      <c r="D1805" s="8">
        <v>246.11333768622541</v>
      </c>
      <c r="E1805" s="8">
        <v>245.8707592319729</v>
      </c>
      <c r="F1805" s="8">
        <v>246.06248815530111</v>
      </c>
      <c r="G1805" s="7">
        <v>56784</v>
      </c>
      <c r="H1805" s="9">
        <v>13972412.32741061</v>
      </c>
      <c r="I1805" s="5" t="s">
        <v>2934</v>
      </c>
    </row>
    <row r="1806" spans="1:9" x14ac:dyDescent="0.25">
      <c r="A1806" s="6">
        <v>45994.833333333343</v>
      </c>
      <c r="B1806" s="5" t="s">
        <v>24</v>
      </c>
      <c r="C1806" s="8">
        <v>245.55506478665279</v>
      </c>
      <c r="D1806" s="8">
        <v>245.7282479206475</v>
      </c>
      <c r="E1806" s="8">
        <v>245.3817463460652</v>
      </c>
      <c r="F1806" s="8">
        <v>245.56506235489061</v>
      </c>
      <c r="G1806" s="7">
        <v>63986</v>
      </c>
      <c r="H1806" s="9">
        <v>15712726.079840031</v>
      </c>
      <c r="I1806" s="5" t="s">
        <v>2935</v>
      </c>
    </row>
    <row r="1807" spans="1:9" x14ac:dyDescent="0.25">
      <c r="A1807" s="6">
        <v>45994.836805555547</v>
      </c>
      <c r="B1807" s="5" t="s">
        <v>24</v>
      </c>
      <c r="C1807" s="8">
        <v>245.5647624006929</v>
      </c>
      <c r="D1807" s="8">
        <v>245.6693026923198</v>
      </c>
      <c r="E1807" s="8">
        <v>245.41530459673371</v>
      </c>
      <c r="F1807" s="8">
        <v>245.63972886608741</v>
      </c>
      <c r="G1807" s="7">
        <v>99691</v>
      </c>
      <c r="H1807" s="9">
        <v>24488070.210389119</v>
      </c>
      <c r="I1807" s="5" t="s">
        <v>2936</v>
      </c>
    </row>
    <row r="1808" spans="1:9" x14ac:dyDescent="0.25">
      <c r="A1808" s="6">
        <v>45994.840277777781</v>
      </c>
      <c r="B1808" s="5" t="s">
        <v>24</v>
      </c>
      <c r="C1808" s="8">
        <v>245.79027598731969</v>
      </c>
      <c r="D1808" s="8">
        <v>245.89349613872059</v>
      </c>
      <c r="E1808" s="8">
        <v>245.68430098420069</v>
      </c>
      <c r="F1808" s="8">
        <v>245.78567773822999</v>
      </c>
      <c r="G1808" s="7">
        <v>44393</v>
      </c>
      <c r="H1808" s="9">
        <v>10911163.591833251</v>
      </c>
      <c r="I1808" s="5" t="s">
        <v>2937</v>
      </c>
    </row>
    <row r="1809" spans="1:9" x14ac:dyDescent="0.25">
      <c r="A1809" s="6">
        <v>45994.84375</v>
      </c>
      <c r="B1809" s="5" t="s">
        <v>24</v>
      </c>
      <c r="C1809" s="8">
        <v>245.38936156009231</v>
      </c>
      <c r="D1809" s="8">
        <v>245.68189597326611</v>
      </c>
      <c r="E1809" s="8">
        <v>245.2672689349221</v>
      </c>
      <c r="F1809" s="8">
        <v>245.49492111211919</v>
      </c>
      <c r="G1809" s="7">
        <v>88326</v>
      </c>
      <c r="H1809" s="9">
        <v>21683584.40214904</v>
      </c>
      <c r="I1809" s="5" t="s">
        <v>2938</v>
      </c>
    </row>
    <row r="1810" spans="1:9" x14ac:dyDescent="0.25">
      <c r="A1810" s="6">
        <v>45994.847222222219</v>
      </c>
      <c r="B1810" s="5" t="s">
        <v>24</v>
      </c>
      <c r="C1810" s="8">
        <v>245.7361289496948</v>
      </c>
      <c r="D1810" s="8">
        <v>245.83457724851601</v>
      </c>
      <c r="E1810" s="8">
        <v>245.5538106413465</v>
      </c>
      <c r="F1810" s="8">
        <v>245.83445848611561</v>
      </c>
      <c r="G1810" s="7">
        <v>112468</v>
      </c>
      <c r="H1810" s="9">
        <v>27648509.877016451</v>
      </c>
      <c r="I1810" s="5" t="s">
        <v>2939</v>
      </c>
    </row>
    <row r="1811" spans="1:9" x14ac:dyDescent="0.25">
      <c r="A1811" s="6">
        <v>45994.850694444453</v>
      </c>
      <c r="B1811" s="5" t="s">
        <v>24</v>
      </c>
      <c r="C1811" s="8">
        <v>245.73637797263299</v>
      </c>
      <c r="D1811" s="8">
        <v>245.81883708655789</v>
      </c>
      <c r="E1811" s="8">
        <v>245.67041811206099</v>
      </c>
      <c r="F1811" s="8">
        <v>245.7633067895936</v>
      </c>
      <c r="G1811" s="7">
        <v>79655</v>
      </c>
      <c r="H1811" s="9">
        <v>19576276.20232508</v>
      </c>
      <c r="I1811" s="5" t="s">
        <v>2940</v>
      </c>
    </row>
    <row r="1812" spans="1:9" x14ac:dyDescent="0.25">
      <c r="A1812" s="6">
        <v>45994.854166666657</v>
      </c>
      <c r="B1812" s="5" t="s">
        <v>24</v>
      </c>
      <c r="C1812" s="8">
        <v>245.95202441369719</v>
      </c>
      <c r="D1812" s="8">
        <v>246.20286747134381</v>
      </c>
      <c r="E1812" s="8">
        <v>245.80539141349331</v>
      </c>
      <c r="F1812" s="8">
        <v>245.98455137832599</v>
      </c>
      <c r="G1812" s="7">
        <v>75151</v>
      </c>
      <c r="H1812" s="9">
        <v>18485985.020632569</v>
      </c>
      <c r="I1812" s="5" t="s">
        <v>2941</v>
      </c>
    </row>
    <row r="1813" spans="1:9" x14ac:dyDescent="0.25">
      <c r="A1813" s="6">
        <v>45994.857638888891</v>
      </c>
      <c r="B1813" s="5" t="s">
        <v>24</v>
      </c>
      <c r="C1813" s="8">
        <v>246.37343094823169</v>
      </c>
      <c r="D1813" s="8">
        <v>246.44146763115501</v>
      </c>
      <c r="E1813" s="8">
        <v>246.23583249492691</v>
      </c>
      <c r="F1813" s="8">
        <v>246.2891536678614</v>
      </c>
      <c r="G1813" s="7">
        <v>58804</v>
      </c>
      <c r="H1813" s="9">
        <v>14482787.39228492</v>
      </c>
      <c r="I1813" s="5" t="s">
        <v>2942</v>
      </c>
    </row>
    <row r="1814" spans="1:9" x14ac:dyDescent="0.25">
      <c r="A1814" s="6">
        <v>45994.861111111109</v>
      </c>
      <c r="B1814" s="5" t="s">
        <v>24</v>
      </c>
      <c r="C1814" s="8">
        <v>246.08409236955009</v>
      </c>
      <c r="D1814" s="8">
        <v>246.27644767097101</v>
      </c>
      <c r="E1814" s="8">
        <v>245.9163131851586</v>
      </c>
      <c r="F1814" s="8">
        <v>246.13283405530379</v>
      </c>
      <c r="G1814" s="7">
        <v>39958</v>
      </c>
      <c r="H1814" s="9">
        <v>9834975.7831818294</v>
      </c>
      <c r="I1814" s="5" t="s">
        <v>2943</v>
      </c>
    </row>
    <row r="1815" spans="1:9" x14ac:dyDescent="0.25">
      <c r="A1815" s="6">
        <v>45994.864583333343</v>
      </c>
      <c r="B1815" s="5" t="s">
        <v>24</v>
      </c>
      <c r="C1815" s="8">
        <v>246.08505003731091</v>
      </c>
      <c r="D1815" s="8">
        <v>246.14746879210861</v>
      </c>
      <c r="E1815" s="8">
        <v>245.7224696494566</v>
      </c>
      <c r="F1815" s="8">
        <v>245.98358509119711</v>
      </c>
      <c r="G1815" s="7">
        <v>104970</v>
      </c>
      <c r="H1815" s="9">
        <v>25820896.92702296</v>
      </c>
      <c r="I1815" s="5" t="s">
        <v>2944</v>
      </c>
    </row>
    <row r="1816" spans="1:9" x14ac:dyDescent="0.25">
      <c r="A1816" s="6">
        <v>45994.868055555547</v>
      </c>
      <c r="B1816" s="5" t="s">
        <v>24</v>
      </c>
      <c r="C1816" s="8">
        <v>246.17352440754891</v>
      </c>
      <c r="D1816" s="8">
        <v>246.33299486907899</v>
      </c>
      <c r="E1816" s="8">
        <v>246.04530515953519</v>
      </c>
      <c r="F1816" s="8">
        <v>246.08832233314121</v>
      </c>
      <c r="G1816" s="7">
        <v>112830</v>
      </c>
      <c r="H1816" s="9">
        <v>27766145.408848319</v>
      </c>
      <c r="I1816" s="5" t="s">
        <v>2945</v>
      </c>
    </row>
    <row r="1817" spans="1:9" x14ac:dyDescent="0.25">
      <c r="A1817" s="6">
        <v>45994.871527777781</v>
      </c>
      <c r="B1817" s="5" t="s">
        <v>24</v>
      </c>
      <c r="C1817" s="8">
        <v>246.23091843888639</v>
      </c>
      <c r="D1817" s="8">
        <v>246.64242827080571</v>
      </c>
      <c r="E1817" s="8">
        <v>246.07382678442349</v>
      </c>
      <c r="F1817" s="8">
        <v>246.2047515245296</v>
      </c>
      <c r="G1817" s="7">
        <v>36972</v>
      </c>
      <c r="H1817" s="9">
        <v>9102682.0733649079</v>
      </c>
      <c r="I1817" s="5" t="s">
        <v>2946</v>
      </c>
    </row>
    <row r="1818" spans="1:9" x14ac:dyDescent="0.25">
      <c r="A1818" s="6">
        <v>45994.875</v>
      </c>
      <c r="B1818" s="5" t="s">
        <v>24</v>
      </c>
      <c r="C1818" s="8">
        <v>246.29612030000189</v>
      </c>
      <c r="D1818" s="8">
        <v>246.56235116592339</v>
      </c>
      <c r="E1818" s="8">
        <v>246.22746930505431</v>
      </c>
      <c r="F1818" s="8">
        <v>246.47738874157079</v>
      </c>
      <c r="G1818" s="7">
        <v>52293</v>
      </c>
      <c r="H1818" s="9">
        <v>12889042.08946296</v>
      </c>
      <c r="I1818" s="5" t="s">
        <v>2947</v>
      </c>
    </row>
    <row r="1819" spans="1:9" x14ac:dyDescent="0.25">
      <c r="A1819" s="6">
        <v>45995.604166666657</v>
      </c>
      <c r="B1819" s="5" t="s">
        <v>24</v>
      </c>
      <c r="C1819" s="8">
        <v>246.29403184132821</v>
      </c>
      <c r="D1819" s="8">
        <v>246.7363590547954</v>
      </c>
      <c r="E1819" s="8">
        <v>246.1427036976408</v>
      </c>
      <c r="F1819" s="8">
        <v>246.3202718363423</v>
      </c>
      <c r="G1819" s="7">
        <v>46379</v>
      </c>
      <c r="H1819" s="9">
        <v>11424087.887497719</v>
      </c>
      <c r="I1819" s="5" t="s">
        <v>2948</v>
      </c>
    </row>
    <row r="1820" spans="1:9" x14ac:dyDescent="0.25">
      <c r="A1820" s="6">
        <v>45995.607638888891</v>
      </c>
      <c r="B1820" s="5" t="s">
        <v>24</v>
      </c>
      <c r="C1820" s="8">
        <v>246.27196289007711</v>
      </c>
      <c r="D1820" s="8">
        <v>246.5633133767337</v>
      </c>
      <c r="E1820" s="8">
        <v>246.20986560921321</v>
      </c>
      <c r="F1820" s="8">
        <v>246.29577576603319</v>
      </c>
      <c r="G1820" s="7">
        <v>58448</v>
      </c>
      <c r="H1820" s="9">
        <v>14395495.501973109</v>
      </c>
      <c r="I1820" s="5" t="s">
        <v>2949</v>
      </c>
    </row>
    <row r="1821" spans="1:9" x14ac:dyDescent="0.25">
      <c r="A1821" s="6">
        <v>45995.611111111109</v>
      </c>
      <c r="B1821" s="5" t="s">
        <v>24</v>
      </c>
      <c r="C1821" s="8">
        <v>246.51137232990291</v>
      </c>
      <c r="D1821" s="8">
        <v>246.5249483775051</v>
      </c>
      <c r="E1821" s="8">
        <v>246.44998136089501</v>
      </c>
      <c r="F1821" s="8">
        <v>246.48159781369179</v>
      </c>
      <c r="G1821" s="7">
        <v>58741</v>
      </c>
      <c r="H1821" s="9">
        <v>14478575.53717407</v>
      </c>
      <c r="I1821" s="5" t="s">
        <v>2950</v>
      </c>
    </row>
    <row r="1822" spans="1:9" x14ac:dyDescent="0.25">
      <c r="A1822" s="6">
        <v>45995.614583333343</v>
      </c>
      <c r="B1822" s="5" t="s">
        <v>24</v>
      </c>
      <c r="C1822" s="8">
        <v>246.44592999867709</v>
      </c>
      <c r="D1822" s="8">
        <v>246.4743432267025</v>
      </c>
      <c r="E1822" s="8">
        <v>246.24346713775299</v>
      </c>
      <c r="F1822" s="8">
        <v>246.46989133918461</v>
      </c>
      <c r="G1822" s="7">
        <v>39845</v>
      </c>
      <c r="H1822" s="9">
        <v>9820592.8204098102</v>
      </c>
      <c r="I1822" s="5" t="s">
        <v>2951</v>
      </c>
    </row>
    <row r="1823" spans="1:9" x14ac:dyDescent="0.25">
      <c r="A1823" s="6">
        <v>45995.618055555547</v>
      </c>
      <c r="B1823" s="5" t="s">
        <v>24</v>
      </c>
      <c r="C1823" s="8">
        <v>246.6386570591134</v>
      </c>
      <c r="D1823" s="8">
        <v>246.63874549062299</v>
      </c>
      <c r="E1823" s="8">
        <v>246.56840543968829</v>
      </c>
      <c r="F1823" s="8">
        <v>246.57691963117441</v>
      </c>
      <c r="G1823" s="7">
        <v>92245</v>
      </c>
      <c r="H1823" s="9">
        <v>22745487.951377679</v>
      </c>
      <c r="I1823" s="5" t="s">
        <v>2952</v>
      </c>
    </row>
    <row r="1824" spans="1:9" x14ac:dyDescent="0.25">
      <c r="A1824" s="6">
        <v>45995.621527777781</v>
      </c>
      <c r="B1824" s="5" t="s">
        <v>24</v>
      </c>
      <c r="C1824" s="8">
        <v>246.5561804773331</v>
      </c>
      <c r="D1824" s="8">
        <v>246.65053981792511</v>
      </c>
      <c r="E1824" s="8">
        <v>246.4616902602499</v>
      </c>
      <c r="F1824" s="8">
        <v>246.50479919813651</v>
      </c>
      <c r="G1824" s="7">
        <v>66733</v>
      </c>
      <c r="H1824" s="9">
        <v>16450004.76488924</v>
      </c>
      <c r="I1824" s="5" t="s">
        <v>2953</v>
      </c>
    </row>
    <row r="1825" spans="1:9" x14ac:dyDescent="0.25">
      <c r="A1825" s="6">
        <v>45995.625</v>
      </c>
      <c r="B1825" s="5" t="s">
        <v>24</v>
      </c>
      <c r="C1825" s="8">
        <v>246.8252885172671</v>
      </c>
      <c r="D1825" s="8">
        <v>246.969611522929</v>
      </c>
      <c r="E1825" s="8">
        <v>246.54168906049591</v>
      </c>
      <c r="F1825" s="8">
        <v>246.70995051936961</v>
      </c>
      <c r="G1825" s="7">
        <v>48803</v>
      </c>
      <c r="H1825" s="9">
        <v>12040185.715196799</v>
      </c>
      <c r="I1825" s="5" t="s">
        <v>2954</v>
      </c>
    </row>
    <row r="1826" spans="1:9" x14ac:dyDescent="0.25">
      <c r="A1826" s="6">
        <v>45995.628472222219</v>
      </c>
      <c r="B1826" s="5" t="s">
        <v>24</v>
      </c>
      <c r="C1826" s="8">
        <v>246.55472330351421</v>
      </c>
      <c r="D1826" s="8">
        <v>246.59633062030341</v>
      </c>
      <c r="E1826" s="8">
        <v>246.29067727932841</v>
      </c>
      <c r="F1826" s="8">
        <v>246.53408414498179</v>
      </c>
      <c r="G1826" s="7">
        <v>109516</v>
      </c>
      <c r="H1826" s="9">
        <v>26999426.759221818</v>
      </c>
      <c r="I1826" s="5" t="s">
        <v>2955</v>
      </c>
    </row>
    <row r="1827" spans="1:9" x14ac:dyDescent="0.25">
      <c r="A1827" s="6">
        <v>45995.631944444453</v>
      </c>
      <c r="B1827" s="5" t="s">
        <v>24</v>
      </c>
      <c r="C1827" s="8">
        <v>246.51227172075789</v>
      </c>
      <c r="D1827" s="8">
        <v>246.58415284925559</v>
      </c>
      <c r="E1827" s="8">
        <v>246.3511398763128</v>
      </c>
      <c r="F1827" s="8">
        <v>246.45481527262669</v>
      </c>
      <c r="G1827" s="7">
        <v>63729</v>
      </c>
      <c r="H1827" s="9">
        <v>15706318.922509231</v>
      </c>
      <c r="I1827" s="5" t="s">
        <v>2956</v>
      </c>
    </row>
    <row r="1828" spans="1:9" x14ac:dyDescent="0.25">
      <c r="A1828" s="6">
        <v>45995.635416666657</v>
      </c>
      <c r="B1828" s="5" t="s">
        <v>24</v>
      </c>
      <c r="C1828" s="8">
        <v>246.5569963648469</v>
      </c>
      <c r="D1828" s="8">
        <v>246.5942799843219</v>
      </c>
      <c r="E1828" s="8">
        <v>246.3647621521468</v>
      </c>
      <c r="F1828" s="8">
        <v>246.5442781510225</v>
      </c>
      <c r="G1828" s="7">
        <v>65340</v>
      </c>
      <c r="H1828" s="9">
        <v>16109203.13438781</v>
      </c>
      <c r="I1828" s="5" t="s">
        <v>2957</v>
      </c>
    </row>
    <row r="1829" spans="1:9" x14ac:dyDescent="0.25">
      <c r="A1829" s="6">
        <v>45995.638888888891</v>
      </c>
      <c r="B1829" s="5" t="s">
        <v>24</v>
      </c>
      <c r="C1829" s="8">
        <v>246.6079534454291</v>
      </c>
      <c r="D1829" s="8">
        <v>246.7231094113985</v>
      </c>
      <c r="E1829" s="8">
        <v>246.56853547472579</v>
      </c>
      <c r="F1829" s="8">
        <v>246.64291625425761</v>
      </c>
      <c r="G1829" s="7">
        <v>37721</v>
      </c>
      <c r="H1829" s="9">
        <v>9303617.4440268502</v>
      </c>
      <c r="I1829" s="5" t="s">
        <v>2958</v>
      </c>
    </row>
    <row r="1830" spans="1:9" x14ac:dyDescent="0.25">
      <c r="A1830" s="6">
        <v>45995.642361111109</v>
      </c>
      <c r="B1830" s="5" t="s">
        <v>24</v>
      </c>
      <c r="C1830" s="8">
        <v>246.9594896927226</v>
      </c>
      <c r="D1830" s="8">
        <v>247.01437686010581</v>
      </c>
      <c r="E1830" s="8">
        <v>246.899217331437</v>
      </c>
      <c r="F1830" s="8">
        <v>246.9808161811039</v>
      </c>
      <c r="G1830" s="7">
        <v>64693</v>
      </c>
      <c r="H1830" s="9">
        <v>15977929.941204149</v>
      </c>
      <c r="I1830" s="5" t="s">
        <v>2959</v>
      </c>
    </row>
    <row r="1831" spans="1:9" x14ac:dyDescent="0.25">
      <c r="A1831" s="6">
        <v>45995.645833333343</v>
      </c>
      <c r="B1831" s="5" t="s">
        <v>24</v>
      </c>
      <c r="C1831" s="8">
        <v>247.17437114096469</v>
      </c>
      <c r="D1831" s="8">
        <v>247.25989530585201</v>
      </c>
      <c r="E1831" s="8">
        <v>246.9640258074169</v>
      </c>
      <c r="F1831" s="8">
        <v>247.11545711553751</v>
      </c>
      <c r="G1831" s="7">
        <v>58859</v>
      </c>
      <c r="H1831" s="9">
        <v>14544968.69036342</v>
      </c>
      <c r="I1831" s="5" t="s">
        <v>2960</v>
      </c>
    </row>
    <row r="1832" spans="1:9" x14ac:dyDescent="0.25">
      <c r="A1832" s="6">
        <v>45995.649305555547</v>
      </c>
      <c r="B1832" s="5" t="s">
        <v>24</v>
      </c>
      <c r="C1832" s="8">
        <v>247.05790774269721</v>
      </c>
      <c r="D1832" s="8">
        <v>247.29966888549589</v>
      </c>
      <c r="E1832" s="8">
        <v>246.91809375318169</v>
      </c>
      <c r="F1832" s="8">
        <v>247.10619538631099</v>
      </c>
      <c r="G1832" s="7">
        <v>45323</v>
      </c>
      <c r="H1832" s="9">
        <v>11199594.093493771</v>
      </c>
      <c r="I1832" s="5" t="s">
        <v>2961</v>
      </c>
    </row>
    <row r="1833" spans="1:9" x14ac:dyDescent="0.25">
      <c r="A1833" s="6">
        <v>45995.652777777781</v>
      </c>
      <c r="B1833" s="5" t="s">
        <v>24</v>
      </c>
      <c r="C1833" s="8">
        <v>247.30753348623421</v>
      </c>
      <c r="D1833" s="8">
        <v>247.34899332388869</v>
      </c>
      <c r="E1833" s="8">
        <v>247.1925087970917</v>
      </c>
      <c r="F1833" s="8">
        <v>247.3311531067468</v>
      </c>
      <c r="G1833" s="7">
        <v>39811</v>
      </c>
      <c r="H1833" s="9">
        <v>9846500.5363326948</v>
      </c>
      <c r="I1833" s="5" t="s">
        <v>2962</v>
      </c>
    </row>
    <row r="1834" spans="1:9" x14ac:dyDescent="0.25">
      <c r="A1834" s="6">
        <v>45995.65625</v>
      </c>
      <c r="B1834" s="5" t="s">
        <v>24</v>
      </c>
      <c r="C1834" s="8">
        <v>247.06280129641871</v>
      </c>
      <c r="D1834" s="8">
        <v>247.29862011006489</v>
      </c>
      <c r="E1834" s="8">
        <v>247.01110308809751</v>
      </c>
      <c r="F1834" s="8">
        <v>247.1832319389901</v>
      </c>
      <c r="G1834" s="7">
        <v>118031</v>
      </c>
      <c r="H1834" s="9">
        <v>29175284.048990939</v>
      </c>
      <c r="I1834" s="5" t="s">
        <v>2963</v>
      </c>
    </row>
    <row r="1835" spans="1:9" x14ac:dyDescent="0.25">
      <c r="A1835" s="6">
        <v>45995.659722222219</v>
      </c>
      <c r="B1835" s="5" t="s">
        <v>24</v>
      </c>
      <c r="C1835" s="8">
        <v>247.14229464234961</v>
      </c>
      <c r="D1835" s="8">
        <v>247.33423111107351</v>
      </c>
      <c r="E1835" s="8">
        <v>247.07407801894129</v>
      </c>
      <c r="F1835" s="8">
        <v>247.17790427801671</v>
      </c>
      <c r="G1835" s="7">
        <v>86364</v>
      </c>
      <c r="H1835" s="9">
        <v>21347272.525066629</v>
      </c>
      <c r="I1835" s="5" t="s">
        <v>2964</v>
      </c>
    </row>
    <row r="1836" spans="1:9" x14ac:dyDescent="0.25">
      <c r="A1836" s="6">
        <v>45995.663194444453</v>
      </c>
      <c r="B1836" s="5" t="s">
        <v>24</v>
      </c>
      <c r="C1836" s="8">
        <v>246.9532434734393</v>
      </c>
      <c r="D1836" s="8">
        <v>247.12393786935141</v>
      </c>
      <c r="E1836" s="8">
        <v>246.91577278247411</v>
      </c>
      <c r="F1836" s="8">
        <v>247.0818568695307</v>
      </c>
      <c r="G1836" s="7">
        <v>73134</v>
      </c>
      <c r="H1836" s="9">
        <v>18070084.520296261</v>
      </c>
      <c r="I1836" s="5" t="s">
        <v>2965</v>
      </c>
    </row>
    <row r="1837" spans="1:9" x14ac:dyDescent="0.25">
      <c r="A1837" s="6">
        <v>45995.666666666657</v>
      </c>
      <c r="B1837" s="5" t="s">
        <v>24</v>
      </c>
      <c r="C1837" s="8">
        <v>247.0168060811136</v>
      </c>
      <c r="D1837" s="8">
        <v>247.0597776442111</v>
      </c>
      <c r="E1837" s="8">
        <v>246.8741692500181</v>
      </c>
      <c r="F1837" s="8">
        <v>246.99448399574101</v>
      </c>
      <c r="G1837" s="7">
        <v>41451</v>
      </c>
      <c r="H1837" s="9">
        <v>10238168.35610746</v>
      </c>
      <c r="I1837" s="5" t="s">
        <v>2966</v>
      </c>
    </row>
    <row r="1838" spans="1:9" x14ac:dyDescent="0.25">
      <c r="A1838" s="6">
        <v>45995.670138888891</v>
      </c>
      <c r="B1838" s="5" t="s">
        <v>24</v>
      </c>
      <c r="C1838" s="8">
        <v>246.7257406727704</v>
      </c>
      <c r="D1838" s="8">
        <v>246.85960823929409</v>
      </c>
      <c r="E1838" s="8">
        <v>246.6264628173713</v>
      </c>
      <c r="F1838" s="8">
        <v>246.8414589326058</v>
      </c>
      <c r="G1838" s="7">
        <v>54352</v>
      </c>
      <c r="H1838" s="9">
        <v>13416326.97590499</v>
      </c>
      <c r="I1838" s="5" t="s">
        <v>2967</v>
      </c>
    </row>
    <row r="1839" spans="1:9" x14ac:dyDescent="0.25">
      <c r="A1839" s="6">
        <v>45995.673611111109</v>
      </c>
      <c r="B1839" s="5" t="s">
        <v>24</v>
      </c>
      <c r="C1839" s="8">
        <v>246.62572338815241</v>
      </c>
      <c r="D1839" s="8">
        <v>246.8072818525425</v>
      </c>
      <c r="E1839" s="8">
        <v>246.46629214529159</v>
      </c>
      <c r="F1839" s="8">
        <v>246.7088180194371</v>
      </c>
      <c r="G1839" s="7">
        <v>28712</v>
      </c>
      <c r="H1839" s="9">
        <v>7083503.5829740791</v>
      </c>
      <c r="I1839" s="5" t="s">
        <v>2968</v>
      </c>
    </row>
    <row r="1840" spans="1:9" x14ac:dyDescent="0.25">
      <c r="A1840" s="6">
        <v>45995.677083333343</v>
      </c>
      <c r="B1840" s="5" t="s">
        <v>24</v>
      </c>
      <c r="C1840" s="8">
        <v>247.27722811609439</v>
      </c>
      <c r="D1840" s="8">
        <v>247.34986234756289</v>
      </c>
      <c r="E1840" s="8">
        <v>247.15934764052611</v>
      </c>
      <c r="F1840" s="8">
        <v>247.162581784004</v>
      </c>
      <c r="G1840" s="7">
        <v>63865</v>
      </c>
      <c r="H1840" s="9">
        <v>15785038.285635419</v>
      </c>
      <c r="I1840" s="5" t="s">
        <v>2969</v>
      </c>
    </row>
    <row r="1841" spans="1:9" x14ac:dyDescent="0.25">
      <c r="A1841" s="6">
        <v>45995.680555555547</v>
      </c>
      <c r="B1841" s="5" t="s">
        <v>24</v>
      </c>
      <c r="C1841" s="8">
        <v>247.23013650165191</v>
      </c>
      <c r="D1841" s="8">
        <v>247.3183741826721</v>
      </c>
      <c r="E1841" s="8">
        <v>247.13233047864679</v>
      </c>
      <c r="F1841" s="8">
        <v>247.25450925930909</v>
      </c>
      <c r="G1841" s="7">
        <v>140307</v>
      </c>
      <c r="H1841" s="9">
        <v>34691538.430645883</v>
      </c>
      <c r="I1841" s="5" t="s">
        <v>2970</v>
      </c>
    </row>
    <row r="1842" spans="1:9" x14ac:dyDescent="0.25">
      <c r="A1842" s="6">
        <v>45995.684027777781</v>
      </c>
      <c r="B1842" s="5" t="s">
        <v>24</v>
      </c>
      <c r="C1842" s="8">
        <v>247.20154197373651</v>
      </c>
      <c r="D1842" s="8">
        <v>247.3967980221409</v>
      </c>
      <c r="E1842" s="8">
        <v>247.20096860714489</v>
      </c>
      <c r="F1842" s="8">
        <v>247.2462224991562</v>
      </c>
      <c r="G1842" s="7">
        <v>63782</v>
      </c>
      <c r="H1842" s="9">
        <v>15769858.56344118</v>
      </c>
      <c r="I1842" s="5" t="s">
        <v>2971</v>
      </c>
    </row>
    <row r="1843" spans="1:9" x14ac:dyDescent="0.25">
      <c r="A1843" s="6">
        <v>45995.6875</v>
      </c>
      <c r="B1843" s="5" t="s">
        <v>24</v>
      </c>
      <c r="C1843" s="8">
        <v>247.24907627908851</v>
      </c>
      <c r="D1843" s="8">
        <v>247.33304351965859</v>
      </c>
      <c r="E1843" s="8">
        <v>247.18463127287029</v>
      </c>
      <c r="F1843" s="8">
        <v>247.2728959807165</v>
      </c>
      <c r="G1843" s="7">
        <v>46674</v>
      </c>
      <c r="H1843" s="9">
        <v>11541215.14700396</v>
      </c>
      <c r="I1843" s="5" t="s">
        <v>2972</v>
      </c>
    </row>
    <row r="1844" spans="1:9" x14ac:dyDescent="0.25">
      <c r="A1844" s="6">
        <v>45995.690972222219</v>
      </c>
      <c r="B1844" s="5" t="s">
        <v>24</v>
      </c>
      <c r="C1844" s="8">
        <v>247.31919638125649</v>
      </c>
      <c r="D1844" s="8">
        <v>247.32419997899021</v>
      </c>
      <c r="E1844" s="8">
        <v>247.0750682517664</v>
      </c>
      <c r="F1844" s="8">
        <v>247.1842493005997</v>
      </c>
      <c r="G1844" s="7">
        <v>43037</v>
      </c>
      <c r="H1844" s="9">
        <v>10638068.53714991</v>
      </c>
      <c r="I1844" s="5" t="s">
        <v>2973</v>
      </c>
    </row>
    <row r="1845" spans="1:9" x14ac:dyDescent="0.25">
      <c r="A1845" s="6">
        <v>45995.694444444453</v>
      </c>
      <c r="B1845" s="5" t="s">
        <v>24</v>
      </c>
      <c r="C1845" s="8">
        <v>247.40814845602381</v>
      </c>
      <c r="D1845" s="8">
        <v>247.4772446827854</v>
      </c>
      <c r="E1845" s="8">
        <v>247.16226973791021</v>
      </c>
      <c r="F1845" s="8">
        <v>247.44981130360719</v>
      </c>
      <c r="G1845" s="7">
        <v>29753</v>
      </c>
      <c r="H1845" s="9">
        <v>7362374.2357162274</v>
      </c>
      <c r="I1845" s="5" t="s">
        <v>2974</v>
      </c>
    </row>
    <row r="1846" spans="1:9" x14ac:dyDescent="0.25">
      <c r="A1846" s="6">
        <v>45995.697916666657</v>
      </c>
      <c r="B1846" s="5" t="s">
        <v>24</v>
      </c>
      <c r="C1846" s="8">
        <v>247.3904694040599</v>
      </c>
      <c r="D1846" s="8">
        <v>247.54464297078789</v>
      </c>
      <c r="E1846" s="8">
        <v>247.26269734438489</v>
      </c>
      <c r="F1846" s="8">
        <v>247.50970521664081</v>
      </c>
      <c r="G1846" s="7">
        <v>45354</v>
      </c>
      <c r="H1846" s="9">
        <v>11225555.170395531</v>
      </c>
      <c r="I1846" s="5" t="s">
        <v>2975</v>
      </c>
    </row>
    <row r="1847" spans="1:9" x14ac:dyDescent="0.25">
      <c r="A1847" s="6">
        <v>45995.701388888891</v>
      </c>
      <c r="B1847" s="5" t="s">
        <v>24</v>
      </c>
      <c r="C1847" s="8">
        <v>247.3722943346657</v>
      </c>
      <c r="D1847" s="8">
        <v>247.50356537155341</v>
      </c>
      <c r="E1847" s="8">
        <v>247.31640384223499</v>
      </c>
      <c r="F1847" s="8">
        <v>247.40327555939001</v>
      </c>
      <c r="G1847" s="7">
        <v>51827</v>
      </c>
      <c r="H1847" s="9">
        <v>12822169.562416511</v>
      </c>
      <c r="I1847" s="5" t="s">
        <v>2976</v>
      </c>
    </row>
    <row r="1848" spans="1:9" x14ac:dyDescent="0.25">
      <c r="A1848" s="6">
        <v>45995.704861111109</v>
      </c>
      <c r="B1848" s="5" t="s">
        <v>24</v>
      </c>
      <c r="C1848" s="8">
        <v>247.36093938864749</v>
      </c>
      <c r="D1848" s="8">
        <v>247.43551204315671</v>
      </c>
      <c r="E1848" s="8">
        <v>247.2893710680984</v>
      </c>
      <c r="F1848" s="8">
        <v>247.35664516221721</v>
      </c>
      <c r="G1848" s="7">
        <v>61160</v>
      </c>
      <c r="H1848" s="9">
        <v>15128332.4181212</v>
      </c>
      <c r="I1848" s="5" t="s">
        <v>2977</v>
      </c>
    </row>
    <row r="1849" spans="1:9" x14ac:dyDescent="0.25">
      <c r="A1849" s="6">
        <v>45995.708333333343</v>
      </c>
      <c r="B1849" s="5" t="s">
        <v>24</v>
      </c>
      <c r="C1849" s="8">
        <v>247.22691946413789</v>
      </c>
      <c r="D1849" s="8">
        <v>247.34233890989881</v>
      </c>
      <c r="E1849" s="8">
        <v>247.1690706781431</v>
      </c>
      <c r="F1849" s="8">
        <v>247.19082845386109</v>
      </c>
      <c r="G1849" s="7">
        <v>52976</v>
      </c>
      <c r="H1849" s="9">
        <v>13095181.328171751</v>
      </c>
      <c r="I1849" s="5" t="s">
        <v>2978</v>
      </c>
    </row>
    <row r="1850" spans="1:9" x14ac:dyDescent="0.25">
      <c r="A1850" s="6">
        <v>45995.711805555547</v>
      </c>
      <c r="B1850" s="5" t="s">
        <v>24</v>
      </c>
      <c r="C1850" s="8">
        <v>247.49363513779261</v>
      </c>
      <c r="D1850" s="8">
        <v>247.7436792606581</v>
      </c>
      <c r="E1850" s="8">
        <v>247.4595435624806</v>
      </c>
      <c r="F1850" s="8">
        <v>247.65301675333271</v>
      </c>
      <c r="G1850" s="7">
        <v>99786</v>
      </c>
      <c r="H1850" s="9">
        <v>24712303.929748051</v>
      </c>
      <c r="I1850" s="5" t="s">
        <v>2979</v>
      </c>
    </row>
    <row r="1851" spans="1:9" x14ac:dyDescent="0.25">
      <c r="A1851" s="6">
        <v>45995.715277777781</v>
      </c>
      <c r="B1851" s="5" t="s">
        <v>24</v>
      </c>
      <c r="C1851" s="8">
        <v>248.0993127952934</v>
      </c>
      <c r="D1851" s="8">
        <v>248.16132282001081</v>
      </c>
      <c r="E1851" s="8">
        <v>247.96765838658951</v>
      </c>
      <c r="F1851" s="8">
        <v>248.0520684550678</v>
      </c>
      <c r="G1851" s="7">
        <v>40884</v>
      </c>
      <c r="H1851" s="9">
        <v>10141360.766716991</v>
      </c>
      <c r="I1851" s="5" t="s">
        <v>2980</v>
      </c>
    </row>
    <row r="1852" spans="1:9" x14ac:dyDescent="0.25">
      <c r="A1852" s="6">
        <v>45995.71875</v>
      </c>
      <c r="B1852" s="5" t="s">
        <v>24</v>
      </c>
      <c r="C1852" s="8">
        <v>248.02233092952761</v>
      </c>
      <c r="D1852" s="8">
        <v>248.1491075452723</v>
      </c>
      <c r="E1852" s="8">
        <v>247.77488626586651</v>
      </c>
      <c r="F1852" s="8">
        <v>248.07533683455091</v>
      </c>
      <c r="G1852" s="7">
        <v>53864</v>
      </c>
      <c r="H1852" s="9">
        <v>13362329.94325625</v>
      </c>
      <c r="I1852" s="5" t="s">
        <v>2981</v>
      </c>
    </row>
    <row r="1853" spans="1:9" x14ac:dyDescent="0.25">
      <c r="A1853" s="6">
        <v>45995.722222222219</v>
      </c>
      <c r="B1853" s="5" t="s">
        <v>24</v>
      </c>
      <c r="C1853" s="8">
        <v>248.10853383968211</v>
      </c>
      <c r="D1853" s="8">
        <v>248.16827995123069</v>
      </c>
      <c r="E1853" s="8">
        <v>248.00475979090791</v>
      </c>
      <c r="F1853" s="8">
        <v>248.1229199632335</v>
      </c>
      <c r="G1853" s="7">
        <v>55590</v>
      </c>
      <c r="H1853" s="9">
        <v>13793153.120756149</v>
      </c>
      <c r="I1853" s="5" t="s">
        <v>2982</v>
      </c>
    </row>
    <row r="1854" spans="1:9" x14ac:dyDescent="0.25">
      <c r="A1854" s="6">
        <v>45995.725694444453</v>
      </c>
      <c r="B1854" s="5" t="s">
        <v>24</v>
      </c>
      <c r="C1854" s="8">
        <v>248.40131758123499</v>
      </c>
      <c r="D1854" s="8">
        <v>248.6222659360327</v>
      </c>
      <c r="E1854" s="8">
        <v>248.2576282305555</v>
      </c>
      <c r="F1854" s="8">
        <v>248.4414794136365</v>
      </c>
      <c r="G1854" s="7">
        <v>52156</v>
      </c>
      <c r="H1854" s="9">
        <v>12957713.800297629</v>
      </c>
      <c r="I1854" s="5" t="s">
        <v>2983</v>
      </c>
    </row>
    <row r="1855" spans="1:9" x14ac:dyDescent="0.25">
      <c r="A1855" s="6">
        <v>45995.729166666657</v>
      </c>
      <c r="B1855" s="5" t="s">
        <v>24</v>
      </c>
      <c r="C1855" s="8">
        <v>248.5778894627465</v>
      </c>
      <c r="D1855" s="8">
        <v>248.7097750585543</v>
      </c>
      <c r="E1855" s="8">
        <v>248.37682835562859</v>
      </c>
      <c r="F1855" s="8">
        <v>248.5953572341181</v>
      </c>
      <c r="G1855" s="7">
        <v>44950</v>
      </c>
      <c r="H1855" s="9">
        <v>11174361.307673611</v>
      </c>
      <c r="I1855" s="5" t="s">
        <v>2984</v>
      </c>
    </row>
    <row r="1856" spans="1:9" x14ac:dyDescent="0.25">
      <c r="A1856" s="6">
        <v>45995.732638888891</v>
      </c>
      <c r="B1856" s="5" t="s">
        <v>24</v>
      </c>
      <c r="C1856" s="8">
        <v>248.62935932514969</v>
      </c>
      <c r="D1856" s="8">
        <v>248.78467891893439</v>
      </c>
      <c r="E1856" s="8">
        <v>248.509165256389</v>
      </c>
      <c r="F1856" s="8">
        <v>248.6488893384028</v>
      </c>
      <c r="G1856" s="7">
        <v>68585</v>
      </c>
      <c r="H1856" s="9">
        <v>17053584.075274348</v>
      </c>
      <c r="I1856" s="5" t="s">
        <v>2985</v>
      </c>
    </row>
    <row r="1857" spans="1:9" x14ac:dyDescent="0.25">
      <c r="A1857" s="6">
        <v>45995.736111111109</v>
      </c>
      <c r="B1857" s="5" t="s">
        <v>24</v>
      </c>
      <c r="C1857" s="8">
        <v>248.3905144709677</v>
      </c>
      <c r="D1857" s="8">
        <v>248.4240061697086</v>
      </c>
      <c r="E1857" s="8">
        <v>248.38130796535961</v>
      </c>
      <c r="F1857" s="8">
        <v>248.41385952200551</v>
      </c>
      <c r="G1857" s="7">
        <v>48872</v>
      </c>
      <c r="H1857" s="9">
        <v>12140482.14255945</v>
      </c>
      <c r="I1857" s="5" t="s">
        <v>2986</v>
      </c>
    </row>
    <row r="1858" spans="1:9" x14ac:dyDescent="0.25">
      <c r="A1858" s="6">
        <v>45995.739583333343</v>
      </c>
      <c r="B1858" s="5" t="s">
        <v>24</v>
      </c>
      <c r="C1858" s="8">
        <v>248.50299936106089</v>
      </c>
      <c r="D1858" s="8">
        <v>248.55046525936191</v>
      </c>
      <c r="E1858" s="8">
        <v>248.36146595290239</v>
      </c>
      <c r="F1858" s="8">
        <v>248.4708004827595</v>
      </c>
      <c r="G1858" s="7">
        <v>52729</v>
      </c>
      <c r="H1858" s="9">
        <v>13101616.838655431</v>
      </c>
      <c r="I1858" s="5" t="s">
        <v>2987</v>
      </c>
    </row>
    <row r="1859" spans="1:9" x14ac:dyDescent="0.25">
      <c r="A1859" s="6">
        <v>45995.743055555547</v>
      </c>
      <c r="B1859" s="5" t="s">
        <v>24</v>
      </c>
      <c r="C1859" s="8">
        <v>248.17304642432401</v>
      </c>
      <c r="D1859" s="8">
        <v>248.31307160505699</v>
      </c>
      <c r="E1859" s="8">
        <v>248.14431043127061</v>
      </c>
      <c r="F1859" s="8">
        <v>248.22434536372049</v>
      </c>
      <c r="G1859" s="7">
        <v>56683</v>
      </c>
      <c r="H1859" s="9">
        <v>14070100.56825177</v>
      </c>
      <c r="I1859" s="5" t="s">
        <v>2988</v>
      </c>
    </row>
    <row r="1860" spans="1:9" x14ac:dyDescent="0.25">
      <c r="A1860" s="6">
        <v>45995.746527777781</v>
      </c>
      <c r="B1860" s="5" t="s">
        <v>24</v>
      </c>
      <c r="C1860" s="8">
        <v>248.41467881631499</v>
      </c>
      <c r="D1860" s="8">
        <v>248.45751064316681</v>
      </c>
      <c r="E1860" s="8">
        <v>248.2066772235089</v>
      </c>
      <c r="F1860" s="8">
        <v>248.4548128803589</v>
      </c>
      <c r="G1860" s="7">
        <v>81488</v>
      </c>
      <c r="H1860" s="9">
        <v>20246085.79199468</v>
      </c>
      <c r="I1860" s="5" t="s">
        <v>2989</v>
      </c>
    </row>
    <row r="1861" spans="1:9" x14ac:dyDescent="0.25">
      <c r="A1861" s="6">
        <v>45995.75</v>
      </c>
      <c r="B1861" s="5" t="s">
        <v>24</v>
      </c>
      <c r="C1861" s="8">
        <v>248.47533405136241</v>
      </c>
      <c r="D1861" s="8">
        <v>248.58614282284199</v>
      </c>
      <c r="E1861" s="8">
        <v>248.41340616035509</v>
      </c>
      <c r="F1861" s="8">
        <v>248.4182511125197</v>
      </c>
      <c r="G1861" s="7">
        <v>72233</v>
      </c>
      <c r="H1861" s="9">
        <v>17943995.53261064</v>
      </c>
      <c r="I1861" s="5" t="s">
        <v>2990</v>
      </c>
    </row>
    <row r="1862" spans="1:9" x14ac:dyDescent="0.25">
      <c r="A1862" s="6">
        <v>45995.753472222219</v>
      </c>
      <c r="B1862" s="5" t="s">
        <v>24</v>
      </c>
      <c r="C1862" s="8">
        <v>248.0732745608355</v>
      </c>
      <c r="D1862" s="8">
        <v>248.38085473186931</v>
      </c>
      <c r="E1862" s="8">
        <v>247.93291050017211</v>
      </c>
      <c r="F1862" s="8">
        <v>248.11075957507879</v>
      </c>
      <c r="G1862" s="7">
        <v>73517</v>
      </c>
      <c r="H1862" s="9">
        <v>18240358.71168106</v>
      </c>
      <c r="I1862" s="5" t="s">
        <v>2991</v>
      </c>
    </row>
    <row r="1863" spans="1:9" x14ac:dyDescent="0.25">
      <c r="A1863" s="6">
        <v>45995.756944444453</v>
      </c>
      <c r="B1863" s="5" t="s">
        <v>24</v>
      </c>
      <c r="C1863" s="8">
        <v>248.51356715038341</v>
      </c>
      <c r="D1863" s="8">
        <v>248.73877530466129</v>
      </c>
      <c r="E1863" s="8">
        <v>248.39181698265801</v>
      </c>
      <c r="F1863" s="8">
        <v>248.4166620730291</v>
      </c>
      <c r="G1863" s="7">
        <v>36584</v>
      </c>
      <c r="H1863" s="9">
        <v>9088075.1652796958</v>
      </c>
      <c r="I1863" s="5" t="s">
        <v>2992</v>
      </c>
    </row>
    <row r="1864" spans="1:9" x14ac:dyDescent="0.25">
      <c r="A1864" s="6">
        <v>45995.760416666657</v>
      </c>
      <c r="B1864" s="5" t="s">
        <v>24</v>
      </c>
      <c r="C1864" s="8">
        <v>248.48494349686129</v>
      </c>
      <c r="D1864" s="8">
        <v>248.56696188261009</v>
      </c>
      <c r="E1864" s="8">
        <v>248.1638756403006</v>
      </c>
      <c r="F1864" s="8">
        <v>248.33457244137401</v>
      </c>
      <c r="G1864" s="7">
        <v>78153</v>
      </c>
      <c r="H1864" s="9">
        <v>19408091.84001071</v>
      </c>
      <c r="I1864" s="5" t="s">
        <v>2993</v>
      </c>
    </row>
    <row r="1865" spans="1:9" x14ac:dyDescent="0.25">
      <c r="A1865" s="6">
        <v>45995.763888888891</v>
      </c>
      <c r="B1865" s="5" t="s">
        <v>24</v>
      </c>
      <c r="C1865" s="8">
        <v>248.44375212695161</v>
      </c>
      <c r="D1865" s="8">
        <v>248.6227863171415</v>
      </c>
      <c r="E1865" s="8">
        <v>248.31341597506801</v>
      </c>
      <c r="F1865" s="8">
        <v>248.4652028370453</v>
      </c>
      <c r="G1865" s="7">
        <v>44427</v>
      </c>
      <c r="H1865" s="9">
        <v>11038563.566441409</v>
      </c>
      <c r="I1865" s="5" t="s">
        <v>2994</v>
      </c>
    </row>
    <row r="1866" spans="1:9" x14ac:dyDescent="0.25">
      <c r="A1866" s="6">
        <v>45995.767361111109</v>
      </c>
      <c r="B1866" s="5" t="s">
        <v>24</v>
      </c>
      <c r="C1866" s="8">
        <v>248.8670921522889</v>
      </c>
      <c r="D1866" s="8">
        <v>248.9671261065092</v>
      </c>
      <c r="E1866" s="8">
        <v>248.81846979844011</v>
      </c>
      <c r="F1866" s="8">
        <v>248.82532094975451</v>
      </c>
      <c r="G1866" s="7">
        <v>34017</v>
      </c>
      <c r="H1866" s="9">
        <v>8464290.9427477978</v>
      </c>
      <c r="I1866" s="5" t="s">
        <v>2995</v>
      </c>
    </row>
    <row r="1867" spans="1:9" x14ac:dyDescent="0.25">
      <c r="A1867" s="6">
        <v>45995.770833333343</v>
      </c>
      <c r="B1867" s="5" t="s">
        <v>24</v>
      </c>
      <c r="C1867" s="8">
        <v>248.71089993684811</v>
      </c>
      <c r="D1867" s="8">
        <v>248.88806461760581</v>
      </c>
      <c r="E1867" s="8">
        <v>248.47095771605939</v>
      </c>
      <c r="F1867" s="8">
        <v>248.64083996776171</v>
      </c>
      <c r="G1867" s="7">
        <v>99841</v>
      </c>
      <c r="H1867" s="9">
        <v>24824550.10322129</v>
      </c>
      <c r="I1867" s="5" t="s">
        <v>2996</v>
      </c>
    </row>
    <row r="1868" spans="1:9" x14ac:dyDescent="0.25">
      <c r="A1868" s="6">
        <v>45995.774305555547</v>
      </c>
      <c r="B1868" s="5" t="s">
        <v>24</v>
      </c>
      <c r="C1868" s="8">
        <v>248.19004083114669</v>
      </c>
      <c r="D1868" s="8">
        <v>248.2496914597956</v>
      </c>
      <c r="E1868" s="8">
        <v>247.90397748268541</v>
      </c>
      <c r="F1868" s="8">
        <v>248.19439642386729</v>
      </c>
      <c r="G1868" s="7">
        <v>86521</v>
      </c>
      <c r="H1868" s="9">
        <v>21474027.37298942</v>
      </c>
      <c r="I1868" s="5" t="s">
        <v>2997</v>
      </c>
    </row>
    <row r="1869" spans="1:9" x14ac:dyDescent="0.25">
      <c r="A1869" s="6">
        <v>45995.777777777781</v>
      </c>
      <c r="B1869" s="5" t="s">
        <v>24</v>
      </c>
      <c r="C1869" s="8">
        <v>248.1713424043094</v>
      </c>
      <c r="D1869" s="8">
        <v>248.33092326462929</v>
      </c>
      <c r="E1869" s="8">
        <v>247.9284106725018</v>
      </c>
      <c r="F1869" s="8">
        <v>248.2956653545759</v>
      </c>
      <c r="G1869" s="7">
        <v>66149</v>
      </c>
      <c r="H1869" s="9">
        <v>16424509.967539839</v>
      </c>
      <c r="I1869" s="5" t="s">
        <v>2998</v>
      </c>
    </row>
    <row r="1870" spans="1:9" x14ac:dyDescent="0.25">
      <c r="A1870" s="6">
        <v>45995.78125</v>
      </c>
      <c r="B1870" s="5" t="s">
        <v>24</v>
      </c>
      <c r="C1870" s="8">
        <v>248.07441605995629</v>
      </c>
      <c r="D1870" s="8">
        <v>248.16954658358739</v>
      </c>
      <c r="E1870" s="8">
        <v>247.9263923897272</v>
      </c>
      <c r="F1870" s="8">
        <v>248.00096459963049</v>
      </c>
      <c r="G1870" s="7">
        <v>69583</v>
      </c>
      <c r="H1870" s="9">
        <v>17256651.11973609</v>
      </c>
      <c r="I1870" s="5" t="s">
        <v>2999</v>
      </c>
    </row>
    <row r="1871" spans="1:9" x14ac:dyDescent="0.25">
      <c r="A1871" s="6">
        <v>45995.784722222219</v>
      </c>
      <c r="B1871" s="5" t="s">
        <v>24</v>
      </c>
      <c r="C1871" s="8">
        <v>248.06312180931019</v>
      </c>
      <c r="D1871" s="8">
        <v>248.06836437124059</v>
      </c>
      <c r="E1871" s="8">
        <v>247.94368662261019</v>
      </c>
      <c r="F1871" s="8">
        <v>248.05336757814149</v>
      </c>
      <c r="G1871" s="7">
        <v>61896</v>
      </c>
      <c r="H1871" s="9">
        <v>15353511.239616649</v>
      </c>
      <c r="I1871" s="5" t="s">
        <v>3000</v>
      </c>
    </row>
    <row r="1872" spans="1:9" x14ac:dyDescent="0.25">
      <c r="A1872" s="6">
        <v>45995.788194444453</v>
      </c>
      <c r="B1872" s="5" t="s">
        <v>24</v>
      </c>
      <c r="C1872" s="8">
        <v>248.00742025475569</v>
      </c>
      <c r="D1872" s="8">
        <v>248.10402766164381</v>
      </c>
      <c r="E1872" s="8">
        <v>247.79818047416629</v>
      </c>
      <c r="F1872" s="8">
        <v>247.9784710338777</v>
      </c>
      <c r="G1872" s="7">
        <v>79863</v>
      </c>
      <c r="H1872" s="9">
        <v>19804304.632178571</v>
      </c>
      <c r="I1872" s="5" t="s">
        <v>3001</v>
      </c>
    </row>
    <row r="1873" spans="1:9" x14ac:dyDescent="0.25">
      <c r="A1873" s="6">
        <v>45995.791666666657</v>
      </c>
      <c r="B1873" s="5" t="s">
        <v>24</v>
      </c>
      <c r="C1873" s="8">
        <v>247.5224946704954</v>
      </c>
      <c r="D1873" s="8">
        <v>247.55559729804281</v>
      </c>
      <c r="E1873" s="8">
        <v>247.51631681388341</v>
      </c>
      <c r="F1873" s="8">
        <v>247.5413197901178</v>
      </c>
      <c r="G1873" s="7">
        <v>71325</v>
      </c>
      <c r="H1873" s="9">
        <v>17655884.634030148</v>
      </c>
      <c r="I1873" s="5" t="s">
        <v>3002</v>
      </c>
    </row>
    <row r="1874" spans="1:9" x14ac:dyDescent="0.25">
      <c r="A1874" s="6">
        <v>45995.795138888891</v>
      </c>
      <c r="B1874" s="5" t="s">
        <v>24</v>
      </c>
      <c r="C1874" s="8">
        <v>247.94142284702309</v>
      </c>
      <c r="D1874" s="8">
        <v>248.2172180756296</v>
      </c>
      <c r="E1874" s="8">
        <v>247.70234381549969</v>
      </c>
      <c r="F1874" s="8">
        <v>247.83297273483521</v>
      </c>
      <c r="G1874" s="7">
        <v>31932</v>
      </c>
      <c r="H1874" s="9">
        <v>7913802.4853687584</v>
      </c>
      <c r="I1874" s="5" t="s">
        <v>3003</v>
      </c>
    </row>
    <row r="1875" spans="1:9" x14ac:dyDescent="0.25">
      <c r="A1875" s="6">
        <v>45995.798611111109</v>
      </c>
      <c r="B1875" s="5" t="s">
        <v>24</v>
      </c>
      <c r="C1875" s="8">
        <v>248.09815094967229</v>
      </c>
      <c r="D1875" s="8">
        <v>248.21031307888339</v>
      </c>
      <c r="E1875" s="8">
        <v>247.99782257909271</v>
      </c>
      <c r="F1875" s="8">
        <v>248.06432441356731</v>
      </c>
      <c r="G1875" s="7">
        <v>51207</v>
      </c>
      <c r="H1875" s="9">
        <v>12702629.860245541</v>
      </c>
      <c r="I1875" s="5" t="s">
        <v>3004</v>
      </c>
    </row>
    <row r="1876" spans="1:9" x14ac:dyDescent="0.25">
      <c r="A1876" s="6">
        <v>45995.802083333343</v>
      </c>
      <c r="B1876" s="5" t="s">
        <v>24</v>
      </c>
      <c r="C1876" s="8">
        <v>248.29375904084941</v>
      </c>
      <c r="D1876" s="8">
        <v>248.38968081121169</v>
      </c>
      <c r="E1876" s="8">
        <v>248.23180120623201</v>
      </c>
      <c r="F1876" s="8">
        <v>248.33316952320021</v>
      </c>
      <c r="G1876" s="7">
        <v>105483</v>
      </c>
      <c r="H1876" s="9">
        <v>26194927.720815729</v>
      </c>
      <c r="I1876" s="5" t="s">
        <v>3005</v>
      </c>
    </row>
    <row r="1877" spans="1:9" x14ac:dyDescent="0.25">
      <c r="A1877" s="6">
        <v>45995.805555555547</v>
      </c>
      <c r="B1877" s="5" t="s">
        <v>24</v>
      </c>
      <c r="C1877" s="8">
        <v>248.23312004929269</v>
      </c>
      <c r="D1877" s="8">
        <v>248.3352938503032</v>
      </c>
      <c r="E1877" s="8">
        <v>248.0612568674369</v>
      </c>
      <c r="F1877" s="8">
        <v>248.21167039789319</v>
      </c>
      <c r="G1877" s="7">
        <v>40675</v>
      </c>
      <c r="H1877" s="9">
        <v>10096009.693434309</v>
      </c>
      <c r="I1877" s="5" t="s">
        <v>3006</v>
      </c>
    </row>
    <row r="1878" spans="1:9" x14ac:dyDescent="0.25">
      <c r="A1878" s="6">
        <v>45995.809027777781</v>
      </c>
      <c r="B1878" s="5" t="s">
        <v>24</v>
      </c>
      <c r="C1878" s="8">
        <v>248.33039643325819</v>
      </c>
      <c r="D1878" s="8">
        <v>248.38282203330311</v>
      </c>
      <c r="E1878" s="8">
        <v>248.13079791533281</v>
      </c>
      <c r="F1878" s="8">
        <v>248.29968254228311</v>
      </c>
      <c r="G1878" s="7">
        <v>113885</v>
      </c>
      <c r="H1878" s="9">
        <v>28277609.346327908</v>
      </c>
      <c r="I1878" s="5" t="s">
        <v>3007</v>
      </c>
    </row>
    <row r="1879" spans="1:9" x14ac:dyDescent="0.25">
      <c r="A1879" s="6">
        <v>45995.8125</v>
      </c>
      <c r="B1879" s="5" t="s">
        <v>24</v>
      </c>
      <c r="C1879" s="8">
        <v>248.33216774461539</v>
      </c>
      <c r="D1879" s="8">
        <v>248.36349378855201</v>
      </c>
      <c r="E1879" s="8">
        <v>248.1328693455105</v>
      </c>
      <c r="F1879" s="8">
        <v>248.30655276095871</v>
      </c>
      <c r="G1879" s="7">
        <v>79508</v>
      </c>
      <c r="H1879" s="9">
        <v>19742357.396918301</v>
      </c>
      <c r="I1879" s="5" t="s">
        <v>3008</v>
      </c>
    </row>
    <row r="1880" spans="1:9" x14ac:dyDescent="0.25">
      <c r="A1880" s="6">
        <v>45995.815972222219</v>
      </c>
      <c r="B1880" s="5" t="s">
        <v>24</v>
      </c>
      <c r="C1880" s="8">
        <v>248.3261726117891</v>
      </c>
      <c r="D1880" s="8">
        <v>248.4352071604697</v>
      </c>
      <c r="E1880" s="8">
        <v>248.29077442055859</v>
      </c>
      <c r="F1880" s="8">
        <v>248.329356138978</v>
      </c>
      <c r="G1880" s="7">
        <v>60636</v>
      </c>
      <c r="H1880" s="9">
        <v>15057698.83884307</v>
      </c>
      <c r="I1880" s="5" t="s">
        <v>3009</v>
      </c>
    </row>
    <row r="1881" spans="1:9" x14ac:dyDescent="0.25">
      <c r="A1881" s="6">
        <v>45995.819444444453</v>
      </c>
      <c r="B1881" s="5" t="s">
        <v>24</v>
      </c>
      <c r="C1881" s="8">
        <v>248.76231203242151</v>
      </c>
      <c r="D1881" s="8">
        <v>249.0686566885353</v>
      </c>
      <c r="E1881" s="8">
        <v>248.62541946926021</v>
      </c>
      <c r="F1881" s="8">
        <v>248.69789951037509</v>
      </c>
      <c r="G1881" s="7">
        <v>91378</v>
      </c>
      <c r="H1881" s="9">
        <v>22725516.661459059</v>
      </c>
      <c r="I1881" s="5" t="s">
        <v>3010</v>
      </c>
    </row>
    <row r="1882" spans="1:9" x14ac:dyDescent="0.25">
      <c r="A1882" s="6">
        <v>45995.822916666657</v>
      </c>
      <c r="B1882" s="5" t="s">
        <v>24</v>
      </c>
      <c r="C1882" s="8">
        <v>248.82149797631851</v>
      </c>
      <c r="D1882" s="8">
        <v>248.96164134229761</v>
      </c>
      <c r="E1882" s="8">
        <v>248.59046958122451</v>
      </c>
      <c r="F1882" s="8">
        <v>248.94845968465449</v>
      </c>
      <c r="G1882" s="7">
        <v>47302</v>
      </c>
      <c r="H1882" s="9">
        <v>11775760.040003531</v>
      </c>
      <c r="I1882" s="5" t="s">
        <v>3011</v>
      </c>
    </row>
    <row r="1883" spans="1:9" x14ac:dyDescent="0.25">
      <c r="A1883" s="6">
        <v>45995.826388888891</v>
      </c>
      <c r="B1883" s="5" t="s">
        <v>24</v>
      </c>
      <c r="C1883" s="8">
        <v>248.87105225623969</v>
      </c>
      <c r="D1883" s="8">
        <v>249.01766384684171</v>
      </c>
      <c r="E1883" s="8">
        <v>248.70660231125009</v>
      </c>
      <c r="F1883" s="8">
        <v>248.86307279099529</v>
      </c>
      <c r="G1883" s="7">
        <v>64135</v>
      </c>
      <c r="H1883" s="9">
        <v>15960833.173450479</v>
      </c>
      <c r="I1883" s="5" t="s">
        <v>3012</v>
      </c>
    </row>
    <row r="1884" spans="1:9" x14ac:dyDescent="0.25">
      <c r="A1884" s="6">
        <v>45995.829861111109</v>
      </c>
      <c r="B1884" s="5" t="s">
        <v>24</v>
      </c>
      <c r="C1884" s="8">
        <v>248.861507979377</v>
      </c>
      <c r="D1884" s="8">
        <v>249.06371646290879</v>
      </c>
      <c r="E1884" s="8">
        <v>248.81330444896679</v>
      </c>
      <c r="F1884" s="8">
        <v>248.9092485692056</v>
      </c>
      <c r="G1884" s="7">
        <v>45843</v>
      </c>
      <c r="H1884" s="9">
        <v>11410746.68215809</v>
      </c>
      <c r="I1884" s="5" t="s">
        <v>3013</v>
      </c>
    </row>
    <row r="1885" spans="1:9" x14ac:dyDescent="0.25">
      <c r="A1885" s="6">
        <v>45995.833333333343</v>
      </c>
      <c r="B1885" s="5" t="s">
        <v>24</v>
      </c>
      <c r="C1885" s="8">
        <v>248.77977368053681</v>
      </c>
      <c r="D1885" s="8">
        <v>248.956906779024</v>
      </c>
      <c r="E1885" s="8">
        <v>248.4442029669741</v>
      </c>
      <c r="F1885" s="8">
        <v>248.8750435984592</v>
      </c>
      <c r="G1885" s="7">
        <v>45877</v>
      </c>
      <c r="H1885" s="9">
        <v>11417640.375166509</v>
      </c>
      <c r="I1885" s="5" t="s">
        <v>3014</v>
      </c>
    </row>
    <row r="1886" spans="1:9" x14ac:dyDescent="0.25">
      <c r="A1886" s="6">
        <v>45995.836805555547</v>
      </c>
      <c r="B1886" s="5" t="s">
        <v>24</v>
      </c>
      <c r="C1886" s="8">
        <v>248.6823666058601</v>
      </c>
      <c r="D1886" s="8">
        <v>248.73001891728279</v>
      </c>
      <c r="E1886" s="8">
        <v>248.61942245543949</v>
      </c>
      <c r="F1886" s="8">
        <v>248.68093194563019</v>
      </c>
      <c r="G1886" s="7">
        <v>65230</v>
      </c>
      <c r="H1886" s="9">
        <v>16221457.190813459</v>
      </c>
      <c r="I1886" s="5" t="s">
        <v>3015</v>
      </c>
    </row>
    <row r="1887" spans="1:9" x14ac:dyDescent="0.25">
      <c r="A1887" s="6">
        <v>45995.840277777781</v>
      </c>
      <c r="B1887" s="5" t="s">
        <v>24</v>
      </c>
      <c r="C1887" s="8">
        <v>248.2853003114447</v>
      </c>
      <c r="D1887" s="8">
        <v>248.63919691895521</v>
      </c>
      <c r="E1887" s="8">
        <v>248.18244569221019</v>
      </c>
      <c r="F1887" s="8">
        <v>248.31887786665101</v>
      </c>
      <c r="G1887" s="7">
        <v>69042</v>
      </c>
      <c r="H1887" s="9">
        <v>17144431.965669319</v>
      </c>
      <c r="I1887" s="5" t="s">
        <v>3016</v>
      </c>
    </row>
    <row r="1888" spans="1:9" x14ac:dyDescent="0.25">
      <c r="A1888" s="6">
        <v>45995.84375</v>
      </c>
      <c r="B1888" s="5" t="s">
        <v>24</v>
      </c>
      <c r="C1888" s="8">
        <v>248.38822765021251</v>
      </c>
      <c r="D1888" s="8">
        <v>248.794679053962</v>
      </c>
      <c r="E1888" s="8">
        <v>248.37770830875169</v>
      </c>
      <c r="F1888" s="8">
        <v>248.5000237593562</v>
      </c>
      <c r="G1888" s="7">
        <v>42593</v>
      </c>
      <c r="H1888" s="9">
        <v>10584361.51198226</v>
      </c>
      <c r="I1888" s="5" t="s">
        <v>3017</v>
      </c>
    </row>
    <row r="1889" spans="1:9" x14ac:dyDescent="0.25">
      <c r="A1889" s="6">
        <v>45995.847222222219</v>
      </c>
      <c r="B1889" s="5" t="s">
        <v>24</v>
      </c>
      <c r="C1889" s="8">
        <v>248.18053413895541</v>
      </c>
      <c r="D1889" s="8">
        <v>248.4654423729574</v>
      </c>
      <c r="E1889" s="8">
        <v>247.91224695997889</v>
      </c>
      <c r="F1889" s="8">
        <v>248.24104555191931</v>
      </c>
      <c r="G1889" s="7">
        <v>67420</v>
      </c>
      <c r="H1889" s="9">
        <v>16736411.2911104</v>
      </c>
      <c r="I1889" s="5" t="s">
        <v>3018</v>
      </c>
    </row>
    <row r="1890" spans="1:9" x14ac:dyDescent="0.25">
      <c r="A1890" s="6">
        <v>45995.850694444453</v>
      </c>
      <c r="B1890" s="5" t="s">
        <v>24</v>
      </c>
      <c r="C1890" s="8">
        <v>248.35943371668981</v>
      </c>
      <c r="D1890" s="8">
        <v>248.40269799426181</v>
      </c>
      <c r="E1890" s="8">
        <v>248.29349977760879</v>
      </c>
      <c r="F1890" s="8">
        <v>248.30480757749999</v>
      </c>
      <c r="G1890" s="7">
        <v>69290</v>
      </c>
      <c r="H1890" s="9">
        <v>17205040.117044982</v>
      </c>
      <c r="I1890" s="5" t="s">
        <v>3019</v>
      </c>
    </row>
    <row r="1891" spans="1:9" x14ac:dyDescent="0.25">
      <c r="A1891" s="6">
        <v>45995.854166666657</v>
      </c>
      <c r="B1891" s="5" t="s">
        <v>24</v>
      </c>
      <c r="C1891" s="8">
        <v>248.24209881893961</v>
      </c>
      <c r="D1891" s="8">
        <v>248.26931869550469</v>
      </c>
      <c r="E1891" s="8">
        <v>247.9023098618226</v>
      </c>
      <c r="F1891" s="8">
        <v>248.23484650484161</v>
      </c>
      <c r="G1891" s="7">
        <v>67668</v>
      </c>
      <c r="H1891" s="9">
        <v>16797555.593289621</v>
      </c>
      <c r="I1891" s="5" t="s">
        <v>3020</v>
      </c>
    </row>
    <row r="1892" spans="1:9" x14ac:dyDescent="0.25">
      <c r="A1892" s="6">
        <v>45995.857638888891</v>
      </c>
      <c r="B1892" s="5" t="s">
        <v>24</v>
      </c>
      <c r="C1892" s="8">
        <v>248.71659323876929</v>
      </c>
      <c r="D1892" s="8">
        <v>248.75147357267801</v>
      </c>
      <c r="E1892" s="8">
        <v>248.55714216536779</v>
      </c>
      <c r="F1892" s="8">
        <v>248.6063074325788</v>
      </c>
      <c r="G1892" s="7">
        <v>64117</v>
      </c>
      <c r="H1892" s="9">
        <v>15939890.61365466</v>
      </c>
      <c r="I1892" s="5" t="s">
        <v>3021</v>
      </c>
    </row>
    <row r="1893" spans="1:9" x14ac:dyDescent="0.25">
      <c r="A1893" s="6">
        <v>45995.861111111109</v>
      </c>
      <c r="B1893" s="5" t="s">
        <v>24</v>
      </c>
      <c r="C1893" s="8">
        <v>249.10443691859149</v>
      </c>
      <c r="D1893" s="8">
        <v>249.21729528249091</v>
      </c>
      <c r="E1893" s="8">
        <v>248.8689891930033</v>
      </c>
      <c r="F1893" s="8">
        <v>248.98344888116429</v>
      </c>
      <c r="G1893" s="7">
        <v>50977</v>
      </c>
      <c r="H1893" s="9">
        <v>12692429.273615111</v>
      </c>
      <c r="I1893" s="5" t="s">
        <v>3022</v>
      </c>
    </row>
    <row r="1894" spans="1:9" x14ac:dyDescent="0.25">
      <c r="A1894" s="6">
        <v>45995.864583333343</v>
      </c>
      <c r="B1894" s="5" t="s">
        <v>24</v>
      </c>
      <c r="C1894" s="8">
        <v>248.96320476773201</v>
      </c>
      <c r="D1894" s="8">
        <v>249.2443061956983</v>
      </c>
      <c r="E1894" s="8">
        <v>248.6870444020912</v>
      </c>
      <c r="F1894" s="8">
        <v>248.85135501332039</v>
      </c>
      <c r="G1894" s="7">
        <v>36791</v>
      </c>
      <c r="H1894" s="9">
        <v>9155490.2022950724</v>
      </c>
      <c r="I1894" s="5" t="s">
        <v>3023</v>
      </c>
    </row>
    <row r="1895" spans="1:9" x14ac:dyDescent="0.25">
      <c r="A1895" s="6">
        <v>45995.868055555547</v>
      </c>
      <c r="B1895" s="5" t="s">
        <v>24</v>
      </c>
      <c r="C1895" s="8">
        <v>248.74714495896561</v>
      </c>
      <c r="D1895" s="8">
        <v>248.90639735307531</v>
      </c>
      <c r="E1895" s="8">
        <v>248.586636119579</v>
      </c>
      <c r="F1895" s="8">
        <v>248.7022846456141</v>
      </c>
      <c r="G1895" s="7">
        <v>105292</v>
      </c>
      <c r="H1895" s="9">
        <v>26186360.954906002</v>
      </c>
      <c r="I1895" s="5" t="s">
        <v>3024</v>
      </c>
    </row>
    <row r="1896" spans="1:9" x14ac:dyDescent="0.25">
      <c r="A1896" s="6">
        <v>45995.871527777781</v>
      </c>
      <c r="B1896" s="5" t="s">
        <v>24</v>
      </c>
      <c r="C1896" s="8">
        <v>248.82585414516689</v>
      </c>
      <c r="D1896" s="8">
        <v>248.85959585707911</v>
      </c>
      <c r="E1896" s="8">
        <v>248.68659003594269</v>
      </c>
      <c r="F1896" s="8">
        <v>248.73807284581969</v>
      </c>
      <c r="G1896" s="7">
        <v>54428</v>
      </c>
      <c r="H1896" s="9">
        <v>13538315.828852279</v>
      </c>
      <c r="I1896" s="5" t="s">
        <v>3025</v>
      </c>
    </row>
    <row r="1897" spans="1:9" x14ac:dyDescent="0.25">
      <c r="A1897" s="6">
        <v>45995.875</v>
      </c>
      <c r="B1897" s="5" t="s">
        <v>24</v>
      </c>
      <c r="C1897" s="8">
        <v>249.00553299042309</v>
      </c>
      <c r="D1897" s="8">
        <v>249.1021284151017</v>
      </c>
      <c r="E1897" s="8">
        <v>248.85028533078679</v>
      </c>
      <c r="F1897" s="8">
        <v>248.98118509826841</v>
      </c>
      <c r="G1897" s="7">
        <v>85365</v>
      </c>
      <c r="H1897" s="9">
        <v>21254278.865913682</v>
      </c>
      <c r="I1897" s="5" t="s">
        <v>3026</v>
      </c>
    </row>
    <row r="1898" spans="1:9" x14ac:dyDescent="0.25">
      <c r="A1898" s="6">
        <v>45996.604166666657</v>
      </c>
      <c r="B1898" s="5" t="s">
        <v>24</v>
      </c>
      <c r="C1898" s="8">
        <v>248.791442392991</v>
      </c>
      <c r="D1898" s="8">
        <v>248.89644550947179</v>
      </c>
      <c r="E1898" s="8">
        <v>248.71439643765419</v>
      </c>
      <c r="F1898" s="8">
        <v>248.77148285069481</v>
      </c>
      <c r="G1898" s="7">
        <v>59780</v>
      </c>
      <c r="H1898" s="9">
        <v>14871559.244814539</v>
      </c>
      <c r="I1898" s="5" t="s">
        <v>3027</v>
      </c>
    </row>
    <row r="1899" spans="1:9" x14ac:dyDescent="0.25">
      <c r="A1899" s="6">
        <v>45996.607638888891</v>
      </c>
      <c r="B1899" s="5" t="s">
        <v>24</v>
      </c>
      <c r="C1899" s="8">
        <v>248.90110874427009</v>
      </c>
      <c r="D1899" s="8">
        <v>248.93583415869051</v>
      </c>
      <c r="E1899" s="8">
        <v>248.70993316827901</v>
      </c>
      <c r="F1899" s="8">
        <v>248.90257806060279</v>
      </c>
      <c r="G1899" s="7">
        <v>70209</v>
      </c>
      <c r="H1899" s="9">
        <v>17475201.103056859</v>
      </c>
      <c r="I1899" s="5" t="s">
        <v>3028</v>
      </c>
    </row>
    <row r="1900" spans="1:9" x14ac:dyDescent="0.25">
      <c r="A1900" s="6">
        <v>45996.611111111109</v>
      </c>
      <c r="B1900" s="5" t="s">
        <v>24</v>
      </c>
      <c r="C1900" s="8">
        <v>248.4678966367579</v>
      </c>
      <c r="D1900" s="8">
        <v>248.53330418446569</v>
      </c>
      <c r="E1900" s="8">
        <v>248.34178504073151</v>
      </c>
      <c r="F1900" s="8">
        <v>248.43869060484019</v>
      </c>
      <c r="G1900" s="7">
        <v>78006</v>
      </c>
      <c r="H1900" s="9">
        <v>19379708.49932117</v>
      </c>
      <c r="I1900" s="5" t="s">
        <v>3029</v>
      </c>
    </row>
    <row r="1901" spans="1:9" x14ac:dyDescent="0.25">
      <c r="A1901" s="6">
        <v>45996.614583333343</v>
      </c>
      <c r="B1901" s="5" t="s">
        <v>24</v>
      </c>
      <c r="C1901" s="8">
        <v>248.7817308600454</v>
      </c>
      <c r="D1901" s="8">
        <v>248.93512387833371</v>
      </c>
      <c r="E1901" s="8">
        <v>248.75803811823619</v>
      </c>
      <c r="F1901" s="8">
        <v>248.80701126520259</v>
      </c>
      <c r="G1901" s="7">
        <v>47653</v>
      </c>
      <c r="H1901" s="9">
        <v>11856400.507820699</v>
      </c>
      <c r="I1901" s="5" t="s">
        <v>3030</v>
      </c>
    </row>
    <row r="1902" spans="1:9" x14ac:dyDescent="0.25">
      <c r="A1902" s="6">
        <v>45996.618055555547</v>
      </c>
      <c r="B1902" s="5" t="s">
        <v>24</v>
      </c>
      <c r="C1902" s="8">
        <v>248.48878284755239</v>
      </c>
      <c r="D1902" s="8">
        <v>248.70180362807389</v>
      </c>
      <c r="E1902" s="8">
        <v>248.43826210395639</v>
      </c>
      <c r="F1902" s="8">
        <v>248.4680270969445</v>
      </c>
      <c r="G1902" s="7">
        <v>86456</v>
      </c>
      <c r="H1902" s="9">
        <v>21481551.75069344</v>
      </c>
      <c r="I1902" s="5" t="s">
        <v>3031</v>
      </c>
    </row>
    <row r="1903" spans="1:9" x14ac:dyDescent="0.25">
      <c r="A1903" s="6">
        <v>45996.621527777781</v>
      </c>
      <c r="B1903" s="5" t="s">
        <v>24</v>
      </c>
      <c r="C1903" s="8">
        <v>248.54892963014919</v>
      </c>
      <c r="D1903" s="8">
        <v>248.5706507323967</v>
      </c>
      <c r="E1903" s="8">
        <v>248.406589081161</v>
      </c>
      <c r="F1903" s="8">
        <v>248.48842847267159</v>
      </c>
      <c r="G1903" s="7">
        <v>42633</v>
      </c>
      <c r="H1903" s="9">
        <v>10593807.171075409</v>
      </c>
      <c r="I1903" s="5" t="s">
        <v>3032</v>
      </c>
    </row>
    <row r="1904" spans="1:9" x14ac:dyDescent="0.25">
      <c r="A1904" s="6">
        <v>45996.625</v>
      </c>
      <c r="B1904" s="5" t="s">
        <v>24</v>
      </c>
      <c r="C1904" s="8">
        <v>248.7893195508824</v>
      </c>
      <c r="D1904" s="8">
        <v>248.94978580618061</v>
      </c>
      <c r="E1904" s="8">
        <v>248.57538423828461</v>
      </c>
      <c r="F1904" s="8">
        <v>248.65143827022291</v>
      </c>
      <c r="G1904" s="7">
        <v>31686</v>
      </c>
      <c r="H1904" s="9">
        <v>7878769.4730302813</v>
      </c>
      <c r="I1904" s="5" t="s">
        <v>3033</v>
      </c>
    </row>
    <row r="1905" spans="1:9" x14ac:dyDescent="0.25">
      <c r="A1905" s="6">
        <v>45996.628472222219</v>
      </c>
      <c r="B1905" s="5" t="s">
        <v>24</v>
      </c>
      <c r="C1905" s="8">
        <v>248.61659272102631</v>
      </c>
      <c r="D1905" s="8">
        <v>248.7137515937938</v>
      </c>
      <c r="E1905" s="8">
        <v>248.46889863576899</v>
      </c>
      <c r="F1905" s="8">
        <v>248.69804028817541</v>
      </c>
      <c r="G1905" s="7">
        <v>27765</v>
      </c>
      <c r="H1905" s="9">
        <v>6905101.0886011906</v>
      </c>
      <c r="I1905" s="5" t="s">
        <v>3034</v>
      </c>
    </row>
    <row r="1906" spans="1:9" x14ac:dyDescent="0.25">
      <c r="A1906" s="6">
        <v>45996.631944444453</v>
      </c>
      <c r="B1906" s="5" t="s">
        <v>24</v>
      </c>
      <c r="C1906" s="8">
        <v>248.63301140173391</v>
      </c>
      <c r="D1906" s="8">
        <v>248.75325152484879</v>
      </c>
      <c r="E1906" s="8">
        <v>248.57075778719729</v>
      </c>
      <c r="F1906" s="8">
        <v>248.64377818301321</v>
      </c>
      <c r="G1906" s="7">
        <v>107653</v>
      </c>
      <c r="H1906" s="9">
        <v>26767248.652735919</v>
      </c>
      <c r="I1906" s="5" t="s">
        <v>3035</v>
      </c>
    </row>
    <row r="1907" spans="1:9" x14ac:dyDescent="0.25">
      <c r="A1907" s="6">
        <v>45996.635416666657</v>
      </c>
      <c r="B1907" s="5" t="s">
        <v>24</v>
      </c>
      <c r="C1907" s="8">
        <v>248.79672321850529</v>
      </c>
      <c r="D1907" s="8">
        <v>249.08784059255041</v>
      </c>
      <c r="E1907" s="8">
        <v>248.7419498150401</v>
      </c>
      <c r="F1907" s="8">
        <v>248.74402522429429</v>
      </c>
      <c r="G1907" s="7">
        <v>54028</v>
      </c>
      <c r="H1907" s="9">
        <v>13439142.194818171</v>
      </c>
      <c r="I1907" s="5" t="s">
        <v>3036</v>
      </c>
    </row>
    <row r="1908" spans="1:9" x14ac:dyDescent="0.25">
      <c r="A1908" s="6">
        <v>45996.638888888891</v>
      </c>
      <c r="B1908" s="5" t="s">
        <v>24</v>
      </c>
      <c r="C1908" s="8">
        <v>248.81485317926939</v>
      </c>
      <c r="D1908" s="8">
        <v>248.99094789669169</v>
      </c>
      <c r="E1908" s="8">
        <v>248.36414204896201</v>
      </c>
      <c r="F1908" s="8">
        <v>248.73736612205789</v>
      </c>
      <c r="G1908" s="7">
        <v>112878</v>
      </c>
      <c r="H1908" s="9">
        <v>28076976.41312566</v>
      </c>
      <c r="I1908" s="5" t="s">
        <v>3037</v>
      </c>
    </row>
    <row r="1909" spans="1:9" x14ac:dyDescent="0.25">
      <c r="A1909" s="6">
        <v>45996.642361111109</v>
      </c>
      <c r="B1909" s="5" t="s">
        <v>24</v>
      </c>
      <c r="C1909" s="8">
        <v>248.67790365631609</v>
      </c>
      <c r="D1909" s="8">
        <v>248.91678986160801</v>
      </c>
      <c r="E1909" s="8">
        <v>248.5561142218977</v>
      </c>
      <c r="F1909" s="8">
        <v>248.70489058972331</v>
      </c>
      <c r="G1909" s="7">
        <v>64643</v>
      </c>
      <c r="H1909" s="9">
        <v>16077030.24239148</v>
      </c>
      <c r="I1909" s="5" t="s">
        <v>3038</v>
      </c>
    </row>
    <row r="1910" spans="1:9" x14ac:dyDescent="0.25">
      <c r="A1910" s="6">
        <v>45996.645833333343</v>
      </c>
      <c r="B1910" s="5" t="s">
        <v>24</v>
      </c>
      <c r="C1910" s="8">
        <v>248.83561660849981</v>
      </c>
      <c r="D1910" s="8">
        <v>248.9648161222668</v>
      </c>
      <c r="E1910" s="8">
        <v>248.7573520743579</v>
      </c>
      <c r="F1910" s="8">
        <v>248.77950779099561</v>
      </c>
      <c r="G1910" s="7">
        <v>123283</v>
      </c>
      <c r="H1910" s="9">
        <v>30670284.0589973</v>
      </c>
      <c r="I1910" s="5" t="s">
        <v>3039</v>
      </c>
    </row>
    <row r="1911" spans="1:9" x14ac:dyDescent="0.25">
      <c r="A1911" s="6">
        <v>45996.649305555547</v>
      </c>
      <c r="B1911" s="5" t="s">
        <v>24</v>
      </c>
      <c r="C1911" s="8">
        <v>248.94016740786941</v>
      </c>
      <c r="D1911" s="8">
        <v>249.24153496166261</v>
      </c>
      <c r="E1911" s="8">
        <v>248.87064526700689</v>
      </c>
      <c r="F1911" s="8">
        <v>248.91410132050461</v>
      </c>
      <c r="G1911" s="7">
        <v>107324</v>
      </c>
      <c r="H1911" s="9">
        <v>26714457.01012183</v>
      </c>
      <c r="I1911" s="5" t="s">
        <v>3040</v>
      </c>
    </row>
    <row r="1912" spans="1:9" x14ac:dyDescent="0.25">
      <c r="A1912" s="6">
        <v>45996.652777777781</v>
      </c>
      <c r="B1912" s="5" t="s">
        <v>24</v>
      </c>
      <c r="C1912" s="8">
        <v>248.98999433260229</v>
      </c>
      <c r="D1912" s="8">
        <v>249.06917246838759</v>
      </c>
      <c r="E1912" s="8">
        <v>248.93605059215639</v>
      </c>
      <c r="F1912" s="8">
        <v>249.00069412529399</v>
      </c>
      <c r="G1912" s="7">
        <v>38109</v>
      </c>
      <c r="H1912" s="9">
        <v>9489167.452420827</v>
      </c>
      <c r="I1912" s="5" t="s">
        <v>3041</v>
      </c>
    </row>
    <row r="1913" spans="1:9" x14ac:dyDescent="0.25">
      <c r="A1913" s="6">
        <v>45996.65625</v>
      </c>
      <c r="B1913" s="5" t="s">
        <v>24</v>
      </c>
      <c r="C1913" s="8">
        <v>249.51345245406941</v>
      </c>
      <c r="D1913" s="8">
        <v>249.84589552764399</v>
      </c>
      <c r="E1913" s="8">
        <v>249.37189529640011</v>
      </c>
      <c r="F1913" s="8">
        <v>249.46989285205629</v>
      </c>
      <c r="G1913" s="7">
        <v>53925</v>
      </c>
      <c r="H1913" s="9">
        <v>13452663.97204713</v>
      </c>
      <c r="I1913" s="5" t="s">
        <v>3042</v>
      </c>
    </row>
    <row r="1914" spans="1:9" x14ac:dyDescent="0.25">
      <c r="A1914" s="6">
        <v>45996.659722222219</v>
      </c>
      <c r="B1914" s="5" t="s">
        <v>24</v>
      </c>
      <c r="C1914" s="8">
        <v>249.2018239713608</v>
      </c>
      <c r="D1914" s="8">
        <v>249.31350891897631</v>
      </c>
      <c r="E1914" s="8">
        <v>248.88470031667771</v>
      </c>
      <c r="F1914" s="8">
        <v>249.2090771123444</v>
      </c>
      <c r="G1914" s="7">
        <v>52503</v>
      </c>
      <c r="H1914" s="9">
        <v>13084224.17562942</v>
      </c>
      <c r="I1914" s="5" t="s">
        <v>3043</v>
      </c>
    </row>
    <row r="1915" spans="1:9" x14ac:dyDescent="0.25">
      <c r="A1915" s="6">
        <v>45996.663194444453</v>
      </c>
      <c r="B1915" s="5" t="s">
        <v>24</v>
      </c>
      <c r="C1915" s="8">
        <v>249.23001421948101</v>
      </c>
      <c r="D1915" s="8">
        <v>249.31589996660719</v>
      </c>
      <c r="E1915" s="8">
        <v>249.0659839897385</v>
      </c>
      <c r="F1915" s="8">
        <v>249.15258188912711</v>
      </c>
      <c r="G1915" s="7">
        <v>52346</v>
      </c>
      <c r="H1915" s="9">
        <v>13042141.051568249</v>
      </c>
      <c r="I1915" s="5" t="s">
        <v>3044</v>
      </c>
    </row>
    <row r="1916" spans="1:9" x14ac:dyDescent="0.25">
      <c r="A1916" s="6">
        <v>45996.666666666657</v>
      </c>
      <c r="B1916" s="5" t="s">
        <v>24</v>
      </c>
      <c r="C1916" s="8">
        <v>249.11446571975151</v>
      </c>
      <c r="D1916" s="8">
        <v>249.18910048904399</v>
      </c>
      <c r="E1916" s="8">
        <v>248.980929209641</v>
      </c>
      <c r="F1916" s="8">
        <v>249.02059118437981</v>
      </c>
      <c r="G1916" s="7">
        <v>91671</v>
      </c>
      <c r="H1916" s="9">
        <v>22827966.614463281</v>
      </c>
      <c r="I1916" s="5" t="s">
        <v>3045</v>
      </c>
    </row>
    <row r="1917" spans="1:9" x14ac:dyDescent="0.25">
      <c r="A1917" s="6">
        <v>45996.670138888891</v>
      </c>
      <c r="B1917" s="5" t="s">
        <v>24</v>
      </c>
      <c r="C1917" s="8">
        <v>248.98741050979709</v>
      </c>
      <c r="D1917" s="8">
        <v>249.18766655830501</v>
      </c>
      <c r="E1917" s="8">
        <v>248.82052028592139</v>
      </c>
      <c r="F1917" s="8">
        <v>248.9062210814555</v>
      </c>
      <c r="G1917" s="7">
        <v>98446</v>
      </c>
      <c r="H1917" s="9">
        <v>24503821.84058496</v>
      </c>
      <c r="I1917" s="5" t="s">
        <v>3046</v>
      </c>
    </row>
    <row r="1918" spans="1:9" x14ac:dyDescent="0.25">
      <c r="A1918" s="6">
        <v>45996.673611111109</v>
      </c>
      <c r="B1918" s="5" t="s">
        <v>24</v>
      </c>
      <c r="C1918" s="8">
        <v>248.98974210752161</v>
      </c>
      <c r="D1918" s="8">
        <v>249.2170214784903</v>
      </c>
      <c r="E1918" s="8">
        <v>248.75628471285739</v>
      </c>
      <c r="F1918" s="8">
        <v>249.0526516641184</v>
      </c>
      <c r="G1918" s="7">
        <v>68537</v>
      </c>
      <c r="H1918" s="9">
        <v>17069321.58710368</v>
      </c>
      <c r="I1918" s="5" t="s">
        <v>3047</v>
      </c>
    </row>
    <row r="1919" spans="1:9" x14ac:dyDescent="0.25">
      <c r="A1919" s="6">
        <v>45996.677083333343</v>
      </c>
      <c r="B1919" s="5" t="s">
        <v>24</v>
      </c>
      <c r="C1919" s="8">
        <v>249.03353021969599</v>
      </c>
      <c r="D1919" s="8">
        <v>249.0384231214552</v>
      </c>
      <c r="E1919" s="8">
        <v>248.59037107630641</v>
      </c>
      <c r="F1919" s="8">
        <v>249.0076313623353</v>
      </c>
      <c r="G1919" s="7">
        <v>93707</v>
      </c>
      <c r="H1919" s="9">
        <v>23333758.112070359</v>
      </c>
      <c r="I1919" s="5" t="s">
        <v>3048</v>
      </c>
    </row>
    <row r="1920" spans="1:9" x14ac:dyDescent="0.25">
      <c r="A1920" s="6">
        <v>45996.680555555547</v>
      </c>
      <c r="B1920" s="5" t="s">
        <v>24</v>
      </c>
      <c r="C1920" s="8">
        <v>248.70178819927801</v>
      </c>
      <c r="D1920" s="8">
        <v>248.87693042479111</v>
      </c>
      <c r="E1920" s="8">
        <v>248.6400968649466</v>
      </c>
      <c r="F1920" s="8">
        <v>248.6794147371086</v>
      </c>
      <c r="G1920" s="7">
        <v>55019</v>
      </c>
      <c r="H1920" s="9">
        <v>13682092.719420981</v>
      </c>
      <c r="I1920" s="5" t="s">
        <v>3049</v>
      </c>
    </row>
    <row r="1921" spans="1:9" x14ac:dyDescent="0.25">
      <c r="A1921" s="6">
        <v>45996.684027777781</v>
      </c>
      <c r="B1921" s="5" t="s">
        <v>24</v>
      </c>
      <c r="C1921" s="8">
        <v>248.71918442633651</v>
      </c>
      <c r="D1921" s="8">
        <v>249.043999157115</v>
      </c>
      <c r="E1921" s="8">
        <v>248.62391442152281</v>
      </c>
      <c r="F1921" s="8">
        <v>248.74125963290479</v>
      </c>
      <c r="G1921" s="7">
        <v>32116</v>
      </c>
      <c r="H1921" s="9">
        <v>7988574.2943703718</v>
      </c>
      <c r="I1921" s="5" t="s">
        <v>3050</v>
      </c>
    </row>
    <row r="1922" spans="1:9" x14ac:dyDescent="0.25">
      <c r="A1922" s="6">
        <v>45996.6875</v>
      </c>
      <c r="B1922" s="5" t="s">
        <v>24</v>
      </c>
      <c r="C1922" s="8">
        <v>248.4922032159281</v>
      </c>
      <c r="D1922" s="8">
        <v>248.5743008689978</v>
      </c>
      <c r="E1922" s="8">
        <v>248.31727819499719</v>
      </c>
      <c r="F1922" s="8">
        <v>248.54438012577339</v>
      </c>
      <c r="G1922" s="7">
        <v>57234</v>
      </c>
      <c r="H1922" s="9">
        <v>14225189.052118519</v>
      </c>
      <c r="I1922" s="5" t="s">
        <v>3051</v>
      </c>
    </row>
    <row r="1923" spans="1:9" x14ac:dyDescent="0.25">
      <c r="A1923" s="6">
        <v>45996.690972222219</v>
      </c>
      <c r="B1923" s="5" t="s">
        <v>24</v>
      </c>
      <c r="C1923" s="8">
        <v>248.71317734028759</v>
      </c>
      <c r="D1923" s="8">
        <v>248.80591712918999</v>
      </c>
      <c r="E1923" s="8">
        <v>248.52452888940431</v>
      </c>
      <c r="F1923" s="8">
        <v>248.5681325367932</v>
      </c>
      <c r="G1923" s="7">
        <v>76224</v>
      </c>
      <c r="H1923" s="9">
        <v>18946857.334484529</v>
      </c>
      <c r="I1923" s="5" t="s">
        <v>3052</v>
      </c>
    </row>
    <row r="1924" spans="1:9" x14ac:dyDescent="0.25">
      <c r="A1924" s="6">
        <v>45996.694444444453</v>
      </c>
      <c r="B1924" s="5" t="s">
        <v>24</v>
      </c>
      <c r="C1924" s="8">
        <v>248.55457117997781</v>
      </c>
      <c r="D1924" s="8">
        <v>248.70424330632639</v>
      </c>
      <c r="E1924" s="8">
        <v>248.44627842980839</v>
      </c>
      <c r="F1924" s="8">
        <v>248.5372939631788</v>
      </c>
      <c r="G1924" s="7">
        <v>22355</v>
      </c>
      <c r="H1924" s="9">
        <v>5556051.2065468617</v>
      </c>
      <c r="I1924" s="5" t="s">
        <v>3053</v>
      </c>
    </row>
    <row r="1925" spans="1:9" x14ac:dyDescent="0.25">
      <c r="A1925" s="6">
        <v>45996.697916666657</v>
      </c>
      <c r="B1925" s="5" t="s">
        <v>24</v>
      </c>
      <c r="C1925" s="8">
        <v>248.50798328208469</v>
      </c>
      <c r="D1925" s="8">
        <v>248.59000115391649</v>
      </c>
      <c r="E1925" s="8">
        <v>248.40291160158051</v>
      </c>
      <c r="F1925" s="8">
        <v>248.48284138924419</v>
      </c>
      <c r="G1925" s="7">
        <v>91416</v>
      </c>
      <c r="H1925" s="9">
        <v>22715307.428439151</v>
      </c>
      <c r="I1925" s="5" t="s">
        <v>3054</v>
      </c>
    </row>
    <row r="1926" spans="1:9" x14ac:dyDescent="0.25">
      <c r="A1926" s="6">
        <v>45996.701388888891</v>
      </c>
      <c r="B1926" s="5" t="s">
        <v>24</v>
      </c>
      <c r="C1926" s="8">
        <v>248.46788554993219</v>
      </c>
      <c r="D1926" s="8">
        <v>248.66884137751279</v>
      </c>
      <c r="E1926" s="8">
        <v>248.28052679701179</v>
      </c>
      <c r="F1926" s="8">
        <v>248.50849623526909</v>
      </c>
      <c r="G1926" s="7">
        <v>84654</v>
      </c>
      <c r="H1926" s="9">
        <v>21037238.240300469</v>
      </c>
      <c r="I1926" s="5" t="s">
        <v>3055</v>
      </c>
    </row>
    <row r="1927" spans="1:9" x14ac:dyDescent="0.25">
      <c r="A1927" s="6">
        <v>45996.704861111109</v>
      </c>
      <c r="B1927" s="5" t="s">
        <v>24</v>
      </c>
      <c r="C1927" s="8">
        <v>248.3245723867642</v>
      </c>
      <c r="D1927" s="8">
        <v>248.60813007126609</v>
      </c>
      <c r="E1927" s="8">
        <v>248.13437223773181</v>
      </c>
      <c r="F1927" s="8">
        <v>248.38201769334341</v>
      </c>
      <c r="G1927" s="7">
        <v>81621</v>
      </c>
      <c r="H1927" s="9">
        <v>20273188.666148379</v>
      </c>
      <c r="I1927" s="5" t="s">
        <v>3056</v>
      </c>
    </row>
    <row r="1928" spans="1:9" x14ac:dyDescent="0.25">
      <c r="A1928" s="6">
        <v>45996.708333333343</v>
      </c>
      <c r="B1928" s="5" t="s">
        <v>24</v>
      </c>
      <c r="C1928" s="8">
        <v>248.12731688355211</v>
      </c>
      <c r="D1928" s="8">
        <v>248.2380632245833</v>
      </c>
      <c r="E1928" s="8">
        <v>248.06790803990609</v>
      </c>
      <c r="F1928" s="8">
        <v>248.1643824464461</v>
      </c>
      <c r="G1928" s="7">
        <v>53178</v>
      </c>
      <c r="H1928" s="9">
        <v>13196885.529737109</v>
      </c>
      <c r="I1928" s="5" t="s">
        <v>3057</v>
      </c>
    </row>
    <row r="1929" spans="1:9" x14ac:dyDescent="0.25">
      <c r="A1929" s="6">
        <v>45996.711805555547</v>
      </c>
      <c r="B1929" s="5" t="s">
        <v>24</v>
      </c>
      <c r="C1929" s="8">
        <v>248.33049194119181</v>
      </c>
      <c r="D1929" s="8">
        <v>248.65485952874201</v>
      </c>
      <c r="E1929" s="8">
        <v>248.27544288114439</v>
      </c>
      <c r="F1929" s="8">
        <v>248.37499812481499</v>
      </c>
      <c r="G1929" s="7">
        <v>31899</v>
      </c>
      <c r="H1929" s="9">
        <v>7922914.0651834728</v>
      </c>
      <c r="I1929" s="5" t="s">
        <v>3058</v>
      </c>
    </row>
    <row r="1930" spans="1:9" x14ac:dyDescent="0.25">
      <c r="A1930" s="6">
        <v>45996.715277777781</v>
      </c>
      <c r="B1930" s="5" t="s">
        <v>24</v>
      </c>
      <c r="C1930" s="8">
        <v>248.09122305326059</v>
      </c>
      <c r="D1930" s="8">
        <v>248.20499075397521</v>
      </c>
      <c r="E1930" s="8">
        <v>247.8879085334232</v>
      </c>
      <c r="F1930" s="8">
        <v>248.16126620432291</v>
      </c>
      <c r="G1930" s="7">
        <v>90147</v>
      </c>
      <c r="H1930" s="9">
        <v>22370993.664521102</v>
      </c>
      <c r="I1930" s="5" t="s">
        <v>3059</v>
      </c>
    </row>
    <row r="1931" spans="1:9" x14ac:dyDescent="0.25">
      <c r="A1931" s="6">
        <v>45996.71875</v>
      </c>
      <c r="B1931" s="5" t="s">
        <v>24</v>
      </c>
      <c r="C1931" s="8">
        <v>247.9216917288712</v>
      </c>
      <c r="D1931" s="8">
        <v>248.11927852099899</v>
      </c>
      <c r="E1931" s="8">
        <v>247.60530510437729</v>
      </c>
      <c r="F1931" s="8">
        <v>247.95917786277991</v>
      </c>
      <c r="G1931" s="7">
        <v>125877</v>
      </c>
      <c r="H1931" s="9">
        <v>31212357.431833152</v>
      </c>
      <c r="I1931" s="5" t="s">
        <v>3060</v>
      </c>
    </row>
    <row r="1932" spans="1:9" x14ac:dyDescent="0.25">
      <c r="A1932" s="6">
        <v>45996.722222222219</v>
      </c>
      <c r="B1932" s="5" t="s">
        <v>24</v>
      </c>
      <c r="C1932" s="8">
        <v>247.62027380353871</v>
      </c>
      <c r="D1932" s="8">
        <v>247.9894458960878</v>
      </c>
      <c r="E1932" s="8">
        <v>247.58869048490249</v>
      </c>
      <c r="F1932" s="8">
        <v>247.76392510748039</v>
      </c>
      <c r="G1932" s="7">
        <v>31955</v>
      </c>
      <c r="H1932" s="9">
        <v>7917296.2268095361</v>
      </c>
      <c r="I1932" s="5" t="s">
        <v>3061</v>
      </c>
    </row>
    <row r="1933" spans="1:9" x14ac:dyDescent="0.25">
      <c r="A1933" s="6">
        <v>45996.725694444453</v>
      </c>
      <c r="B1933" s="5" t="s">
        <v>24</v>
      </c>
      <c r="C1933" s="8">
        <v>248.0263513845363</v>
      </c>
      <c r="D1933" s="8">
        <v>248.26989287823631</v>
      </c>
      <c r="E1933" s="8">
        <v>247.81408473742101</v>
      </c>
      <c r="F1933" s="8">
        <v>247.9049040723923</v>
      </c>
      <c r="G1933" s="7">
        <v>42251</v>
      </c>
      <c r="H1933" s="9">
        <v>10474230.10196265</v>
      </c>
      <c r="I1933" s="5" t="s">
        <v>3062</v>
      </c>
    </row>
    <row r="1934" spans="1:9" x14ac:dyDescent="0.25">
      <c r="A1934" s="6">
        <v>45996.729166666657</v>
      </c>
      <c r="B1934" s="5" t="s">
        <v>24</v>
      </c>
      <c r="C1934" s="8">
        <v>247.84801218490719</v>
      </c>
      <c r="D1934" s="8">
        <v>247.91604019800189</v>
      </c>
      <c r="E1934" s="8">
        <v>247.74255662503481</v>
      </c>
      <c r="F1934" s="8">
        <v>247.7853591957014</v>
      </c>
      <c r="G1934" s="7">
        <v>100611</v>
      </c>
      <c r="H1934" s="9">
        <v>24929932.77403871</v>
      </c>
      <c r="I1934" s="5" t="s">
        <v>3063</v>
      </c>
    </row>
    <row r="1935" spans="1:9" x14ac:dyDescent="0.25">
      <c r="A1935" s="6">
        <v>45996.732638888891</v>
      </c>
      <c r="B1935" s="5" t="s">
        <v>24</v>
      </c>
      <c r="C1935" s="8">
        <v>247.62231951450789</v>
      </c>
      <c r="D1935" s="8">
        <v>247.78653217609619</v>
      </c>
      <c r="E1935" s="8">
        <v>247.4242017566836</v>
      </c>
      <c r="F1935" s="8">
        <v>247.49877392534009</v>
      </c>
      <c r="G1935" s="7">
        <v>58155</v>
      </c>
      <c r="H1935" s="9">
        <v>14393291.197628159</v>
      </c>
      <c r="I1935" s="5" t="s">
        <v>3064</v>
      </c>
    </row>
    <row r="1936" spans="1:9" x14ac:dyDescent="0.25">
      <c r="A1936" s="6">
        <v>45996.736111111109</v>
      </c>
      <c r="B1936" s="5" t="s">
        <v>24</v>
      </c>
      <c r="C1936" s="8">
        <v>247.77300661747611</v>
      </c>
      <c r="D1936" s="8">
        <v>248.0076077465377</v>
      </c>
      <c r="E1936" s="8">
        <v>247.54218062359499</v>
      </c>
      <c r="F1936" s="8">
        <v>247.68102117355221</v>
      </c>
      <c r="G1936" s="7">
        <v>46768</v>
      </c>
      <c r="H1936" s="9">
        <v>11583545.99824469</v>
      </c>
      <c r="I1936" s="5" t="s">
        <v>3065</v>
      </c>
    </row>
    <row r="1937" spans="1:9" x14ac:dyDescent="0.25">
      <c r="A1937" s="6">
        <v>45996.739583333343</v>
      </c>
      <c r="B1937" s="5" t="s">
        <v>24</v>
      </c>
      <c r="C1937" s="8">
        <v>247.59072414124111</v>
      </c>
      <c r="D1937" s="8">
        <v>247.81643113712869</v>
      </c>
      <c r="E1937" s="8">
        <v>247.3603117626383</v>
      </c>
      <c r="F1937" s="8">
        <v>247.6511702247177</v>
      </c>
      <c r="G1937" s="7">
        <v>77580</v>
      </c>
      <c r="H1937" s="9">
        <v>19212777.786033601</v>
      </c>
      <c r="I1937" s="5" t="s">
        <v>3066</v>
      </c>
    </row>
    <row r="1938" spans="1:9" x14ac:dyDescent="0.25">
      <c r="A1938" s="6">
        <v>45996.743055555547</v>
      </c>
      <c r="B1938" s="5" t="s">
        <v>24</v>
      </c>
      <c r="C1938" s="8">
        <v>247.7313634545315</v>
      </c>
      <c r="D1938" s="8">
        <v>247.76371529338519</v>
      </c>
      <c r="E1938" s="8">
        <v>247.42782024852889</v>
      </c>
      <c r="F1938" s="8">
        <v>247.66027872547301</v>
      </c>
      <c r="G1938" s="7">
        <v>30835</v>
      </c>
      <c r="H1938" s="9">
        <v>7636604.6944999592</v>
      </c>
      <c r="I1938" s="5" t="s">
        <v>3067</v>
      </c>
    </row>
    <row r="1939" spans="1:9" x14ac:dyDescent="0.25">
      <c r="A1939" s="6">
        <v>45996.746527777781</v>
      </c>
      <c r="B1939" s="5" t="s">
        <v>24</v>
      </c>
      <c r="C1939" s="8">
        <v>247.79882937405819</v>
      </c>
      <c r="D1939" s="8">
        <v>247.8143903502577</v>
      </c>
      <c r="E1939" s="8">
        <v>247.64794724612369</v>
      </c>
      <c r="F1939" s="8">
        <v>247.8029503200132</v>
      </c>
      <c r="G1939" s="7">
        <v>63389</v>
      </c>
      <c r="H1939" s="9">
        <v>15707981.21783532</v>
      </c>
      <c r="I1939" s="5" t="s">
        <v>3068</v>
      </c>
    </row>
    <row r="1940" spans="1:9" x14ac:dyDescent="0.25">
      <c r="A1940" s="6">
        <v>45996.75</v>
      </c>
      <c r="B1940" s="5" t="s">
        <v>24</v>
      </c>
      <c r="C1940" s="8">
        <v>247.96730188320231</v>
      </c>
      <c r="D1940" s="8">
        <v>248.1657567391394</v>
      </c>
      <c r="E1940" s="8">
        <v>247.76871883294851</v>
      </c>
      <c r="F1940" s="8">
        <v>247.86102870642421</v>
      </c>
      <c r="G1940" s="7">
        <v>116695</v>
      </c>
      <c r="H1940" s="9">
        <v>28924142.74489617</v>
      </c>
      <c r="I1940" s="5" t="s">
        <v>3069</v>
      </c>
    </row>
    <row r="1941" spans="1:9" x14ac:dyDescent="0.25">
      <c r="A1941" s="6">
        <v>45996.753472222219</v>
      </c>
      <c r="B1941" s="5" t="s">
        <v>24</v>
      </c>
      <c r="C1941" s="8">
        <v>248.197742338811</v>
      </c>
      <c r="D1941" s="8">
        <v>248.2181774477323</v>
      </c>
      <c r="E1941" s="8">
        <v>247.91757606878201</v>
      </c>
      <c r="F1941" s="8">
        <v>248.07893308460621</v>
      </c>
      <c r="G1941" s="7">
        <v>34362</v>
      </c>
      <c r="H1941" s="9">
        <v>8524488.2986532394</v>
      </c>
      <c r="I1941" s="5" t="s">
        <v>3070</v>
      </c>
    </row>
    <row r="1942" spans="1:9" x14ac:dyDescent="0.25">
      <c r="A1942" s="6">
        <v>45996.756944444453</v>
      </c>
      <c r="B1942" s="5" t="s">
        <v>24</v>
      </c>
      <c r="C1942" s="8">
        <v>248.3064819179705</v>
      </c>
      <c r="D1942" s="8">
        <v>248.43013747713329</v>
      </c>
      <c r="E1942" s="8">
        <v>248.2096600297067</v>
      </c>
      <c r="F1942" s="8">
        <v>248.36005882970741</v>
      </c>
      <c r="G1942" s="7">
        <v>60875</v>
      </c>
      <c r="H1942" s="9">
        <v>15118918.58125844</v>
      </c>
      <c r="I1942" s="5" t="s">
        <v>3071</v>
      </c>
    </row>
    <row r="1943" spans="1:9" x14ac:dyDescent="0.25">
      <c r="A1943" s="6">
        <v>45996.760416666657</v>
      </c>
      <c r="B1943" s="5" t="s">
        <v>24</v>
      </c>
      <c r="C1943" s="8">
        <v>248.2889102296939</v>
      </c>
      <c r="D1943" s="8">
        <v>248.41316175607599</v>
      </c>
      <c r="E1943" s="8">
        <v>248.13411129640591</v>
      </c>
      <c r="F1943" s="8">
        <v>248.3854264743963</v>
      </c>
      <c r="G1943" s="7">
        <v>62942</v>
      </c>
      <c r="H1943" s="9">
        <v>15633875.51315145</v>
      </c>
      <c r="I1943" s="5" t="s">
        <v>3072</v>
      </c>
    </row>
    <row r="1944" spans="1:9" x14ac:dyDescent="0.25">
      <c r="A1944" s="6">
        <v>45996.763888888891</v>
      </c>
      <c r="B1944" s="5" t="s">
        <v>24</v>
      </c>
      <c r="C1944" s="8">
        <v>248.8390067212662</v>
      </c>
      <c r="D1944" s="8">
        <v>248.86577717298269</v>
      </c>
      <c r="E1944" s="8">
        <v>248.44035191913889</v>
      </c>
      <c r="F1944" s="8">
        <v>248.65907053257689</v>
      </c>
      <c r="G1944" s="7">
        <v>65190</v>
      </c>
      <c r="H1944" s="9">
        <v>16210084.80801869</v>
      </c>
      <c r="I1944" s="5" t="s">
        <v>3073</v>
      </c>
    </row>
    <row r="1945" spans="1:9" x14ac:dyDescent="0.25">
      <c r="A1945" s="6">
        <v>45996.767361111109</v>
      </c>
      <c r="B1945" s="5" t="s">
        <v>24</v>
      </c>
      <c r="C1945" s="8">
        <v>248.47320004768221</v>
      </c>
      <c r="D1945" s="8">
        <v>248.65095350225721</v>
      </c>
      <c r="E1945" s="8">
        <v>248.39405790139151</v>
      </c>
      <c r="F1945" s="8">
        <v>248.40850294339299</v>
      </c>
      <c r="G1945" s="7">
        <v>138530</v>
      </c>
      <c r="H1945" s="9">
        <v>34412029.912748232</v>
      </c>
      <c r="I1945" s="5" t="s">
        <v>3074</v>
      </c>
    </row>
    <row r="1946" spans="1:9" x14ac:dyDescent="0.25">
      <c r="A1946" s="6">
        <v>45996.770833333343</v>
      </c>
      <c r="B1946" s="5" t="s">
        <v>24</v>
      </c>
      <c r="C1946" s="8">
        <v>248.17645212157399</v>
      </c>
      <c r="D1946" s="8">
        <v>248.30857742037071</v>
      </c>
      <c r="E1946" s="8">
        <v>248.10210738777141</v>
      </c>
      <c r="F1946" s="8">
        <v>248.25897412722159</v>
      </c>
      <c r="G1946" s="7">
        <v>82763</v>
      </c>
      <c r="H1946" s="9">
        <v>20546657.47569124</v>
      </c>
      <c r="I1946" s="5" t="s">
        <v>3075</v>
      </c>
    </row>
    <row r="1947" spans="1:9" x14ac:dyDescent="0.25">
      <c r="A1947" s="6">
        <v>45996.774305555547</v>
      </c>
      <c r="B1947" s="5" t="s">
        <v>24</v>
      </c>
      <c r="C1947" s="8">
        <v>248.0907055171692</v>
      </c>
      <c r="D1947" s="8">
        <v>248.2348300670061</v>
      </c>
      <c r="E1947" s="8">
        <v>248.0861412579045</v>
      </c>
      <c r="F1947" s="8">
        <v>248.13544007520699</v>
      </c>
      <c r="G1947" s="7">
        <v>87992</v>
      </c>
      <c r="H1947" s="9">
        <v>21833933.64309762</v>
      </c>
      <c r="I1947" s="5" t="s">
        <v>3076</v>
      </c>
    </row>
    <row r="1948" spans="1:9" x14ac:dyDescent="0.25">
      <c r="A1948" s="6">
        <v>45996.777777777781</v>
      </c>
      <c r="B1948" s="5" t="s">
        <v>24</v>
      </c>
      <c r="C1948" s="8">
        <v>248.06991325109701</v>
      </c>
      <c r="D1948" s="8">
        <v>248.11906190740521</v>
      </c>
      <c r="E1948" s="8">
        <v>247.957387092587</v>
      </c>
      <c r="F1948" s="8">
        <v>247.95843953253339</v>
      </c>
      <c r="G1948" s="7">
        <v>34036</v>
      </c>
      <c r="H1948" s="9">
        <v>8439513.447929306</v>
      </c>
      <c r="I1948" s="5" t="s">
        <v>3077</v>
      </c>
    </row>
    <row r="1949" spans="1:9" x14ac:dyDescent="0.25">
      <c r="A1949" s="6">
        <v>45996.78125</v>
      </c>
      <c r="B1949" s="5" t="s">
        <v>24</v>
      </c>
      <c r="C1949" s="8">
        <v>247.88993657212791</v>
      </c>
      <c r="D1949" s="8">
        <v>248.0752657633507</v>
      </c>
      <c r="E1949" s="8">
        <v>247.85714511780409</v>
      </c>
      <c r="F1949" s="8">
        <v>247.8946447977799</v>
      </c>
      <c r="G1949" s="7">
        <v>42302</v>
      </c>
      <c r="H1949" s="9">
        <v>10486439.26423569</v>
      </c>
      <c r="I1949" s="5" t="s">
        <v>3078</v>
      </c>
    </row>
    <row r="1950" spans="1:9" x14ac:dyDescent="0.25">
      <c r="A1950" s="6">
        <v>45996.784722222219</v>
      </c>
      <c r="B1950" s="5" t="s">
        <v>24</v>
      </c>
      <c r="C1950" s="8">
        <v>247.657599849055</v>
      </c>
      <c r="D1950" s="8">
        <v>247.82969211920141</v>
      </c>
      <c r="E1950" s="8">
        <v>247.31378959049479</v>
      </c>
      <c r="F1950" s="8">
        <v>247.58649967762759</v>
      </c>
      <c r="G1950" s="7">
        <v>66668</v>
      </c>
      <c r="H1950" s="9">
        <v>16506096.760508079</v>
      </c>
      <c r="I1950" s="5" t="s">
        <v>3079</v>
      </c>
    </row>
    <row r="1951" spans="1:9" x14ac:dyDescent="0.25">
      <c r="A1951" s="6">
        <v>45996.788194444453</v>
      </c>
      <c r="B1951" s="5" t="s">
        <v>24</v>
      </c>
      <c r="C1951" s="8">
        <v>247.41716088734819</v>
      </c>
      <c r="D1951" s="8">
        <v>247.69594673828041</v>
      </c>
      <c r="E1951" s="8">
        <v>247.40012818266399</v>
      </c>
      <c r="F1951" s="8">
        <v>247.4774367298281</v>
      </c>
      <c r="G1951" s="7">
        <v>64555</v>
      </c>
      <c r="H1951" s="9">
        <v>15975905.92809405</v>
      </c>
      <c r="I1951" s="5" t="s">
        <v>3080</v>
      </c>
    </row>
    <row r="1952" spans="1:9" x14ac:dyDescent="0.25">
      <c r="A1952" s="6">
        <v>45996.791666666657</v>
      </c>
      <c r="B1952" s="5" t="s">
        <v>24</v>
      </c>
      <c r="C1952" s="8">
        <v>247.03801540704251</v>
      </c>
      <c r="D1952" s="8">
        <v>247.18872489349741</v>
      </c>
      <c r="E1952" s="8">
        <v>246.6814611721714</v>
      </c>
      <c r="F1952" s="8">
        <v>247.02414278208431</v>
      </c>
      <c r="G1952" s="7">
        <v>55571</v>
      </c>
      <c r="H1952" s="9">
        <v>13727378.638543211</v>
      </c>
      <c r="I1952" s="5" t="s">
        <v>3081</v>
      </c>
    </row>
    <row r="1953" spans="1:9" x14ac:dyDescent="0.25">
      <c r="A1953" s="6">
        <v>45996.795138888891</v>
      </c>
      <c r="B1953" s="5" t="s">
        <v>24</v>
      </c>
      <c r="C1953" s="8">
        <v>246.90822716472621</v>
      </c>
      <c r="D1953" s="8">
        <v>247.43557420850561</v>
      </c>
      <c r="E1953" s="8">
        <v>246.73383619674249</v>
      </c>
      <c r="F1953" s="8">
        <v>247.00087349177741</v>
      </c>
      <c r="G1953" s="7">
        <v>43735</v>
      </c>
      <c r="H1953" s="9">
        <v>10802583.20216289</v>
      </c>
      <c r="I1953" s="5" t="s">
        <v>3082</v>
      </c>
    </row>
    <row r="1954" spans="1:9" x14ac:dyDescent="0.25">
      <c r="A1954" s="6">
        <v>45996.798611111109</v>
      </c>
      <c r="B1954" s="5" t="s">
        <v>24</v>
      </c>
      <c r="C1954" s="8">
        <v>247.09520462602941</v>
      </c>
      <c r="D1954" s="8">
        <v>247.14085797081401</v>
      </c>
      <c r="E1954" s="8">
        <v>247.03165203660939</v>
      </c>
      <c r="F1954" s="8">
        <v>247.06927925200239</v>
      </c>
      <c r="G1954" s="7">
        <v>105069</v>
      </c>
      <c r="H1954" s="9">
        <v>25959322.10172864</v>
      </c>
      <c r="I1954" s="5" t="s">
        <v>3083</v>
      </c>
    </row>
    <row r="1955" spans="1:9" x14ac:dyDescent="0.25">
      <c r="A1955" s="6">
        <v>45996.802083333343</v>
      </c>
      <c r="B1955" s="5" t="s">
        <v>24</v>
      </c>
      <c r="C1955" s="8">
        <v>246.7474915424315</v>
      </c>
      <c r="D1955" s="8">
        <v>247.0447082352519</v>
      </c>
      <c r="E1955" s="8">
        <v>246.72699629471009</v>
      </c>
      <c r="F1955" s="8">
        <v>246.8875693924727</v>
      </c>
      <c r="G1955" s="7">
        <v>61995</v>
      </c>
      <c r="H1955" s="9">
        <v>15305794.86448635</v>
      </c>
      <c r="I1955" s="5" t="s">
        <v>3084</v>
      </c>
    </row>
    <row r="1956" spans="1:9" x14ac:dyDescent="0.25">
      <c r="A1956" s="6">
        <v>45996.805555555547</v>
      </c>
      <c r="B1956" s="5" t="s">
        <v>24</v>
      </c>
      <c r="C1956" s="8">
        <v>247.34431624461391</v>
      </c>
      <c r="D1956" s="8">
        <v>247.41760313116359</v>
      </c>
      <c r="E1956" s="8">
        <v>247.26344019778981</v>
      </c>
      <c r="F1956" s="8">
        <v>247.34965053715899</v>
      </c>
      <c r="G1956" s="7">
        <v>44694</v>
      </c>
      <c r="H1956" s="9">
        <v>11055045.281107791</v>
      </c>
      <c r="I1956" s="5" t="s">
        <v>3085</v>
      </c>
    </row>
    <row r="1957" spans="1:9" x14ac:dyDescent="0.25">
      <c r="A1957" s="6">
        <v>45996.809027777781</v>
      </c>
      <c r="B1957" s="5" t="s">
        <v>24</v>
      </c>
      <c r="C1957" s="8">
        <v>247.42918896768089</v>
      </c>
      <c r="D1957" s="8">
        <v>247.73394260619901</v>
      </c>
      <c r="E1957" s="8">
        <v>247.2864053520876</v>
      </c>
      <c r="F1957" s="8">
        <v>247.51973556124901</v>
      </c>
      <c r="G1957" s="7">
        <v>47310</v>
      </c>
      <c r="H1957" s="9">
        <v>11710158.68940269</v>
      </c>
      <c r="I1957" s="5" t="s">
        <v>3086</v>
      </c>
    </row>
    <row r="1958" spans="1:9" x14ac:dyDescent="0.25">
      <c r="A1958" s="6">
        <v>45996.8125</v>
      </c>
      <c r="B1958" s="5" t="s">
        <v>24</v>
      </c>
      <c r="C1958" s="8">
        <v>247.40967787158559</v>
      </c>
      <c r="D1958" s="8">
        <v>247.55684965213811</v>
      </c>
      <c r="E1958" s="8">
        <v>247.40901474523389</v>
      </c>
      <c r="F1958" s="8">
        <v>247.5344522367229</v>
      </c>
      <c r="G1958" s="7">
        <v>97904</v>
      </c>
      <c r="H1958" s="9">
        <v>24234613.011784121</v>
      </c>
      <c r="I1958" s="5" t="s">
        <v>3087</v>
      </c>
    </row>
    <row r="1959" spans="1:9" x14ac:dyDescent="0.25">
      <c r="A1959" s="6">
        <v>45996.815972222219</v>
      </c>
      <c r="B1959" s="5" t="s">
        <v>24</v>
      </c>
      <c r="C1959" s="8">
        <v>247.5204854566629</v>
      </c>
      <c r="D1959" s="8">
        <v>247.7645536858399</v>
      </c>
      <c r="E1959" s="8">
        <v>247.36835313152031</v>
      </c>
      <c r="F1959" s="8">
        <v>247.7058085557949</v>
      </c>
      <c r="G1959" s="7">
        <v>42240</v>
      </c>
      <c r="H1959" s="9">
        <v>10463093.353396781</v>
      </c>
      <c r="I1959" s="5" t="s">
        <v>3088</v>
      </c>
    </row>
    <row r="1960" spans="1:9" x14ac:dyDescent="0.25">
      <c r="A1960" s="6">
        <v>45996.819444444453</v>
      </c>
      <c r="B1960" s="5" t="s">
        <v>24</v>
      </c>
      <c r="C1960" s="8">
        <v>247.66942688706621</v>
      </c>
      <c r="D1960" s="8">
        <v>247.73419975642011</v>
      </c>
      <c r="E1960" s="8">
        <v>247.51118905566719</v>
      </c>
      <c r="F1960" s="8">
        <v>247.51431584697119</v>
      </c>
      <c r="G1960" s="7">
        <v>83362</v>
      </c>
      <c r="H1960" s="9">
        <v>20633288.39763521</v>
      </c>
      <c r="I1960" s="5" t="s">
        <v>3089</v>
      </c>
    </row>
    <row r="1961" spans="1:9" x14ac:dyDescent="0.25">
      <c r="A1961" s="6">
        <v>45996.822916666657</v>
      </c>
      <c r="B1961" s="5" t="s">
        <v>24</v>
      </c>
      <c r="C1961" s="8">
        <v>247.90930232590861</v>
      </c>
      <c r="D1961" s="8">
        <v>247.9619405290054</v>
      </c>
      <c r="E1961" s="8">
        <v>247.8675109028228</v>
      </c>
      <c r="F1961" s="8">
        <v>247.93818850248309</v>
      </c>
      <c r="G1961" s="7">
        <v>61973</v>
      </c>
      <c r="H1961" s="9">
        <v>15365473.356064379</v>
      </c>
      <c r="I1961" s="5" t="s">
        <v>3090</v>
      </c>
    </row>
    <row r="1962" spans="1:9" x14ac:dyDescent="0.25">
      <c r="A1962" s="6">
        <v>45996.826388888891</v>
      </c>
      <c r="B1962" s="5" t="s">
        <v>24</v>
      </c>
      <c r="C1962" s="8">
        <v>247.80517202465049</v>
      </c>
      <c r="D1962" s="8">
        <v>247.97007707595171</v>
      </c>
      <c r="E1962" s="8">
        <v>247.68307258287709</v>
      </c>
      <c r="F1962" s="8">
        <v>247.89177517560549</v>
      </c>
      <c r="G1962" s="7">
        <v>41833</v>
      </c>
      <c r="H1962" s="9">
        <v>10370056.630921111</v>
      </c>
      <c r="I1962" s="5" t="s">
        <v>3091</v>
      </c>
    </row>
    <row r="1963" spans="1:9" x14ac:dyDescent="0.25">
      <c r="A1963" s="6">
        <v>45996.829861111109</v>
      </c>
      <c r="B1963" s="5" t="s">
        <v>24</v>
      </c>
      <c r="C1963" s="8">
        <v>247.7629520826153</v>
      </c>
      <c r="D1963" s="8">
        <v>247.87069903531281</v>
      </c>
      <c r="E1963" s="8">
        <v>247.7021144699749</v>
      </c>
      <c r="F1963" s="8">
        <v>247.76769321213999</v>
      </c>
      <c r="G1963" s="7">
        <v>82953</v>
      </c>
      <c r="H1963" s="9">
        <v>20553073.455026649</v>
      </c>
      <c r="I1963" s="5" t="s">
        <v>3092</v>
      </c>
    </row>
    <row r="1964" spans="1:9" x14ac:dyDescent="0.25">
      <c r="A1964" s="6">
        <v>45996.833333333343</v>
      </c>
      <c r="B1964" s="5" t="s">
        <v>24</v>
      </c>
      <c r="C1964" s="8">
        <v>247.86369233226409</v>
      </c>
      <c r="D1964" s="8">
        <v>248.21604229594681</v>
      </c>
      <c r="E1964" s="8">
        <v>247.47464955935209</v>
      </c>
      <c r="F1964" s="8">
        <v>247.93824924030369</v>
      </c>
      <c r="G1964" s="7">
        <v>55808</v>
      </c>
      <c r="H1964" s="9">
        <v>13836937.81360287</v>
      </c>
      <c r="I1964" s="5" t="s">
        <v>3093</v>
      </c>
    </row>
    <row r="1965" spans="1:9" x14ac:dyDescent="0.25">
      <c r="A1965" s="6">
        <v>45996.836805555547</v>
      </c>
      <c r="B1965" s="5" t="s">
        <v>24</v>
      </c>
      <c r="C1965" s="8">
        <v>248.34045380519581</v>
      </c>
      <c r="D1965" s="8">
        <v>248.61717263941151</v>
      </c>
      <c r="E1965" s="8">
        <v>248.2730063120118</v>
      </c>
      <c r="F1965" s="8">
        <v>248.3443540835446</v>
      </c>
      <c r="G1965" s="7">
        <v>58381</v>
      </c>
      <c r="H1965" s="9">
        <v>14498591.73575142</v>
      </c>
      <c r="I1965" s="5" t="s">
        <v>3094</v>
      </c>
    </row>
    <row r="1966" spans="1:9" x14ac:dyDescent="0.25">
      <c r="A1966" s="6">
        <v>45996.840277777781</v>
      </c>
      <c r="B1966" s="5" t="s">
        <v>24</v>
      </c>
      <c r="C1966" s="8">
        <v>248.20311463895601</v>
      </c>
      <c r="D1966" s="8">
        <v>248.35478013759419</v>
      </c>
      <c r="E1966" s="8">
        <v>248.15701913043159</v>
      </c>
      <c r="F1966" s="8">
        <v>248.21554383331821</v>
      </c>
      <c r="G1966" s="7">
        <v>58982</v>
      </c>
      <c r="H1966" s="9">
        <v>14640249.206376771</v>
      </c>
      <c r="I1966" s="5" t="s">
        <v>3095</v>
      </c>
    </row>
    <row r="1967" spans="1:9" x14ac:dyDescent="0.25">
      <c r="A1967" s="6">
        <v>45996.84375</v>
      </c>
      <c r="B1967" s="5" t="s">
        <v>24</v>
      </c>
      <c r="C1967" s="8">
        <v>248.38057543192369</v>
      </c>
      <c r="D1967" s="8">
        <v>248.54740691578121</v>
      </c>
      <c r="E1967" s="8">
        <v>248.29049118525589</v>
      </c>
      <c r="F1967" s="8">
        <v>248.33841835231871</v>
      </c>
      <c r="G1967" s="7">
        <v>60773</v>
      </c>
      <c r="H1967" s="9">
        <v>15092270.69852546</v>
      </c>
      <c r="I1967" s="5" t="s">
        <v>3096</v>
      </c>
    </row>
    <row r="1968" spans="1:9" x14ac:dyDescent="0.25">
      <c r="A1968" s="6">
        <v>45996.847222222219</v>
      </c>
      <c r="B1968" s="5" t="s">
        <v>24</v>
      </c>
      <c r="C1968" s="8">
        <v>248.71167431965989</v>
      </c>
      <c r="D1968" s="8">
        <v>248.77248652759761</v>
      </c>
      <c r="E1968" s="8">
        <v>248.26131988490599</v>
      </c>
      <c r="F1968" s="8">
        <v>248.5851949476484</v>
      </c>
      <c r="G1968" s="7">
        <v>58937</v>
      </c>
      <c r="H1968" s="9">
        <v>14650865.634629549</v>
      </c>
      <c r="I1968" s="5" t="s">
        <v>3097</v>
      </c>
    </row>
    <row r="1969" spans="1:9" x14ac:dyDescent="0.25">
      <c r="A1969" s="6">
        <v>45996.850694444453</v>
      </c>
      <c r="B1969" s="5" t="s">
        <v>24</v>
      </c>
      <c r="C1969" s="8">
        <v>248.4956919821885</v>
      </c>
      <c r="D1969" s="8">
        <v>248.63450132770649</v>
      </c>
      <c r="E1969" s="8">
        <v>248.4589100890484</v>
      </c>
      <c r="F1969" s="8">
        <v>248.5721191189507</v>
      </c>
      <c r="G1969" s="7">
        <v>75755</v>
      </c>
      <c r="H1969" s="9">
        <v>18830580.88385611</v>
      </c>
      <c r="I1969" s="5" t="s">
        <v>3098</v>
      </c>
    </row>
    <row r="1970" spans="1:9" x14ac:dyDescent="0.25">
      <c r="A1970" s="6">
        <v>45996.854166666657</v>
      </c>
      <c r="B1970" s="5" t="s">
        <v>24</v>
      </c>
      <c r="C1970" s="8">
        <v>248.30202952709089</v>
      </c>
      <c r="D1970" s="8">
        <v>248.33420963682801</v>
      </c>
      <c r="E1970" s="8">
        <v>248.24722896550571</v>
      </c>
      <c r="F1970" s="8">
        <v>248.28172595781129</v>
      </c>
      <c r="G1970" s="7">
        <v>84584</v>
      </c>
      <c r="H1970" s="9">
        <v>21000661.508415509</v>
      </c>
      <c r="I1970" s="5" t="s">
        <v>3099</v>
      </c>
    </row>
    <row r="1971" spans="1:9" x14ac:dyDescent="0.25">
      <c r="A1971" s="6">
        <v>45996.857638888891</v>
      </c>
      <c r="B1971" s="5" t="s">
        <v>24</v>
      </c>
      <c r="C1971" s="8">
        <v>248.10839880942481</v>
      </c>
      <c r="D1971" s="8">
        <v>248.25447825517909</v>
      </c>
      <c r="E1971" s="8">
        <v>247.87390275715711</v>
      </c>
      <c r="F1971" s="8">
        <v>248.1399378918849</v>
      </c>
      <c r="G1971" s="7">
        <v>76326</v>
      </c>
      <c r="H1971" s="9">
        <v>18939528.89953601</v>
      </c>
      <c r="I1971" s="5" t="s">
        <v>3100</v>
      </c>
    </row>
    <row r="1972" spans="1:9" x14ac:dyDescent="0.25">
      <c r="A1972" s="6">
        <v>45996.861111111109</v>
      </c>
      <c r="B1972" s="5" t="s">
        <v>24</v>
      </c>
      <c r="C1972" s="8">
        <v>247.79483671339739</v>
      </c>
      <c r="D1972" s="8">
        <v>248.18472591785371</v>
      </c>
      <c r="E1972" s="8">
        <v>247.5475316273002</v>
      </c>
      <c r="F1972" s="8">
        <v>247.9715166075429</v>
      </c>
      <c r="G1972" s="7">
        <v>61437</v>
      </c>
      <c r="H1972" s="9">
        <v>15234626.065817609</v>
      </c>
      <c r="I1972" s="5" t="s">
        <v>3101</v>
      </c>
    </row>
    <row r="1973" spans="1:9" x14ac:dyDescent="0.25">
      <c r="A1973" s="6">
        <v>45996.864583333343</v>
      </c>
      <c r="B1973" s="5" t="s">
        <v>24</v>
      </c>
      <c r="C1973" s="8">
        <v>247.59512660339641</v>
      </c>
      <c r="D1973" s="8">
        <v>247.77560391228971</v>
      </c>
      <c r="E1973" s="8">
        <v>247.36810217273839</v>
      </c>
      <c r="F1973" s="8">
        <v>247.73290448541289</v>
      </c>
      <c r="G1973" s="7">
        <v>34349</v>
      </c>
      <c r="H1973" s="9">
        <v>8509377.5361694489</v>
      </c>
      <c r="I1973" s="5" t="s">
        <v>3102</v>
      </c>
    </row>
    <row r="1974" spans="1:9" x14ac:dyDescent="0.25">
      <c r="A1974" s="6">
        <v>45996.868055555547</v>
      </c>
      <c r="B1974" s="5" t="s">
        <v>24</v>
      </c>
      <c r="C1974" s="8">
        <v>247.8287134565085</v>
      </c>
      <c r="D1974" s="8">
        <v>247.94401713422801</v>
      </c>
      <c r="E1974" s="8">
        <v>247.67744622501851</v>
      </c>
      <c r="F1974" s="8">
        <v>247.7123515602112</v>
      </c>
      <c r="G1974" s="7">
        <v>123460</v>
      </c>
      <c r="H1974" s="9">
        <v>30582566.92362367</v>
      </c>
      <c r="I1974" s="5" t="s">
        <v>3103</v>
      </c>
    </row>
    <row r="1975" spans="1:9" x14ac:dyDescent="0.25">
      <c r="A1975" s="6">
        <v>45996.871527777781</v>
      </c>
      <c r="B1975" s="5" t="s">
        <v>24</v>
      </c>
      <c r="C1975" s="8">
        <v>247.44265148264799</v>
      </c>
      <c r="D1975" s="8">
        <v>247.59601893263189</v>
      </c>
      <c r="E1975" s="8">
        <v>247.19153514769619</v>
      </c>
      <c r="F1975" s="8">
        <v>247.40636614981341</v>
      </c>
      <c r="G1975" s="7">
        <v>49225</v>
      </c>
      <c r="H1975" s="9">
        <v>12178578.373724559</v>
      </c>
      <c r="I1975" s="5" t="s">
        <v>3104</v>
      </c>
    </row>
    <row r="1976" spans="1:9" x14ac:dyDescent="0.25">
      <c r="A1976" s="6">
        <v>45996.875</v>
      </c>
      <c r="B1976" s="5" t="s">
        <v>24</v>
      </c>
      <c r="C1976" s="8">
        <v>247.50777468705959</v>
      </c>
      <c r="D1976" s="8">
        <v>247.52475139992831</v>
      </c>
      <c r="E1976" s="8">
        <v>247.27570489223149</v>
      </c>
      <c r="F1976" s="8">
        <v>247.29937005996641</v>
      </c>
      <c r="G1976" s="7">
        <v>48184</v>
      </c>
      <c r="H1976" s="9">
        <v>11915872.84696942</v>
      </c>
      <c r="I1976" s="5" t="s">
        <v>3105</v>
      </c>
    </row>
    <row r="1977" spans="1:9" x14ac:dyDescent="0.25">
      <c r="A1977" s="6">
        <v>45992.604166666657</v>
      </c>
      <c r="B1977" s="5" t="s">
        <v>26</v>
      </c>
      <c r="C1977" s="8">
        <v>516.52607886166447</v>
      </c>
      <c r="D1977" s="8">
        <v>516.81760590465535</v>
      </c>
      <c r="E1977" s="8">
        <v>515.95923897697662</v>
      </c>
      <c r="F1977" s="8">
        <v>516.2114118033536</v>
      </c>
      <c r="G1977" s="7">
        <v>73360</v>
      </c>
      <c r="H1977" s="9">
        <v>37869269.169894017</v>
      </c>
      <c r="I1977" s="5" t="s">
        <v>3106</v>
      </c>
    </row>
    <row r="1978" spans="1:9" x14ac:dyDescent="0.25">
      <c r="A1978" s="6">
        <v>45992.607638888891</v>
      </c>
      <c r="B1978" s="5" t="s">
        <v>26</v>
      </c>
      <c r="C1978" s="8">
        <v>516.35050711825716</v>
      </c>
      <c r="D1978" s="8">
        <v>516.59216768894805</v>
      </c>
      <c r="E1978" s="8">
        <v>515.70703563112818</v>
      </c>
      <c r="F1978" s="8">
        <v>516.29515381947704</v>
      </c>
      <c r="G1978" s="7">
        <v>62727</v>
      </c>
      <c r="H1978" s="9">
        <v>32385646.11363434</v>
      </c>
      <c r="I1978" s="5" t="s">
        <v>3107</v>
      </c>
    </row>
    <row r="1979" spans="1:9" x14ac:dyDescent="0.25">
      <c r="A1979" s="6">
        <v>45992.611111111109</v>
      </c>
      <c r="B1979" s="5" t="s">
        <v>26</v>
      </c>
      <c r="C1979" s="8">
        <v>516.2408003905847</v>
      </c>
      <c r="D1979" s="8">
        <v>516.29692223316056</v>
      </c>
      <c r="E1979" s="8">
        <v>515.74340587756285</v>
      </c>
      <c r="F1979" s="8">
        <v>515.8275128598857</v>
      </c>
      <c r="G1979" s="7">
        <v>69589</v>
      </c>
      <c r="H1979" s="9">
        <v>35895920.792406589</v>
      </c>
      <c r="I1979" s="5" t="s">
        <v>3108</v>
      </c>
    </row>
    <row r="1980" spans="1:9" x14ac:dyDescent="0.25">
      <c r="A1980" s="6">
        <v>45992.614583333343</v>
      </c>
      <c r="B1980" s="5" t="s">
        <v>26</v>
      </c>
      <c r="C1980" s="8">
        <v>515.55905262244596</v>
      </c>
      <c r="D1980" s="8">
        <v>515.9125956886852</v>
      </c>
      <c r="E1980" s="8">
        <v>515.52479104344582</v>
      </c>
      <c r="F1980" s="8">
        <v>515.5267445762056</v>
      </c>
      <c r="G1980" s="7">
        <v>71159</v>
      </c>
      <c r="H1980" s="9">
        <v>36684367.617298223</v>
      </c>
      <c r="I1980" s="5" t="s">
        <v>3109</v>
      </c>
    </row>
    <row r="1981" spans="1:9" x14ac:dyDescent="0.25">
      <c r="A1981" s="6">
        <v>45992.618055555547</v>
      </c>
      <c r="B1981" s="5" t="s">
        <v>26</v>
      </c>
      <c r="C1981" s="8">
        <v>515.09730208518897</v>
      </c>
      <c r="D1981" s="8">
        <v>515.72678597933577</v>
      </c>
      <c r="E1981" s="8">
        <v>514.84874289992888</v>
      </c>
      <c r="F1981" s="8">
        <v>515.54304929689818</v>
      </c>
      <c r="G1981" s="7">
        <v>84894</v>
      </c>
      <c r="H1981" s="9">
        <v>43766511.627010867</v>
      </c>
      <c r="I1981" s="5" t="s">
        <v>3110</v>
      </c>
    </row>
    <row r="1982" spans="1:9" x14ac:dyDescent="0.25">
      <c r="A1982" s="6">
        <v>45992.621527777781</v>
      </c>
      <c r="B1982" s="5" t="s">
        <v>26</v>
      </c>
      <c r="C1982" s="8">
        <v>515.58254321447168</v>
      </c>
      <c r="D1982" s="8">
        <v>515.73891822613689</v>
      </c>
      <c r="E1982" s="8">
        <v>515.37637234778902</v>
      </c>
      <c r="F1982" s="8">
        <v>515.58515716043291</v>
      </c>
      <c r="G1982" s="7">
        <v>61060</v>
      </c>
      <c r="H1982" s="9">
        <v>31481629.696216028</v>
      </c>
      <c r="I1982" s="5" t="s">
        <v>3111</v>
      </c>
    </row>
    <row r="1983" spans="1:9" x14ac:dyDescent="0.25">
      <c r="A1983" s="6">
        <v>45992.625</v>
      </c>
      <c r="B1983" s="5" t="s">
        <v>26</v>
      </c>
      <c r="C1983" s="8">
        <v>515.50499457553167</v>
      </c>
      <c r="D1983" s="8">
        <v>515.79598302999204</v>
      </c>
      <c r="E1983" s="8">
        <v>515.15603693111836</v>
      </c>
      <c r="F1983" s="8">
        <v>515.41545521786418</v>
      </c>
      <c r="G1983" s="7">
        <v>51270</v>
      </c>
      <c r="H1983" s="9">
        <v>26425350.389019899</v>
      </c>
      <c r="I1983" s="5" t="s">
        <v>3112</v>
      </c>
    </row>
    <row r="1984" spans="1:9" x14ac:dyDescent="0.25">
      <c r="A1984" s="6">
        <v>45992.628472222219</v>
      </c>
      <c r="B1984" s="5" t="s">
        <v>26</v>
      </c>
      <c r="C1984" s="8">
        <v>515.3250350661782</v>
      </c>
      <c r="D1984" s="8">
        <v>515.56959179739272</v>
      </c>
      <c r="E1984" s="8">
        <v>515.01474551613285</v>
      </c>
      <c r="F1984" s="8">
        <v>515.03554790206283</v>
      </c>
      <c r="G1984" s="7">
        <v>55265</v>
      </c>
      <c r="H1984" s="9">
        <v>28463439.554807499</v>
      </c>
      <c r="I1984" s="5" t="s">
        <v>3113</v>
      </c>
    </row>
    <row r="1985" spans="1:9" x14ac:dyDescent="0.25">
      <c r="A1985" s="6">
        <v>45992.631944444453</v>
      </c>
      <c r="B1985" s="5" t="s">
        <v>26</v>
      </c>
      <c r="C1985" s="8">
        <v>514.68878464230841</v>
      </c>
      <c r="D1985" s="8">
        <v>514.77371640563285</v>
      </c>
      <c r="E1985" s="8">
        <v>514.26396909227969</v>
      </c>
      <c r="F1985" s="8">
        <v>514.59988695805851</v>
      </c>
      <c r="G1985" s="7">
        <v>43173</v>
      </c>
      <c r="H1985" s="9">
        <v>22216820.919640262</v>
      </c>
      <c r="I1985" s="5" t="s">
        <v>3114</v>
      </c>
    </row>
    <row r="1986" spans="1:9" x14ac:dyDescent="0.25">
      <c r="A1986" s="6">
        <v>45992.635416666657</v>
      </c>
      <c r="B1986" s="5" t="s">
        <v>26</v>
      </c>
      <c r="C1986" s="8">
        <v>515.12248210481732</v>
      </c>
      <c r="D1986" s="8">
        <v>515.41099426542894</v>
      </c>
      <c r="E1986" s="8">
        <v>514.76734258959368</v>
      </c>
      <c r="F1986" s="8">
        <v>514.76848173860117</v>
      </c>
      <c r="G1986" s="7">
        <v>83586</v>
      </c>
      <c r="H1986" s="9">
        <v>43027438.314602718</v>
      </c>
      <c r="I1986" s="5" t="s">
        <v>3115</v>
      </c>
    </row>
    <row r="1987" spans="1:9" x14ac:dyDescent="0.25">
      <c r="A1987" s="6">
        <v>45992.638888888891</v>
      </c>
      <c r="B1987" s="5" t="s">
        <v>26</v>
      </c>
      <c r="C1987" s="8">
        <v>514.28271931526513</v>
      </c>
      <c r="D1987" s="8">
        <v>514.40639762992805</v>
      </c>
      <c r="E1987" s="8">
        <v>514.03100750330805</v>
      </c>
      <c r="F1987" s="8">
        <v>514.20214184139036</v>
      </c>
      <c r="G1987" s="7">
        <v>73165</v>
      </c>
      <c r="H1987" s="9">
        <v>37621599.707825333</v>
      </c>
      <c r="I1987" s="5" t="s">
        <v>3116</v>
      </c>
    </row>
    <row r="1988" spans="1:9" x14ac:dyDescent="0.25">
      <c r="A1988" s="6">
        <v>45992.642361111109</v>
      </c>
      <c r="B1988" s="5" t="s">
        <v>26</v>
      </c>
      <c r="C1988" s="8">
        <v>514.46227958930285</v>
      </c>
      <c r="D1988" s="8">
        <v>514.71336994597675</v>
      </c>
      <c r="E1988" s="8">
        <v>514.14223889855896</v>
      </c>
      <c r="F1988" s="8">
        <v>514.55471356453972</v>
      </c>
      <c r="G1988" s="7">
        <v>71951</v>
      </c>
      <c r="H1988" s="9">
        <v>37022726.195682198</v>
      </c>
      <c r="I1988" s="5" t="s">
        <v>3117</v>
      </c>
    </row>
    <row r="1989" spans="1:9" x14ac:dyDescent="0.25">
      <c r="A1989" s="6">
        <v>45992.645833333343</v>
      </c>
      <c r="B1989" s="5" t="s">
        <v>26</v>
      </c>
      <c r="C1989" s="8">
        <v>513.69384173505182</v>
      </c>
      <c r="D1989" s="8">
        <v>513.9665807355683</v>
      </c>
      <c r="E1989" s="8">
        <v>513.62872493740372</v>
      </c>
      <c r="F1989" s="8">
        <v>513.70930707704144</v>
      </c>
      <c r="G1989" s="7">
        <v>133496</v>
      </c>
      <c r="H1989" s="9">
        <v>68578137.657556728</v>
      </c>
      <c r="I1989" s="5" t="s">
        <v>3118</v>
      </c>
    </row>
    <row r="1990" spans="1:9" x14ac:dyDescent="0.25">
      <c r="A1990" s="6">
        <v>45992.649305555547</v>
      </c>
      <c r="B1990" s="5" t="s">
        <v>26</v>
      </c>
      <c r="C1990" s="8">
        <v>513.6322254364585</v>
      </c>
      <c r="D1990" s="8">
        <v>514.0732296349089</v>
      </c>
      <c r="E1990" s="8">
        <v>513.1078109445109</v>
      </c>
      <c r="F1990" s="8">
        <v>513.46021905590464</v>
      </c>
      <c r="G1990" s="7">
        <v>56573</v>
      </c>
      <c r="H1990" s="9">
        <v>29047984.97264969</v>
      </c>
      <c r="I1990" s="5" t="s">
        <v>3119</v>
      </c>
    </row>
    <row r="1991" spans="1:9" x14ac:dyDescent="0.25">
      <c r="A1991" s="6">
        <v>45992.652777777781</v>
      </c>
      <c r="B1991" s="5" t="s">
        <v>26</v>
      </c>
      <c r="C1991" s="8">
        <v>513.45079528853046</v>
      </c>
      <c r="D1991" s="8">
        <v>513.71564826228609</v>
      </c>
      <c r="E1991" s="8">
        <v>513.38321484570986</v>
      </c>
      <c r="F1991" s="8">
        <v>513.58142879274794</v>
      </c>
      <c r="G1991" s="7">
        <v>63579</v>
      </c>
      <c r="H1991" s="9">
        <v>32652993.661214121</v>
      </c>
      <c r="I1991" s="5" t="s">
        <v>3120</v>
      </c>
    </row>
    <row r="1992" spans="1:9" x14ac:dyDescent="0.25">
      <c r="A1992" s="6">
        <v>45992.65625</v>
      </c>
      <c r="B1992" s="5" t="s">
        <v>26</v>
      </c>
      <c r="C1992" s="8">
        <v>513.51467764286429</v>
      </c>
      <c r="D1992" s="8">
        <v>513.69200064288464</v>
      </c>
      <c r="E1992" s="8">
        <v>513.31413112576047</v>
      </c>
      <c r="F1992" s="8">
        <v>513.33519960431772</v>
      </c>
      <c r="G1992" s="7">
        <v>66845</v>
      </c>
      <c r="H1992" s="9">
        <v>34313891.417550623</v>
      </c>
      <c r="I1992" s="5" t="s">
        <v>3121</v>
      </c>
    </row>
    <row r="1993" spans="1:9" x14ac:dyDescent="0.25">
      <c r="A1993" s="6">
        <v>45992.659722222219</v>
      </c>
      <c r="B1993" s="5" t="s">
        <v>26</v>
      </c>
      <c r="C1993" s="8">
        <v>512.30459669077209</v>
      </c>
      <c r="D1993" s="8">
        <v>512.95392086569836</v>
      </c>
      <c r="E1993" s="8">
        <v>512.24105096112112</v>
      </c>
      <c r="F1993" s="8">
        <v>512.53714063384655</v>
      </c>
      <c r="G1993" s="7">
        <v>101666</v>
      </c>
      <c r="H1993" s="9">
        <v>52107600.939680643</v>
      </c>
      <c r="I1993" s="5" t="s">
        <v>3122</v>
      </c>
    </row>
    <row r="1994" spans="1:9" x14ac:dyDescent="0.25">
      <c r="A1994" s="6">
        <v>45992.663194444453</v>
      </c>
      <c r="B1994" s="5" t="s">
        <v>26</v>
      </c>
      <c r="C1994" s="8">
        <v>512.13536935599552</v>
      </c>
      <c r="D1994" s="8">
        <v>512.60399837916816</v>
      </c>
      <c r="E1994" s="8">
        <v>512.07114620289155</v>
      </c>
      <c r="F1994" s="8">
        <v>512.31305050945844</v>
      </c>
      <c r="G1994" s="7">
        <v>37846</v>
      </c>
      <c r="H1994" s="9">
        <v>19388999.709580969</v>
      </c>
      <c r="I1994" s="5" t="s">
        <v>3123</v>
      </c>
    </row>
    <row r="1995" spans="1:9" x14ac:dyDescent="0.25">
      <c r="A1995" s="6">
        <v>45992.666666666657</v>
      </c>
      <c r="B1995" s="5" t="s">
        <v>26</v>
      </c>
      <c r="C1995" s="8">
        <v>512.00269642635703</v>
      </c>
      <c r="D1995" s="8">
        <v>512.38365508272341</v>
      </c>
      <c r="E1995" s="8">
        <v>511.86567896556699</v>
      </c>
      <c r="F1995" s="8">
        <v>511.89973316367968</v>
      </c>
      <c r="G1995" s="7">
        <v>59280</v>
      </c>
      <c r="H1995" s="9">
        <v>30345416.18194294</v>
      </c>
      <c r="I1995" s="5" t="s">
        <v>3124</v>
      </c>
    </row>
    <row r="1996" spans="1:9" x14ac:dyDescent="0.25">
      <c r="A1996" s="6">
        <v>45992.670138888891</v>
      </c>
      <c r="B1996" s="5" t="s">
        <v>26</v>
      </c>
      <c r="C1996" s="8">
        <v>511.83891465202208</v>
      </c>
      <c r="D1996" s="8">
        <v>512.74222881161802</v>
      </c>
      <c r="E1996" s="8">
        <v>511.68935541195827</v>
      </c>
      <c r="F1996" s="8">
        <v>511.7510592660762</v>
      </c>
      <c r="G1996" s="7">
        <v>64201</v>
      </c>
      <c r="H1996" s="9">
        <v>32854929.755941361</v>
      </c>
      <c r="I1996" s="5" t="s">
        <v>3125</v>
      </c>
    </row>
    <row r="1997" spans="1:9" x14ac:dyDescent="0.25">
      <c r="A1997" s="6">
        <v>45992.673611111109</v>
      </c>
      <c r="B1997" s="5" t="s">
        <v>26</v>
      </c>
      <c r="C1997" s="8">
        <v>511.53631658142729</v>
      </c>
      <c r="D1997" s="8">
        <v>511.71651672758969</v>
      </c>
      <c r="E1997" s="8">
        <v>511.38576090974038</v>
      </c>
      <c r="F1997" s="8">
        <v>511.59261031305681</v>
      </c>
      <c r="G1997" s="7">
        <v>74656</v>
      </c>
      <c r="H1997" s="9">
        <v>38193457.915531568</v>
      </c>
      <c r="I1997" s="5" t="s">
        <v>3126</v>
      </c>
    </row>
    <row r="1998" spans="1:9" x14ac:dyDescent="0.25">
      <c r="A1998" s="6">
        <v>45992.677083333343</v>
      </c>
      <c r="B1998" s="5" t="s">
        <v>26</v>
      </c>
      <c r="C1998" s="8">
        <v>511.28328927190898</v>
      </c>
      <c r="D1998" s="8">
        <v>511.56040115221401</v>
      </c>
      <c r="E1998" s="8">
        <v>510.9039525784741</v>
      </c>
      <c r="F1998" s="8">
        <v>511.22250970499141</v>
      </c>
      <c r="G1998" s="7">
        <v>84994</v>
      </c>
      <c r="H1998" s="9">
        <v>43450845.989866033</v>
      </c>
      <c r="I1998" s="5" t="s">
        <v>3127</v>
      </c>
    </row>
    <row r="1999" spans="1:9" x14ac:dyDescent="0.25">
      <c r="A1999" s="6">
        <v>45992.680555555547</v>
      </c>
      <c r="B1999" s="5" t="s">
        <v>26</v>
      </c>
      <c r="C1999" s="8">
        <v>511.44404215306508</v>
      </c>
      <c r="D1999" s="8">
        <v>511.84560210193968</v>
      </c>
      <c r="E1999" s="8">
        <v>511.26828940643861</v>
      </c>
      <c r="F1999" s="8">
        <v>511.4023048347434</v>
      </c>
      <c r="G1999" s="7">
        <v>43872</v>
      </c>
      <c r="H1999" s="9">
        <v>22436241.917709861</v>
      </c>
      <c r="I1999" s="5" t="s">
        <v>3128</v>
      </c>
    </row>
    <row r="2000" spans="1:9" x14ac:dyDescent="0.25">
      <c r="A2000" s="6">
        <v>45992.684027777781</v>
      </c>
      <c r="B2000" s="5" t="s">
        <v>26</v>
      </c>
      <c r="C2000" s="8">
        <v>511.87233988362863</v>
      </c>
      <c r="D2000" s="8">
        <v>511.97992049446418</v>
      </c>
      <c r="E2000" s="8">
        <v>511.61898708088921</v>
      </c>
      <c r="F2000" s="8">
        <v>511.69624415320271</v>
      </c>
      <c r="G2000" s="7">
        <v>54595</v>
      </c>
      <c r="H2000" s="9">
        <v>27936056.449544098</v>
      </c>
      <c r="I2000" s="5" t="s">
        <v>3129</v>
      </c>
    </row>
    <row r="2001" spans="1:9" x14ac:dyDescent="0.25">
      <c r="A2001" s="6">
        <v>45992.6875</v>
      </c>
      <c r="B2001" s="5" t="s">
        <v>26</v>
      </c>
      <c r="C2001" s="8">
        <v>511.35365351719719</v>
      </c>
      <c r="D2001" s="8">
        <v>511.70868727081597</v>
      </c>
      <c r="E2001" s="8">
        <v>511.01836656438752</v>
      </c>
      <c r="F2001" s="8">
        <v>511.47722213553988</v>
      </c>
      <c r="G2001" s="7">
        <v>37859</v>
      </c>
      <c r="H2001" s="9">
        <v>19364016.152829401</v>
      </c>
      <c r="I2001" s="5" t="s">
        <v>3130</v>
      </c>
    </row>
    <row r="2002" spans="1:9" x14ac:dyDescent="0.25">
      <c r="A2002" s="6">
        <v>45992.690972222219</v>
      </c>
      <c r="B2002" s="5" t="s">
        <v>26</v>
      </c>
      <c r="C2002" s="8">
        <v>511.36555526750419</v>
      </c>
      <c r="D2002" s="8">
        <v>511.6373336130697</v>
      </c>
      <c r="E2002" s="8">
        <v>511.03584557868942</v>
      </c>
      <c r="F2002" s="8">
        <v>511.41233455348942</v>
      </c>
      <c r="G2002" s="7">
        <v>69300</v>
      </c>
      <c r="H2002" s="9">
        <v>35440874.784556814</v>
      </c>
      <c r="I2002" s="5" t="s">
        <v>3131</v>
      </c>
    </row>
    <row r="2003" spans="1:9" x14ac:dyDescent="0.25">
      <c r="A2003" s="6">
        <v>45992.694444444453</v>
      </c>
      <c r="B2003" s="5" t="s">
        <v>26</v>
      </c>
      <c r="C2003" s="8">
        <v>512.10010934335355</v>
      </c>
      <c r="D2003" s="8">
        <v>512.3067905306965</v>
      </c>
      <c r="E2003" s="8">
        <v>511.79381560451321</v>
      </c>
      <c r="F2003" s="8">
        <v>511.95634393407761</v>
      </c>
      <c r="G2003" s="7">
        <v>87869</v>
      </c>
      <c r="H2003" s="9">
        <v>44985091.985143468</v>
      </c>
      <c r="I2003" s="5" t="s">
        <v>3132</v>
      </c>
    </row>
    <row r="2004" spans="1:9" x14ac:dyDescent="0.25">
      <c r="A2004" s="6">
        <v>45992.697916666657</v>
      </c>
      <c r="B2004" s="5" t="s">
        <v>26</v>
      </c>
      <c r="C2004" s="8">
        <v>511.55363492257339</v>
      </c>
      <c r="D2004" s="8">
        <v>511.99126077957141</v>
      </c>
      <c r="E2004" s="8">
        <v>511.25988913742589</v>
      </c>
      <c r="F2004" s="8">
        <v>511.72133314559301</v>
      </c>
      <c r="G2004" s="7">
        <v>107088</v>
      </c>
      <c r="H2004" s="9">
        <v>54799214.123895258</v>
      </c>
      <c r="I2004" s="5" t="s">
        <v>3133</v>
      </c>
    </row>
    <row r="2005" spans="1:9" x14ac:dyDescent="0.25">
      <c r="A2005" s="6">
        <v>45992.701388888891</v>
      </c>
      <c r="B2005" s="5" t="s">
        <v>26</v>
      </c>
      <c r="C2005" s="8">
        <v>511.52289653182919</v>
      </c>
      <c r="D2005" s="8">
        <v>511.82205841899099</v>
      </c>
      <c r="E2005" s="8">
        <v>511.0727655128469</v>
      </c>
      <c r="F2005" s="8">
        <v>511.6949796884137</v>
      </c>
      <c r="G2005" s="7">
        <v>49170</v>
      </c>
      <c r="H2005" s="9">
        <v>25160042.1512793</v>
      </c>
      <c r="I2005" s="5" t="s">
        <v>3134</v>
      </c>
    </row>
    <row r="2006" spans="1:9" x14ac:dyDescent="0.25">
      <c r="A2006" s="6">
        <v>45992.704861111109</v>
      </c>
      <c r="B2006" s="5" t="s">
        <v>26</v>
      </c>
      <c r="C2006" s="8">
        <v>511.56119374215791</v>
      </c>
      <c r="D2006" s="8">
        <v>512.09832172520385</v>
      </c>
      <c r="E2006" s="8">
        <v>511.18451825765072</v>
      </c>
      <c r="F2006" s="8">
        <v>511.64182297921968</v>
      </c>
      <c r="G2006" s="7">
        <v>52000</v>
      </c>
      <c r="H2006" s="9">
        <v>26605374.79491942</v>
      </c>
      <c r="I2006" s="5" t="s">
        <v>3135</v>
      </c>
    </row>
    <row r="2007" spans="1:9" x14ac:dyDescent="0.25">
      <c r="A2007" s="6">
        <v>45992.708333333343</v>
      </c>
      <c r="B2007" s="5" t="s">
        <v>26</v>
      </c>
      <c r="C2007" s="8">
        <v>512.3339418747737</v>
      </c>
      <c r="D2007" s="8">
        <v>512.9217642386742</v>
      </c>
      <c r="E2007" s="8">
        <v>512.05294279432974</v>
      </c>
      <c r="F2007" s="8">
        <v>512.39341612724047</v>
      </c>
      <c r="G2007" s="7">
        <v>42918</v>
      </c>
      <c r="H2007" s="9">
        <v>21990900.633348908</v>
      </c>
      <c r="I2007" s="5" t="s">
        <v>3136</v>
      </c>
    </row>
    <row r="2008" spans="1:9" x14ac:dyDescent="0.25">
      <c r="A2008" s="6">
        <v>45992.711805555547</v>
      </c>
      <c r="B2008" s="5" t="s">
        <v>26</v>
      </c>
      <c r="C2008" s="8">
        <v>512.04102728276655</v>
      </c>
      <c r="D2008" s="8">
        <v>512.18647219505112</v>
      </c>
      <c r="E2008" s="8">
        <v>511.53551994617851</v>
      </c>
      <c r="F2008" s="8">
        <v>512.07520692446371</v>
      </c>
      <c r="G2008" s="7">
        <v>27403</v>
      </c>
      <c r="H2008" s="9">
        <v>14032396.89535108</v>
      </c>
      <c r="I2008" s="5" t="s">
        <v>3137</v>
      </c>
    </row>
    <row r="2009" spans="1:9" x14ac:dyDescent="0.25">
      <c r="A2009" s="6">
        <v>45992.715277777781</v>
      </c>
      <c r="B2009" s="5" t="s">
        <v>26</v>
      </c>
      <c r="C2009" s="8">
        <v>511.62551733177582</v>
      </c>
      <c r="D2009" s="8">
        <v>511.85463796765401</v>
      </c>
      <c r="E2009" s="8">
        <v>511.57535251763773</v>
      </c>
      <c r="F2009" s="8">
        <v>511.6088862856659</v>
      </c>
      <c r="G2009" s="7">
        <v>59198</v>
      </c>
      <c r="H2009" s="9">
        <v>30286222.85033885</v>
      </c>
      <c r="I2009" s="5" t="s">
        <v>3138</v>
      </c>
    </row>
    <row r="2010" spans="1:9" x14ac:dyDescent="0.25">
      <c r="A2010" s="6">
        <v>45992.71875</v>
      </c>
      <c r="B2010" s="5" t="s">
        <v>26</v>
      </c>
      <c r="C2010" s="8">
        <v>511.82636824846492</v>
      </c>
      <c r="D2010" s="8">
        <v>511.94407401820951</v>
      </c>
      <c r="E2010" s="8">
        <v>511.71313372268833</v>
      </c>
      <c r="F2010" s="8">
        <v>511.85574630852068</v>
      </c>
      <c r="G2010" s="7">
        <v>36078</v>
      </c>
      <c r="H2010" s="9">
        <v>18466731.615318809</v>
      </c>
      <c r="I2010" s="5" t="s">
        <v>3139</v>
      </c>
    </row>
    <row r="2011" spans="1:9" x14ac:dyDescent="0.25">
      <c r="A2011" s="6">
        <v>45992.722222222219</v>
      </c>
      <c r="B2011" s="5" t="s">
        <v>26</v>
      </c>
      <c r="C2011" s="8">
        <v>511.73961706588972</v>
      </c>
      <c r="D2011" s="8">
        <v>511.93847755181912</v>
      </c>
      <c r="E2011" s="8">
        <v>511.67749327285043</v>
      </c>
      <c r="F2011" s="8">
        <v>511.86083965054007</v>
      </c>
      <c r="G2011" s="7">
        <v>92248</v>
      </c>
      <c r="H2011" s="9">
        <v>47218138.736083023</v>
      </c>
      <c r="I2011" s="5" t="s">
        <v>3140</v>
      </c>
    </row>
    <row r="2012" spans="1:9" x14ac:dyDescent="0.25">
      <c r="A2012" s="6">
        <v>45992.725694444453</v>
      </c>
      <c r="B2012" s="5" t="s">
        <v>26</v>
      </c>
      <c r="C2012" s="8">
        <v>512.15405908032074</v>
      </c>
      <c r="D2012" s="8">
        <v>512.39767842276751</v>
      </c>
      <c r="E2012" s="8">
        <v>511.94203791062858</v>
      </c>
      <c r="F2012" s="8">
        <v>512.10908420817827</v>
      </c>
      <c r="G2012" s="7">
        <v>28325</v>
      </c>
      <c r="H2012" s="9">
        <v>14505489.810196649</v>
      </c>
      <c r="I2012" s="5" t="s">
        <v>3141</v>
      </c>
    </row>
    <row r="2013" spans="1:9" x14ac:dyDescent="0.25">
      <c r="A2013" s="6">
        <v>45992.729166666657</v>
      </c>
      <c r="B2013" s="5" t="s">
        <v>26</v>
      </c>
      <c r="C2013" s="8">
        <v>512.63899226129695</v>
      </c>
      <c r="D2013" s="8">
        <v>512.69604528833668</v>
      </c>
      <c r="E2013" s="8">
        <v>512.30693526886193</v>
      </c>
      <c r="F2013" s="8">
        <v>512.51031945024249</v>
      </c>
      <c r="G2013" s="7">
        <v>36752</v>
      </c>
      <c r="H2013" s="9">
        <v>18835779.260435309</v>
      </c>
      <c r="I2013" s="5" t="s">
        <v>3142</v>
      </c>
    </row>
    <row r="2014" spans="1:9" x14ac:dyDescent="0.25">
      <c r="A2014" s="6">
        <v>45992.732638888891</v>
      </c>
      <c r="B2014" s="5" t="s">
        <v>26</v>
      </c>
      <c r="C2014" s="8">
        <v>512.14462035264228</v>
      </c>
      <c r="D2014" s="8">
        <v>512.45817941408154</v>
      </c>
      <c r="E2014" s="8">
        <v>511.96900608321238</v>
      </c>
      <c r="F2014" s="8">
        <v>512.28176284695462</v>
      </c>
      <c r="G2014" s="7">
        <v>103306</v>
      </c>
      <c r="H2014" s="9">
        <v>52921779.792667493</v>
      </c>
      <c r="I2014" s="5" t="s">
        <v>3143</v>
      </c>
    </row>
    <row r="2015" spans="1:9" x14ac:dyDescent="0.25">
      <c r="A2015" s="6">
        <v>45992.736111111109</v>
      </c>
      <c r="B2015" s="5" t="s">
        <v>26</v>
      </c>
      <c r="C2015" s="8">
        <v>511.66855765540691</v>
      </c>
      <c r="D2015" s="8">
        <v>511.93240346514591</v>
      </c>
      <c r="E2015" s="8">
        <v>511.47956039228848</v>
      </c>
      <c r="F2015" s="8">
        <v>511.80422601225951</v>
      </c>
      <c r="G2015" s="7">
        <v>47461</v>
      </c>
      <c r="H2015" s="9">
        <v>24290740.37076785</v>
      </c>
      <c r="I2015" s="5" t="s">
        <v>3144</v>
      </c>
    </row>
    <row r="2016" spans="1:9" x14ac:dyDescent="0.25">
      <c r="A2016" s="6">
        <v>45992.739583333343</v>
      </c>
      <c r="B2016" s="5" t="s">
        <v>26</v>
      </c>
      <c r="C2016" s="8">
        <v>512.08540233772601</v>
      </c>
      <c r="D2016" s="8">
        <v>512.26091704212581</v>
      </c>
      <c r="E2016" s="8">
        <v>511.75287811639021</v>
      </c>
      <c r="F2016" s="8">
        <v>512.08559730231514</v>
      </c>
      <c r="G2016" s="7">
        <v>57498</v>
      </c>
      <c r="H2016" s="9">
        <v>29443897.67368852</v>
      </c>
      <c r="I2016" s="5" t="s">
        <v>3145</v>
      </c>
    </row>
    <row r="2017" spans="1:9" x14ac:dyDescent="0.25">
      <c r="A2017" s="6">
        <v>45992.743055555547</v>
      </c>
      <c r="B2017" s="5" t="s">
        <v>26</v>
      </c>
      <c r="C2017" s="8">
        <v>511.40837711519259</v>
      </c>
      <c r="D2017" s="8">
        <v>511.44379922630941</v>
      </c>
      <c r="E2017" s="8">
        <v>511.195921038351</v>
      </c>
      <c r="F2017" s="8">
        <v>511.44110652857057</v>
      </c>
      <c r="G2017" s="7">
        <v>85276</v>
      </c>
      <c r="H2017" s="9">
        <v>43613651.800330393</v>
      </c>
      <c r="I2017" s="5" t="s">
        <v>3146</v>
      </c>
    </row>
    <row r="2018" spans="1:9" x14ac:dyDescent="0.25">
      <c r="A2018" s="6">
        <v>45992.746527777781</v>
      </c>
      <c r="B2018" s="5" t="s">
        <v>26</v>
      </c>
      <c r="C2018" s="8">
        <v>511.6736444383663</v>
      </c>
      <c r="D2018" s="8">
        <v>511.94161699319187</v>
      </c>
      <c r="E2018" s="8">
        <v>511.49038652294422</v>
      </c>
      <c r="F2018" s="8">
        <v>511.56797709320472</v>
      </c>
      <c r="G2018" s="7">
        <v>55685</v>
      </c>
      <c r="H2018" s="9">
        <v>28486662.8044351</v>
      </c>
      <c r="I2018" s="5" t="s">
        <v>3147</v>
      </c>
    </row>
    <row r="2019" spans="1:9" x14ac:dyDescent="0.25">
      <c r="A2019" s="6">
        <v>45992.75</v>
      </c>
      <c r="B2019" s="5" t="s">
        <v>26</v>
      </c>
      <c r="C2019" s="8">
        <v>511.56841000065481</v>
      </c>
      <c r="D2019" s="8">
        <v>512.0660262295138</v>
      </c>
      <c r="E2019" s="8">
        <v>511.3145866698103</v>
      </c>
      <c r="F2019" s="8">
        <v>511.62209460054731</v>
      </c>
      <c r="G2019" s="7">
        <v>38205</v>
      </c>
      <c r="H2019" s="9">
        <v>19546522.124213912</v>
      </c>
      <c r="I2019" s="5" t="s">
        <v>3148</v>
      </c>
    </row>
    <row r="2020" spans="1:9" x14ac:dyDescent="0.25">
      <c r="A2020" s="6">
        <v>45992.753472222219</v>
      </c>
      <c r="B2020" s="5" t="s">
        <v>26</v>
      </c>
      <c r="C2020" s="8">
        <v>511.86771510012022</v>
      </c>
      <c r="D2020" s="8">
        <v>512.3064468440441</v>
      </c>
      <c r="E2020" s="8">
        <v>511.63433039290908</v>
      </c>
      <c r="F2020" s="8">
        <v>511.89087545081787</v>
      </c>
      <c r="G2020" s="7">
        <v>79308</v>
      </c>
      <c r="H2020" s="9">
        <v>40597041.550253473</v>
      </c>
      <c r="I2020" s="5" t="s">
        <v>3149</v>
      </c>
    </row>
    <row r="2021" spans="1:9" x14ac:dyDescent="0.25">
      <c r="A2021" s="6">
        <v>45992.756944444453</v>
      </c>
      <c r="B2021" s="5" t="s">
        <v>26</v>
      </c>
      <c r="C2021" s="8">
        <v>511.35756355409973</v>
      </c>
      <c r="D2021" s="8">
        <v>511.78805202313498</v>
      </c>
      <c r="E2021" s="8">
        <v>511.12560169995157</v>
      </c>
      <c r="F2021" s="8">
        <v>511.5276723547932</v>
      </c>
      <c r="G2021" s="7">
        <v>80095</v>
      </c>
      <c r="H2021" s="9">
        <v>40970808.91725716</v>
      </c>
      <c r="I2021" s="5" t="s">
        <v>3150</v>
      </c>
    </row>
    <row r="2022" spans="1:9" x14ac:dyDescent="0.25">
      <c r="A2022" s="6">
        <v>45992.760416666657</v>
      </c>
      <c r="B2022" s="5" t="s">
        <v>26</v>
      </c>
      <c r="C2022" s="8">
        <v>511.55411568048379</v>
      </c>
      <c r="D2022" s="8">
        <v>512.07860335968746</v>
      </c>
      <c r="E2022" s="8">
        <v>511.1674869755638</v>
      </c>
      <c r="F2022" s="8">
        <v>511.41421918666668</v>
      </c>
      <c r="G2022" s="7">
        <v>77893</v>
      </c>
      <c r="H2022" s="9">
        <v>39835587.775107034</v>
      </c>
      <c r="I2022" s="5" t="s">
        <v>3151</v>
      </c>
    </row>
    <row r="2023" spans="1:9" x14ac:dyDescent="0.25">
      <c r="A2023" s="6">
        <v>45992.763888888891</v>
      </c>
      <c r="B2023" s="5" t="s">
        <v>26</v>
      </c>
      <c r="C2023" s="8">
        <v>512.06303755289071</v>
      </c>
      <c r="D2023" s="8">
        <v>512.09732112635322</v>
      </c>
      <c r="E2023" s="8">
        <v>511.83424542463251</v>
      </c>
      <c r="F2023" s="8">
        <v>511.97416650763381</v>
      </c>
      <c r="G2023" s="7">
        <v>86595</v>
      </c>
      <c r="H2023" s="9">
        <v>44334402.948728547</v>
      </c>
      <c r="I2023" s="5" t="s">
        <v>3152</v>
      </c>
    </row>
    <row r="2024" spans="1:9" x14ac:dyDescent="0.25">
      <c r="A2024" s="6">
        <v>45992.767361111109</v>
      </c>
      <c r="B2024" s="5" t="s">
        <v>26</v>
      </c>
      <c r="C2024" s="8">
        <v>512.28411819460871</v>
      </c>
      <c r="D2024" s="8">
        <v>512.37010200884072</v>
      </c>
      <c r="E2024" s="8">
        <v>512.15983961268466</v>
      </c>
      <c r="F2024" s="8">
        <v>512.16443371179173</v>
      </c>
      <c r="G2024" s="7">
        <v>37403</v>
      </c>
      <c r="H2024" s="9">
        <v>19156486.314122152</v>
      </c>
      <c r="I2024" s="5" t="s">
        <v>3153</v>
      </c>
    </row>
    <row r="2025" spans="1:9" x14ac:dyDescent="0.25">
      <c r="A2025" s="6">
        <v>45992.770833333343</v>
      </c>
      <c r="B2025" s="5" t="s">
        <v>26</v>
      </c>
      <c r="C2025" s="8">
        <v>512.68368947131603</v>
      </c>
      <c r="D2025" s="8">
        <v>512.9623886742794</v>
      </c>
      <c r="E2025" s="8">
        <v>512.4457190836913</v>
      </c>
      <c r="F2025" s="8">
        <v>512.61453950364717</v>
      </c>
      <c r="G2025" s="7">
        <v>47207</v>
      </c>
      <c r="H2025" s="9">
        <v>24198994.566348668</v>
      </c>
      <c r="I2025" s="5" t="s">
        <v>3154</v>
      </c>
    </row>
    <row r="2026" spans="1:9" x14ac:dyDescent="0.25">
      <c r="A2026" s="6">
        <v>45992.774305555547</v>
      </c>
      <c r="B2026" s="5" t="s">
        <v>26</v>
      </c>
      <c r="C2026" s="8">
        <v>513.197641119688</v>
      </c>
      <c r="D2026" s="8">
        <v>513.2690308277264</v>
      </c>
      <c r="E2026" s="8">
        <v>512.7016818692158</v>
      </c>
      <c r="F2026" s="8">
        <v>512.89207000477631</v>
      </c>
      <c r="G2026" s="7">
        <v>52873</v>
      </c>
      <c r="H2026" s="9">
        <v>27118142.417362541</v>
      </c>
      <c r="I2026" s="5" t="s">
        <v>3155</v>
      </c>
    </row>
    <row r="2027" spans="1:9" x14ac:dyDescent="0.25">
      <c r="A2027" s="6">
        <v>45992.777777777781</v>
      </c>
      <c r="B2027" s="5" t="s">
        <v>26</v>
      </c>
      <c r="C2027" s="8">
        <v>512.99345291437351</v>
      </c>
      <c r="D2027" s="8">
        <v>513.26717735219563</v>
      </c>
      <c r="E2027" s="8">
        <v>512.44794126207432</v>
      </c>
      <c r="F2027" s="8">
        <v>513.04465217332415</v>
      </c>
      <c r="G2027" s="7">
        <v>98854</v>
      </c>
      <c r="H2027" s="9">
        <v>50716516.045941778</v>
      </c>
      <c r="I2027" s="5" t="s">
        <v>3156</v>
      </c>
    </row>
    <row r="2028" spans="1:9" x14ac:dyDescent="0.25">
      <c r="A2028" s="6">
        <v>45992.78125</v>
      </c>
      <c r="B2028" s="5" t="s">
        <v>26</v>
      </c>
      <c r="C2028" s="8">
        <v>513.01389294631906</v>
      </c>
      <c r="D2028" s="8">
        <v>513.42211796198126</v>
      </c>
      <c r="E2028" s="8">
        <v>512.69848581948906</v>
      </c>
      <c r="F2028" s="8">
        <v>513.00987877326236</v>
      </c>
      <c r="G2028" s="7">
        <v>33081</v>
      </c>
      <c r="H2028" s="9">
        <v>16970879.799698289</v>
      </c>
      <c r="I2028" s="5" t="s">
        <v>3157</v>
      </c>
    </row>
    <row r="2029" spans="1:9" x14ac:dyDescent="0.25">
      <c r="A2029" s="6">
        <v>45992.784722222219</v>
      </c>
      <c r="B2029" s="5" t="s">
        <v>26</v>
      </c>
      <c r="C2029" s="8">
        <v>512.54616933621367</v>
      </c>
      <c r="D2029" s="8">
        <v>512.65234700137501</v>
      </c>
      <c r="E2029" s="8">
        <v>512.1441447231407</v>
      </c>
      <c r="F2029" s="8">
        <v>512.40617690622139</v>
      </c>
      <c r="G2029" s="7">
        <v>79452</v>
      </c>
      <c r="H2029" s="9">
        <v>40711695.567553103</v>
      </c>
      <c r="I2029" s="5" t="s">
        <v>3158</v>
      </c>
    </row>
    <row r="2030" spans="1:9" x14ac:dyDescent="0.25">
      <c r="A2030" s="6">
        <v>45992.788194444453</v>
      </c>
      <c r="B2030" s="5" t="s">
        <v>26</v>
      </c>
      <c r="C2030" s="8">
        <v>512.42497159407674</v>
      </c>
      <c r="D2030" s="8">
        <v>512.66717683833906</v>
      </c>
      <c r="E2030" s="8">
        <v>512.22854213885546</v>
      </c>
      <c r="F2030" s="8">
        <v>512.3604488319852</v>
      </c>
      <c r="G2030" s="7">
        <v>56451</v>
      </c>
      <c r="H2030" s="9">
        <v>28923259.697014399</v>
      </c>
      <c r="I2030" s="5" t="s">
        <v>3159</v>
      </c>
    </row>
    <row r="2031" spans="1:9" x14ac:dyDescent="0.25">
      <c r="A2031" s="6">
        <v>45992.791666666657</v>
      </c>
      <c r="B2031" s="5" t="s">
        <v>26</v>
      </c>
      <c r="C2031" s="8">
        <v>512.6465593982366</v>
      </c>
      <c r="D2031" s="8">
        <v>513.12893019258877</v>
      </c>
      <c r="E2031" s="8">
        <v>512.25021928606657</v>
      </c>
      <c r="F2031" s="8">
        <v>512.49086405297055</v>
      </c>
      <c r="G2031" s="7">
        <v>46348</v>
      </c>
      <c r="H2031" s="9">
        <v>23752926.567127079</v>
      </c>
      <c r="I2031" s="5" t="s">
        <v>3160</v>
      </c>
    </row>
    <row r="2032" spans="1:9" x14ac:dyDescent="0.25">
      <c r="A2032" s="6">
        <v>45992.795138888891</v>
      </c>
      <c r="B2032" s="5" t="s">
        <v>26</v>
      </c>
      <c r="C2032" s="8">
        <v>512.43119193397717</v>
      </c>
      <c r="D2032" s="8">
        <v>512.56143923197726</v>
      </c>
      <c r="E2032" s="8">
        <v>512.09866098682085</v>
      </c>
      <c r="F2032" s="8">
        <v>512.54181636511612</v>
      </c>
      <c r="G2032" s="7">
        <v>62619</v>
      </c>
      <c r="H2032" s="9">
        <v>32094855.998967212</v>
      </c>
      <c r="I2032" s="5" t="s">
        <v>3161</v>
      </c>
    </row>
    <row r="2033" spans="1:9" x14ac:dyDescent="0.25">
      <c r="A2033" s="6">
        <v>45992.798611111109</v>
      </c>
      <c r="B2033" s="5" t="s">
        <v>26</v>
      </c>
      <c r="C2033" s="8">
        <v>513.08719965492241</v>
      </c>
      <c r="D2033" s="8">
        <v>513.63609073398845</v>
      </c>
      <c r="E2033" s="8">
        <v>513.07378767017838</v>
      </c>
      <c r="F2033" s="8">
        <v>513.09107013042387</v>
      </c>
      <c r="G2033" s="7">
        <v>66116</v>
      </c>
      <c r="H2033" s="9">
        <v>33923529.192743108</v>
      </c>
      <c r="I2033" s="5" t="s">
        <v>3162</v>
      </c>
    </row>
    <row r="2034" spans="1:9" x14ac:dyDescent="0.25">
      <c r="A2034" s="6">
        <v>45992.802083333343</v>
      </c>
      <c r="B2034" s="5" t="s">
        <v>26</v>
      </c>
      <c r="C2034" s="8">
        <v>512.77192808083339</v>
      </c>
      <c r="D2034" s="8">
        <v>513.17635927371452</v>
      </c>
      <c r="E2034" s="8">
        <v>512.63346747488674</v>
      </c>
      <c r="F2034" s="8">
        <v>512.79491701814561</v>
      </c>
      <c r="G2034" s="7">
        <v>41215</v>
      </c>
      <c r="H2034" s="9">
        <v>21134842.504902869</v>
      </c>
      <c r="I2034" s="5" t="s">
        <v>3163</v>
      </c>
    </row>
    <row r="2035" spans="1:9" x14ac:dyDescent="0.25">
      <c r="A2035" s="6">
        <v>45992.805555555547</v>
      </c>
      <c r="B2035" s="5" t="s">
        <v>26</v>
      </c>
      <c r="C2035" s="8">
        <v>512.31596229237891</v>
      </c>
      <c r="D2035" s="8">
        <v>512.49073649252466</v>
      </c>
      <c r="E2035" s="8">
        <v>511.85685081257702</v>
      </c>
      <c r="F2035" s="8">
        <v>512.21855975870983</v>
      </c>
      <c r="G2035" s="7">
        <v>55736</v>
      </c>
      <c r="H2035" s="9">
        <v>28549013.64671145</v>
      </c>
      <c r="I2035" s="5" t="s">
        <v>3164</v>
      </c>
    </row>
    <row r="2036" spans="1:9" x14ac:dyDescent="0.25">
      <c r="A2036" s="6">
        <v>45992.809027777781</v>
      </c>
      <c r="B2036" s="5" t="s">
        <v>26</v>
      </c>
      <c r="C2036" s="8">
        <v>512.39708075364592</v>
      </c>
      <c r="D2036" s="8">
        <v>512.64180765193112</v>
      </c>
      <c r="E2036" s="8">
        <v>511.54380769008259</v>
      </c>
      <c r="F2036" s="8">
        <v>512.2497853479108</v>
      </c>
      <c r="G2036" s="7">
        <v>47383</v>
      </c>
      <c r="H2036" s="9">
        <v>24271931.57914006</v>
      </c>
      <c r="I2036" s="5" t="s">
        <v>3165</v>
      </c>
    </row>
    <row r="2037" spans="1:9" x14ac:dyDescent="0.25">
      <c r="A2037" s="6">
        <v>45992.8125</v>
      </c>
      <c r="B2037" s="5" t="s">
        <v>26</v>
      </c>
      <c r="C2037" s="8">
        <v>511.42518022874611</v>
      </c>
      <c r="D2037" s="8">
        <v>511.74491091986988</v>
      </c>
      <c r="E2037" s="8">
        <v>511.08674695711892</v>
      </c>
      <c r="F2037" s="8">
        <v>511.44024494013479</v>
      </c>
      <c r="G2037" s="7">
        <v>41580</v>
      </c>
      <c r="H2037" s="9">
        <v>21265685.384610809</v>
      </c>
      <c r="I2037" s="5" t="s">
        <v>3166</v>
      </c>
    </row>
    <row r="2038" spans="1:9" x14ac:dyDescent="0.25">
      <c r="A2038" s="6">
        <v>45992.815972222219</v>
      </c>
      <c r="B2038" s="5" t="s">
        <v>26</v>
      </c>
      <c r="C2038" s="8">
        <v>511.54952192336168</v>
      </c>
      <c r="D2038" s="8">
        <v>511.93938392178308</v>
      </c>
      <c r="E2038" s="8">
        <v>511.40040209291089</v>
      </c>
      <c r="F2038" s="8">
        <v>511.54509592098788</v>
      </c>
      <c r="G2038" s="7">
        <v>147942</v>
      </c>
      <c r="H2038" s="9">
        <v>75679004.580742791</v>
      </c>
      <c r="I2038" s="5" t="s">
        <v>3167</v>
      </c>
    </row>
    <row r="2039" spans="1:9" x14ac:dyDescent="0.25">
      <c r="A2039" s="6">
        <v>45992.819444444453</v>
      </c>
      <c r="B2039" s="5" t="s">
        <v>26</v>
      </c>
      <c r="C2039" s="8">
        <v>512.08432067973865</v>
      </c>
      <c r="D2039" s="8">
        <v>512.47907314086274</v>
      </c>
      <c r="E2039" s="8">
        <v>511.8029228693137</v>
      </c>
      <c r="F2039" s="8">
        <v>511.94805247180511</v>
      </c>
      <c r="G2039" s="7">
        <v>112871</v>
      </c>
      <c r="H2039" s="9">
        <v>57784088.63054511</v>
      </c>
      <c r="I2039" s="5" t="s">
        <v>3168</v>
      </c>
    </row>
    <row r="2040" spans="1:9" x14ac:dyDescent="0.25">
      <c r="A2040" s="6">
        <v>45992.822916666657</v>
      </c>
      <c r="B2040" s="5" t="s">
        <v>26</v>
      </c>
      <c r="C2040" s="8">
        <v>512.105449917751</v>
      </c>
      <c r="D2040" s="8">
        <v>512.35119113340545</v>
      </c>
      <c r="E2040" s="8">
        <v>511.4578748394718</v>
      </c>
      <c r="F2040" s="8">
        <v>511.83297655672959</v>
      </c>
      <c r="G2040" s="7">
        <v>69879</v>
      </c>
      <c r="H2040" s="9">
        <v>35766376.568807714</v>
      </c>
      <c r="I2040" s="5" t="s">
        <v>3169</v>
      </c>
    </row>
    <row r="2041" spans="1:9" x14ac:dyDescent="0.25">
      <c r="A2041" s="6">
        <v>45992.826388888891</v>
      </c>
      <c r="B2041" s="5" t="s">
        <v>26</v>
      </c>
      <c r="C2041" s="8">
        <v>512.04271271248672</v>
      </c>
      <c r="D2041" s="8">
        <v>512.34722292732317</v>
      </c>
      <c r="E2041" s="8">
        <v>511.90742259033749</v>
      </c>
      <c r="F2041" s="8">
        <v>512.30736201027628</v>
      </c>
      <c r="G2041" s="7">
        <v>61983</v>
      </c>
      <c r="H2041" s="9">
        <v>31754347.219482951</v>
      </c>
      <c r="I2041" s="5" t="s">
        <v>3170</v>
      </c>
    </row>
    <row r="2042" spans="1:9" x14ac:dyDescent="0.25">
      <c r="A2042" s="6">
        <v>45992.829861111109</v>
      </c>
      <c r="B2042" s="5" t="s">
        <v>26</v>
      </c>
      <c r="C2042" s="8">
        <v>511.9326590319796</v>
      </c>
      <c r="D2042" s="8">
        <v>512.24459971709553</v>
      </c>
      <c r="E2042" s="8">
        <v>511.83599814320542</v>
      </c>
      <c r="F2042" s="8">
        <v>512.11973035645076</v>
      </c>
      <c r="G2042" s="7">
        <v>59596</v>
      </c>
      <c r="H2042" s="9">
        <v>30520287.450323042</v>
      </c>
      <c r="I2042" s="5" t="s">
        <v>3171</v>
      </c>
    </row>
    <row r="2043" spans="1:9" x14ac:dyDescent="0.25">
      <c r="A2043" s="6">
        <v>45992.833333333343</v>
      </c>
      <c r="B2043" s="5" t="s">
        <v>26</v>
      </c>
      <c r="C2043" s="8">
        <v>512.49279134243534</v>
      </c>
      <c r="D2043" s="8">
        <v>512.83254561728438</v>
      </c>
      <c r="E2043" s="8">
        <v>512.25785963506041</v>
      </c>
      <c r="F2043" s="8">
        <v>512.54842426046923</v>
      </c>
      <c r="G2043" s="7">
        <v>44089</v>
      </c>
      <c r="H2043" s="9">
        <v>22597747.477219831</v>
      </c>
      <c r="I2043" s="5" t="s">
        <v>3172</v>
      </c>
    </row>
    <row r="2044" spans="1:9" x14ac:dyDescent="0.25">
      <c r="A2044" s="6">
        <v>45992.836805555547</v>
      </c>
      <c r="B2044" s="5" t="s">
        <v>26</v>
      </c>
      <c r="C2044" s="8">
        <v>512.88294591562817</v>
      </c>
      <c r="D2044" s="8">
        <v>513.03387579851574</v>
      </c>
      <c r="E2044" s="8">
        <v>512.76072597056998</v>
      </c>
      <c r="F2044" s="8">
        <v>512.92547739670624</v>
      </c>
      <c r="G2044" s="7">
        <v>94646</v>
      </c>
      <c r="H2044" s="9">
        <v>48546344.73368866</v>
      </c>
      <c r="I2044" s="5" t="s">
        <v>3173</v>
      </c>
    </row>
    <row r="2045" spans="1:9" x14ac:dyDescent="0.25">
      <c r="A2045" s="6">
        <v>45992.840277777781</v>
      </c>
      <c r="B2045" s="5" t="s">
        <v>26</v>
      </c>
      <c r="C2045" s="8">
        <v>512.74184849234985</v>
      </c>
      <c r="D2045" s="8">
        <v>513.43455712216553</v>
      </c>
      <c r="E2045" s="8">
        <v>512.35600585795453</v>
      </c>
      <c r="F2045" s="8">
        <v>513.14442288465114</v>
      </c>
      <c r="G2045" s="7">
        <v>54328</v>
      </c>
      <c r="H2045" s="9">
        <v>27878110.206477329</v>
      </c>
      <c r="I2045" s="5" t="s">
        <v>3174</v>
      </c>
    </row>
    <row r="2046" spans="1:9" x14ac:dyDescent="0.25">
      <c r="A2046" s="6">
        <v>45992.84375</v>
      </c>
      <c r="B2046" s="5" t="s">
        <v>26</v>
      </c>
      <c r="C2046" s="8">
        <v>513.46863623156491</v>
      </c>
      <c r="D2046" s="8">
        <v>514.00024291076556</v>
      </c>
      <c r="E2046" s="8">
        <v>512.80861732126766</v>
      </c>
      <c r="F2046" s="8">
        <v>513.45797374576102</v>
      </c>
      <c r="G2046" s="7">
        <v>59797</v>
      </c>
      <c r="H2046" s="9">
        <v>30703246.45607527</v>
      </c>
      <c r="I2046" s="5" t="s">
        <v>3175</v>
      </c>
    </row>
    <row r="2047" spans="1:9" x14ac:dyDescent="0.25">
      <c r="A2047" s="6">
        <v>45992.847222222219</v>
      </c>
      <c r="B2047" s="5" t="s">
        <v>26</v>
      </c>
      <c r="C2047" s="8">
        <v>513.44868912305128</v>
      </c>
      <c r="D2047" s="8">
        <v>513.61840117308589</v>
      </c>
      <c r="E2047" s="8">
        <v>513.24881609281113</v>
      </c>
      <c r="F2047" s="8">
        <v>513.32370379805536</v>
      </c>
      <c r="G2047" s="7">
        <v>97159</v>
      </c>
      <c r="H2047" s="9">
        <v>49874017.73731526</v>
      </c>
      <c r="I2047" s="5" t="s">
        <v>3176</v>
      </c>
    </row>
    <row r="2048" spans="1:9" x14ac:dyDescent="0.25">
      <c r="A2048" s="6">
        <v>45992.850694444453</v>
      </c>
      <c r="B2048" s="5" t="s">
        <v>26</v>
      </c>
      <c r="C2048" s="8">
        <v>513.59220075891744</v>
      </c>
      <c r="D2048" s="8">
        <v>513.73394311770494</v>
      </c>
      <c r="E2048" s="8">
        <v>513.36126833872356</v>
      </c>
      <c r="F2048" s="8">
        <v>513.48314049203714</v>
      </c>
      <c r="G2048" s="7">
        <v>108157</v>
      </c>
      <c r="H2048" s="9">
        <v>55536796.026197262</v>
      </c>
      <c r="I2048" s="5" t="s">
        <v>3177</v>
      </c>
    </row>
    <row r="2049" spans="1:9" x14ac:dyDescent="0.25">
      <c r="A2049" s="6">
        <v>45992.854166666657</v>
      </c>
      <c r="B2049" s="5" t="s">
        <v>26</v>
      </c>
      <c r="C2049" s="8">
        <v>512.77732130070842</v>
      </c>
      <c r="D2049" s="8">
        <v>513.11233615427477</v>
      </c>
      <c r="E2049" s="8">
        <v>512.43744932295544</v>
      </c>
      <c r="F2049" s="8">
        <v>512.96878988582068</v>
      </c>
      <c r="G2049" s="7">
        <v>61013</v>
      </c>
      <c r="H2049" s="9">
        <v>31297764.77730358</v>
      </c>
      <c r="I2049" s="5" t="s">
        <v>3178</v>
      </c>
    </row>
    <row r="2050" spans="1:9" x14ac:dyDescent="0.25">
      <c r="A2050" s="6">
        <v>45992.857638888891</v>
      </c>
      <c r="B2050" s="5" t="s">
        <v>26</v>
      </c>
      <c r="C2050" s="8">
        <v>512.72032022033898</v>
      </c>
      <c r="D2050" s="8">
        <v>512.73906006844106</v>
      </c>
      <c r="E2050" s="8">
        <v>512.62626664987965</v>
      </c>
      <c r="F2050" s="8">
        <v>512.62983773145845</v>
      </c>
      <c r="G2050" s="7">
        <v>37714</v>
      </c>
      <c r="H2050" s="9">
        <v>19333321.70020422</v>
      </c>
      <c r="I2050" s="5" t="s">
        <v>3179</v>
      </c>
    </row>
    <row r="2051" spans="1:9" x14ac:dyDescent="0.25">
      <c r="A2051" s="6">
        <v>45992.861111111109</v>
      </c>
      <c r="B2051" s="5" t="s">
        <v>26</v>
      </c>
      <c r="C2051" s="8">
        <v>511.84264263789481</v>
      </c>
      <c r="D2051" s="8">
        <v>512.01157806241258</v>
      </c>
      <c r="E2051" s="8">
        <v>511.5600596062061</v>
      </c>
      <c r="F2051" s="8">
        <v>511.77527402126759</v>
      </c>
      <c r="G2051" s="7">
        <v>120765</v>
      </c>
      <c r="H2051" s="9">
        <v>61804540.967178382</v>
      </c>
      <c r="I2051" s="5" t="s">
        <v>3180</v>
      </c>
    </row>
    <row r="2052" spans="1:9" x14ac:dyDescent="0.25">
      <c r="A2052" s="6">
        <v>45992.864583333343</v>
      </c>
      <c r="B2052" s="5" t="s">
        <v>26</v>
      </c>
      <c r="C2052" s="8">
        <v>511.97420400434748</v>
      </c>
      <c r="D2052" s="8">
        <v>512.23994388481606</v>
      </c>
      <c r="E2052" s="8">
        <v>511.79541631027178</v>
      </c>
      <c r="F2052" s="8">
        <v>512.15812159919369</v>
      </c>
      <c r="G2052" s="7">
        <v>66784</v>
      </c>
      <c r="H2052" s="9">
        <v>34203967.992880553</v>
      </c>
      <c r="I2052" s="5" t="s">
        <v>3181</v>
      </c>
    </row>
    <row r="2053" spans="1:9" x14ac:dyDescent="0.25">
      <c r="A2053" s="6">
        <v>45992.868055555547</v>
      </c>
      <c r="B2053" s="5" t="s">
        <v>26</v>
      </c>
      <c r="C2053" s="8">
        <v>512.52334633159398</v>
      </c>
      <c r="D2053" s="8">
        <v>512.74615711083709</v>
      </c>
      <c r="E2053" s="8">
        <v>512.47738099719209</v>
      </c>
      <c r="F2053" s="8">
        <v>512.57065131010097</v>
      </c>
      <c r="G2053" s="7">
        <v>71242</v>
      </c>
      <c r="H2053" s="9">
        <v>36516558.340634212</v>
      </c>
      <c r="I2053" s="5" t="s">
        <v>3182</v>
      </c>
    </row>
    <row r="2054" spans="1:9" x14ac:dyDescent="0.25">
      <c r="A2054" s="6">
        <v>45992.871527777781</v>
      </c>
      <c r="B2054" s="5" t="s">
        <v>26</v>
      </c>
      <c r="C2054" s="8">
        <v>512.95489588998942</v>
      </c>
      <c r="D2054" s="8">
        <v>513.31117615468247</v>
      </c>
      <c r="E2054" s="8">
        <v>512.55571320628042</v>
      </c>
      <c r="F2054" s="8">
        <v>512.96183875565089</v>
      </c>
      <c r="G2054" s="7">
        <v>44339</v>
      </c>
      <c r="H2054" s="9">
        <v>22744214.96858681</v>
      </c>
      <c r="I2054" s="5" t="s">
        <v>3183</v>
      </c>
    </row>
    <row r="2055" spans="1:9" x14ac:dyDescent="0.25">
      <c r="A2055" s="6">
        <v>45992.875</v>
      </c>
      <c r="B2055" s="5" t="s">
        <v>26</v>
      </c>
      <c r="C2055" s="8">
        <v>512.89273277535688</v>
      </c>
      <c r="D2055" s="8">
        <v>513.48317080370168</v>
      </c>
      <c r="E2055" s="8">
        <v>512.61865544942032</v>
      </c>
      <c r="F2055" s="8">
        <v>512.89556060119321</v>
      </c>
      <c r="G2055" s="7">
        <v>93578</v>
      </c>
      <c r="H2055" s="9">
        <v>47995740.769938461</v>
      </c>
      <c r="I2055" s="5" t="s">
        <v>3184</v>
      </c>
    </row>
    <row r="2056" spans="1:9" x14ac:dyDescent="0.25">
      <c r="A2056" s="6">
        <v>45993.604166666657</v>
      </c>
      <c r="B2056" s="5" t="s">
        <v>26</v>
      </c>
      <c r="C2056" s="8">
        <v>513.18343792041094</v>
      </c>
      <c r="D2056" s="8">
        <v>513.2521128250113</v>
      </c>
      <c r="E2056" s="8">
        <v>512.87225509304426</v>
      </c>
      <c r="F2056" s="8">
        <v>513.17074398064415</v>
      </c>
      <c r="G2056" s="7">
        <v>39919</v>
      </c>
      <c r="H2056" s="9">
        <v>20485262.92896333</v>
      </c>
      <c r="I2056" s="5" t="s">
        <v>3185</v>
      </c>
    </row>
    <row r="2057" spans="1:9" x14ac:dyDescent="0.25">
      <c r="A2057" s="6">
        <v>45993.607638888891</v>
      </c>
      <c r="B2057" s="5" t="s">
        <v>26</v>
      </c>
      <c r="C2057" s="8">
        <v>513.774347755078</v>
      </c>
      <c r="D2057" s="8">
        <v>513.97233921931115</v>
      </c>
      <c r="E2057" s="8">
        <v>513.45970496709072</v>
      </c>
      <c r="F2057" s="8">
        <v>513.85957508990134</v>
      </c>
      <c r="G2057" s="7">
        <v>66982</v>
      </c>
      <c r="H2057" s="9">
        <v>34419342.058671772</v>
      </c>
      <c r="I2057" s="5" t="s">
        <v>3186</v>
      </c>
    </row>
    <row r="2058" spans="1:9" x14ac:dyDescent="0.25">
      <c r="A2058" s="6">
        <v>45993.611111111109</v>
      </c>
      <c r="B2058" s="5" t="s">
        <v>26</v>
      </c>
      <c r="C2058" s="8">
        <v>513.45762807077881</v>
      </c>
      <c r="D2058" s="8">
        <v>513.74505490340107</v>
      </c>
      <c r="E2058" s="8">
        <v>513.10545992939262</v>
      </c>
      <c r="F2058" s="8">
        <v>513.47012542134848</v>
      </c>
      <c r="G2058" s="7">
        <v>94080</v>
      </c>
      <c r="H2058" s="9">
        <v>48307269.399640463</v>
      </c>
      <c r="I2058" s="5" t="s">
        <v>3187</v>
      </c>
    </row>
    <row r="2059" spans="1:9" x14ac:dyDescent="0.25">
      <c r="A2059" s="6">
        <v>45993.614583333343</v>
      </c>
      <c r="B2059" s="5" t="s">
        <v>26</v>
      </c>
      <c r="C2059" s="8">
        <v>512.911815108734</v>
      </c>
      <c r="D2059" s="8">
        <v>513.51620138843407</v>
      </c>
      <c r="E2059" s="8">
        <v>512.6766061404353</v>
      </c>
      <c r="F2059" s="8">
        <v>513.11919266872667</v>
      </c>
      <c r="G2059" s="7">
        <v>37732</v>
      </c>
      <c r="H2059" s="9">
        <v>19361013.377776399</v>
      </c>
      <c r="I2059" s="5" t="s">
        <v>3188</v>
      </c>
    </row>
    <row r="2060" spans="1:9" x14ac:dyDescent="0.25">
      <c r="A2060" s="6">
        <v>45993.618055555547</v>
      </c>
      <c r="B2060" s="5" t="s">
        <v>26</v>
      </c>
      <c r="C2060" s="8">
        <v>512.68878985469212</v>
      </c>
      <c r="D2060" s="8">
        <v>513.15052747054892</v>
      </c>
      <c r="E2060" s="8">
        <v>512.67679421684886</v>
      </c>
      <c r="F2060" s="8">
        <v>512.70464364877307</v>
      </c>
      <c r="G2060" s="7">
        <v>54050</v>
      </c>
      <c r="H2060" s="9">
        <v>27711685.98921619</v>
      </c>
      <c r="I2060" s="5" t="s">
        <v>3189</v>
      </c>
    </row>
    <row r="2061" spans="1:9" x14ac:dyDescent="0.25">
      <c r="A2061" s="6">
        <v>45993.621527777781</v>
      </c>
      <c r="B2061" s="5" t="s">
        <v>26</v>
      </c>
      <c r="C2061" s="8">
        <v>512.7470515873573</v>
      </c>
      <c r="D2061" s="8">
        <v>513.34625978995678</v>
      </c>
      <c r="E2061" s="8">
        <v>512.45671024901867</v>
      </c>
      <c r="F2061" s="8">
        <v>513.00851428352371</v>
      </c>
      <c r="G2061" s="7">
        <v>87239</v>
      </c>
      <c r="H2061" s="9">
        <v>44754349.777580328</v>
      </c>
      <c r="I2061" s="5" t="s">
        <v>3190</v>
      </c>
    </row>
    <row r="2062" spans="1:9" x14ac:dyDescent="0.25">
      <c r="A2062" s="6">
        <v>45993.625</v>
      </c>
      <c r="B2062" s="5" t="s">
        <v>26</v>
      </c>
      <c r="C2062" s="8">
        <v>513.3168525216123</v>
      </c>
      <c r="D2062" s="8">
        <v>513.4099441445743</v>
      </c>
      <c r="E2062" s="8">
        <v>513.18183833368698</v>
      </c>
      <c r="F2062" s="8">
        <v>513.25710047064547</v>
      </c>
      <c r="G2062" s="7">
        <v>110088</v>
      </c>
      <c r="H2062" s="9">
        <v>56503447.676612422</v>
      </c>
      <c r="I2062" s="5" t="s">
        <v>3191</v>
      </c>
    </row>
    <row r="2063" spans="1:9" x14ac:dyDescent="0.25">
      <c r="A2063" s="6">
        <v>45993.628472222219</v>
      </c>
      <c r="B2063" s="5" t="s">
        <v>26</v>
      </c>
      <c r="C2063" s="8">
        <v>512.99222863863679</v>
      </c>
      <c r="D2063" s="8">
        <v>513.00836212411161</v>
      </c>
      <c r="E2063" s="8">
        <v>512.32263267373639</v>
      </c>
      <c r="F2063" s="8">
        <v>512.79953533154162</v>
      </c>
      <c r="G2063" s="7">
        <v>72527</v>
      </c>
      <c r="H2063" s="9">
        <v>37191811.898990721</v>
      </c>
      <c r="I2063" s="5" t="s">
        <v>3192</v>
      </c>
    </row>
    <row r="2064" spans="1:9" x14ac:dyDescent="0.25">
      <c r="A2064" s="6">
        <v>45993.631944444453</v>
      </c>
      <c r="B2064" s="5" t="s">
        <v>26</v>
      </c>
      <c r="C2064" s="8">
        <v>512.49147574285826</v>
      </c>
      <c r="D2064" s="8">
        <v>512.60032879364462</v>
      </c>
      <c r="E2064" s="8">
        <v>511.72430311055172</v>
      </c>
      <c r="F2064" s="8">
        <v>512.43046595773671</v>
      </c>
      <c r="G2064" s="7">
        <v>48665</v>
      </c>
      <c r="H2064" s="9">
        <v>24937428.625833262</v>
      </c>
      <c r="I2064" s="5" t="s">
        <v>3193</v>
      </c>
    </row>
    <row r="2065" spans="1:9" x14ac:dyDescent="0.25">
      <c r="A2065" s="6">
        <v>45993.635416666657</v>
      </c>
      <c r="B2065" s="5" t="s">
        <v>26</v>
      </c>
      <c r="C2065" s="8">
        <v>511.58870493581588</v>
      </c>
      <c r="D2065" s="8">
        <v>511.78517173758831</v>
      </c>
      <c r="E2065" s="8">
        <v>511.45083661762061</v>
      </c>
      <c r="F2065" s="8">
        <v>511.52595545857088</v>
      </c>
      <c r="G2065" s="7">
        <v>46262</v>
      </c>
      <c r="H2065" s="9">
        <v>23664213.751424409</v>
      </c>
      <c r="I2065" s="5" t="s">
        <v>3194</v>
      </c>
    </row>
    <row r="2066" spans="1:9" x14ac:dyDescent="0.25">
      <c r="A2066" s="6">
        <v>45993.638888888891</v>
      </c>
      <c r="B2066" s="5" t="s">
        <v>26</v>
      </c>
      <c r="C2066" s="8">
        <v>511.85802081731617</v>
      </c>
      <c r="D2066" s="8">
        <v>511.98463373516398</v>
      </c>
      <c r="E2066" s="8">
        <v>511.49724301649911</v>
      </c>
      <c r="F2066" s="8">
        <v>511.7520838853751</v>
      </c>
      <c r="G2066" s="7">
        <v>61083</v>
      </c>
      <c r="H2066" s="9">
        <v>31259352.539970368</v>
      </c>
      <c r="I2066" s="5" t="s">
        <v>3195</v>
      </c>
    </row>
    <row r="2067" spans="1:9" x14ac:dyDescent="0.25">
      <c r="A2067" s="6">
        <v>45993.642361111109</v>
      </c>
      <c r="B2067" s="5" t="s">
        <v>26</v>
      </c>
      <c r="C2067" s="8">
        <v>511.53591902548283</v>
      </c>
      <c r="D2067" s="8">
        <v>511.91843225242201</v>
      </c>
      <c r="E2067" s="8">
        <v>511.33217454311171</v>
      </c>
      <c r="F2067" s="8">
        <v>511.71836067092022</v>
      </c>
      <c r="G2067" s="7">
        <v>92600</v>
      </c>
      <c r="H2067" s="9">
        <v>47385120.19812721</v>
      </c>
      <c r="I2067" s="5" t="s">
        <v>3196</v>
      </c>
    </row>
    <row r="2068" spans="1:9" x14ac:dyDescent="0.25">
      <c r="A2068" s="6">
        <v>45993.645833333343</v>
      </c>
      <c r="B2068" s="5" t="s">
        <v>26</v>
      </c>
      <c r="C2068" s="8">
        <v>512.22983342019404</v>
      </c>
      <c r="D2068" s="8">
        <v>512.28883447482565</v>
      </c>
      <c r="E2068" s="8">
        <v>511.97023752450127</v>
      </c>
      <c r="F2068" s="8">
        <v>512.24262895404172</v>
      </c>
      <c r="G2068" s="7">
        <v>45569</v>
      </c>
      <c r="H2068" s="9">
        <v>23342384.358806729</v>
      </c>
      <c r="I2068" s="5" t="s">
        <v>3197</v>
      </c>
    </row>
    <row r="2069" spans="1:9" x14ac:dyDescent="0.25">
      <c r="A2069" s="6">
        <v>45993.649305555547</v>
      </c>
      <c r="B2069" s="5" t="s">
        <v>26</v>
      </c>
      <c r="C2069" s="8">
        <v>512.22604754064685</v>
      </c>
      <c r="D2069" s="8">
        <v>512.58915087387481</v>
      </c>
      <c r="E2069" s="8">
        <v>511.96937970956441</v>
      </c>
      <c r="F2069" s="8">
        <v>512.07878076708039</v>
      </c>
      <c r="G2069" s="7">
        <v>72926</v>
      </c>
      <c r="H2069" s="9">
        <v>37343857.166220114</v>
      </c>
      <c r="I2069" s="5" t="s">
        <v>3198</v>
      </c>
    </row>
    <row r="2070" spans="1:9" x14ac:dyDescent="0.25">
      <c r="A2070" s="6">
        <v>45993.652777777781</v>
      </c>
      <c r="B2070" s="5" t="s">
        <v>26</v>
      </c>
      <c r="C2070" s="8">
        <v>511.6218904545841</v>
      </c>
      <c r="D2070" s="8">
        <v>511.86236672822452</v>
      </c>
      <c r="E2070" s="8">
        <v>511.60330374237378</v>
      </c>
      <c r="F2070" s="8">
        <v>511.64953934138418</v>
      </c>
      <c r="G2070" s="7">
        <v>73295</v>
      </c>
      <c r="H2070" s="9">
        <v>37501352.986026756</v>
      </c>
      <c r="I2070" s="5" t="s">
        <v>3199</v>
      </c>
    </row>
    <row r="2071" spans="1:9" x14ac:dyDescent="0.25">
      <c r="A2071" s="6">
        <v>45993.65625</v>
      </c>
      <c r="B2071" s="5" t="s">
        <v>26</v>
      </c>
      <c r="C2071" s="8">
        <v>511.28706012848482</v>
      </c>
      <c r="D2071" s="8">
        <v>511.38172585517242</v>
      </c>
      <c r="E2071" s="8">
        <v>510.86497216341661</v>
      </c>
      <c r="F2071" s="8">
        <v>511.05646493419022</v>
      </c>
      <c r="G2071" s="7">
        <v>62104</v>
      </c>
      <c r="H2071" s="9">
        <v>31738650.698272951</v>
      </c>
      <c r="I2071" s="5" t="s">
        <v>3200</v>
      </c>
    </row>
    <row r="2072" spans="1:9" x14ac:dyDescent="0.25">
      <c r="A2072" s="6">
        <v>45993.659722222219</v>
      </c>
      <c r="B2072" s="5" t="s">
        <v>26</v>
      </c>
      <c r="C2072" s="8">
        <v>509.31738460549019</v>
      </c>
      <c r="D2072" s="8">
        <v>509.9730355540384</v>
      </c>
      <c r="E2072" s="8">
        <v>509.14136572813658</v>
      </c>
      <c r="F2072" s="8">
        <v>509.36778277180332</v>
      </c>
      <c r="G2072" s="7">
        <v>83111</v>
      </c>
      <c r="H2072" s="9">
        <v>42334065.793947347</v>
      </c>
      <c r="I2072" s="5" t="s">
        <v>3201</v>
      </c>
    </row>
    <row r="2073" spans="1:9" x14ac:dyDescent="0.25">
      <c r="A2073" s="6">
        <v>45993.663194444453</v>
      </c>
      <c r="B2073" s="5" t="s">
        <v>26</v>
      </c>
      <c r="C2073" s="8">
        <v>508.38859395634449</v>
      </c>
      <c r="D2073" s="8">
        <v>509.08524215377639</v>
      </c>
      <c r="E2073" s="8">
        <v>507.97316595484352</v>
      </c>
      <c r="F2073" s="8">
        <v>508.6022639423644</v>
      </c>
      <c r="G2073" s="7">
        <v>30981</v>
      </c>
      <c r="H2073" s="9">
        <v>15757006.73919839</v>
      </c>
      <c r="I2073" s="5" t="s">
        <v>3202</v>
      </c>
    </row>
    <row r="2074" spans="1:9" x14ac:dyDescent="0.25">
      <c r="A2074" s="6">
        <v>45993.666666666657</v>
      </c>
      <c r="B2074" s="5" t="s">
        <v>26</v>
      </c>
      <c r="C2074" s="8">
        <v>508.6062113359809</v>
      </c>
      <c r="D2074" s="8">
        <v>508.92845930992121</v>
      </c>
      <c r="E2074" s="8">
        <v>508.27815570591719</v>
      </c>
      <c r="F2074" s="8">
        <v>508.73196943113572</v>
      </c>
      <c r="G2074" s="7">
        <v>47128</v>
      </c>
      <c r="H2074" s="9">
        <v>23975520.25535056</v>
      </c>
      <c r="I2074" s="5" t="s">
        <v>3203</v>
      </c>
    </row>
    <row r="2075" spans="1:9" x14ac:dyDescent="0.25">
      <c r="A2075" s="6">
        <v>45993.670138888891</v>
      </c>
      <c r="B2075" s="5" t="s">
        <v>26</v>
      </c>
      <c r="C2075" s="8">
        <v>508.63600032613869</v>
      </c>
      <c r="D2075" s="8">
        <v>509.52198088952792</v>
      </c>
      <c r="E2075" s="8">
        <v>508.0279415488078</v>
      </c>
      <c r="F2075" s="8">
        <v>508.90098259799947</v>
      </c>
      <c r="G2075" s="7">
        <v>61488</v>
      </c>
      <c r="H2075" s="9">
        <v>31291303.6179858</v>
      </c>
      <c r="I2075" s="5" t="s">
        <v>3204</v>
      </c>
    </row>
    <row r="2076" spans="1:9" x14ac:dyDescent="0.25">
      <c r="A2076" s="6">
        <v>45993.673611111109</v>
      </c>
      <c r="B2076" s="5" t="s">
        <v>26</v>
      </c>
      <c r="C2076" s="8">
        <v>509.12703578480011</v>
      </c>
      <c r="D2076" s="8">
        <v>509.23644587390908</v>
      </c>
      <c r="E2076" s="8">
        <v>509.12401040907412</v>
      </c>
      <c r="F2076" s="8">
        <v>509.12658403184417</v>
      </c>
      <c r="G2076" s="7">
        <v>69017</v>
      </c>
      <c r="H2076" s="9">
        <v>35138389.450125791</v>
      </c>
      <c r="I2076" s="5" t="s">
        <v>3205</v>
      </c>
    </row>
    <row r="2077" spans="1:9" x14ac:dyDescent="0.25">
      <c r="A2077" s="6">
        <v>45993.677083333343</v>
      </c>
      <c r="B2077" s="5" t="s">
        <v>26</v>
      </c>
      <c r="C2077" s="8">
        <v>508.1640619236515</v>
      </c>
      <c r="D2077" s="8">
        <v>508.76233826494519</v>
      </c>
      <c r="E2077" s="8">
        <v>507.69196927461428</v>
      </c>
      <c r="F2077" s="8">
        <v>508.56000422691938</v>
      </c>
      <c r="G2077" s="7">
        <v>47731</v>
      </c>
      <c r="H2077" s="9">
        <v>24274077.561755091</v>
      </c>
      <c r="I2077" s="5" t="s">
        <v>3206</v>
      </c>
    </row>
    <row r="2078" spans="1:9" x14ac:dyDescent="0.25">
      <c r="A2078" s="6">
        <v>45993.680555555547</v>
      </c>
      <c r="B2078" s="5" t="s">
        <v>26</v>
      </c>
      <c r="C2078" s="8">
        <v>507.95583404086318</v>
      </c>
      <c r="D2078" s="8">
        <v>508.2725136329704</v>
      </c>
      <c r="E2078" s="8">
        <v>507.54613395185692</v>
      </c>
      <c r="F2078" s="8">
        <v>507.72389550589202</v>
      </c>
      <c r="G2078" s="7">
        <v>78107</v>
      </c>
      <c r="H2078" s="9">
        <v>39656790.306278713</v>
      </c>
      <c r="I2078" s="5" t="s">
        <v>3207</v>
      </c>
    </row>
    <row r="2079" spans="1:9" x14ac:dyDescent="0.25">
      <c r="A2079" s="6">
        <v>45993.684027777781</v>
      </c>
      <c r="B2079" s="5" t="s">
        <v>26</v>
      </c>
      <c r="C2079" s="8">
        <v>507.78092986326112</v>
      </c>
      <c r="D2079" s="8">
        <v>508.34091676122318</v>
      </c>
      <c r="E2079" s="8">
        <v>507.58266495502369</v>
      </c>
      <c r="F2079" s="8">
        <v>507.97019059417289</v>
      </c>
      <c r="G2079" s="7">
        <v>70466</v>
      </c>
      <c r="H2079" s="9">
        <v>35794627.450408988</v>
      </c>
      <c r="I2079" s="5" t="s">
        <v>3208</v>
      </c>
    </row>
    <row r="2080" spans="1:9" x14ac:dyDescent="0.25">
      <c r="A2080" s="6">
        <v>45993.6875</v>
      </c>
      <c r="B2080" s="5" t="s">
        <v>26</v>
      </c>
      <c r="C2080" s="8">
        <v>508.19016982243568</v>
      </c>
      <c r="D2080" s="8">
        <v>508.51182100867157</v>
      </c>
      <c r="E2080" s="8">
        <v>507.71268993583578</v>
      </c>
      <c r="F2080" s="8">
        <v>508.48174259943551</v>
      </c>
      <c r="G2080" s="7">
        <v>94062</v>
      </c>
      <c r="H2080" s="9">
        <v>47828809.672388099</v>
      </c>
      <c r="I2080" s="5" t="s">
        <v>3209</v>
      </c>
    </row>
    <row r="2081" spans="1:9" x14ac:dyDescent="0.25">
      <c r="A2081" s="6">
        <v>45993.690972222219</v>
      </c>
      <c r="B2081" s="5" t="s">
        <v>26</v>
      </c>
      <c r="C2081" s="8">
        <v>507.91801056455199</v>
      </c>
      <c r="D2081" s="8">
        <v>508.11068317477299</v>
      </c>
      <c r="E2081" s="8">
        <v>507.69726124135252</v>
      </c>
      <c r="F2081" s="8">
        <v>507.81885799461952</v>
      </c>
      <c r="G2081" s="7">
        <v>46170</v>
      </c>
      <c r="H2081" s="9">
        <v>23445996.673611581</v>
      </c>
      <c r="I2081" s="5" t="s">
        <v>3210</v>
      </c>
    </row>
    <row r="2082" spans="1:9" x14ac:dyDescent="0.25">
      <c r="A2082" s="6">
        <v>45993.694444444453</v>
      </c>
      <c r="B2082" s="5" t="s">
        <v>26</v>
      </c>
      <c r="C2082" s="8">
        <v>508.77871543041311</v>
      </c>
      <c r="D2082" s="8">
        <v>509.11414989885662</v>
      </c>
      <c r="E2082" s="8">
        <v>508.11042110984152</v>
      </c>
      <c r="F2082" s="8">
        <v>508.45430717075521</v>
      </c>
      <c r="G2082" s="7">
        <v>65498</v>
      </c>
      <c r="H2082" s="9">
        <v>33302740.21107012</v>
      </c>
      <c r="I2082" s="5" t="s">
        <v>3211</v>
      </c>
    </row>
    <row r="2083" spans="1:9" x14ac:dyDescent="0.25">
      <c r="A2083" s="6">
        <v>45993.697916666657</v>
      </c>
      <c r="B2083" s="5" t="s">
        <v>26</v>
      </c>
      <c r="C2083" s="8">
        <v>508.63899807808741</v>
      </c>
      <c r="D2083" s="8">
        <v>508.92341265884272</v>
      </c>
      <c r="E2083" s="8">
        <v>508.2856845023141</v>
      </c>
      <c r="F2083" s="8">
        <v>508.40035615996629</v>
      </c>
      <c r="G2083" s="7">
        <v>49321</v>
      </c>
      <c r="H2083" s="9">
        <v>25074813.966165699</v>
      </c>
      <c r="I2083" s="5" t="s">
        <v>3212</v>
      </c>
    </row>
    <row r="2084" spans="1:9" x14ac:dyDescent="0.25">
      <c r="A2084" s="6">
        <v>45993.701388888891</v>
      </c>
      <c r="B2084" s="5" t="s">
        <v>26</v>
      </c>
      <c r="C2084" s="8">
        <v>508.07331138560693</v>
      </c>
      <c r="D2084" s="8">
        <v>508.36124640488867</v>
      </c>
      <c r="E2084" s="8">
        <v>507.89840169754001</v>
      </c>
      <c r="F2084" s="8">
        <v>507.92824418787382</v>
      </c>
      <c r="G2084" s="7">
        <v>63791</v>
      </c>
      <c r="H2084" s="9">
        <v>32401250.62498866</v>
      </c>
      <c r="I2084" s="5" t="s">
        <v>3213</v>
      </c>
    </row>
    <row r="2085" spans="1:9" x14ac:dyDescent="0.25">
      <c r="A2085" s="6">
        <v>45993.704861111109</v>
      </c>
      <c r="B2085" s="5" t="s">
        <v>26</v>
      </c>
      <c r="C2085" s="8">
        <v>507.21675449774762</v>
      </c>
      <c r="D2085" s="8">
        <v>507.58130615442371</v>
      </c>
      <c r="E2085" s="8">
        <v>507.0245696348087</v>
      </c>
      <c r="F2085" s="8">
        <v>507.31189144022471</v>
      </c>
      <c r="G2085" s="7">
        <v>57598</v>
      </c>
      <c r="H2085" s="9">
        <v>29220150.323174059</v>
      </c>
      <c r="I2085" s="5" t="s">
        <v>3214</v>
      </c>
    </row>
    <row r="2086" spans="1:9" x14ac:dyDescent="0.25">
      <c r="A2086" s="6">
        <v>45993.708333333343</v>
      </c>
      <c r="B2086" s="5" t="s">
        <v>26</v>
      </c>
      <c r="C2086" s="8">
        <v>507.24891517156561</v>
      </c>
      <c r="D2086" s="8">
        <v>507.39712505329322</v>
      </c>
      <c r="E2086" s="8">
        <v>506.77038715568148</v>
      </c>
      <c r="F2086" s="8">
        <v>507.34829829734241</v>
      </c>
      <c r="G2086" s="7">
        <v>113586</v>
      </c>
      <c r="H2086" s="9">
        <v>57627663.810401931</v>
      </c>
      <c r="I2086" s="5" t="s">
        <v>3215</v>
      </c>
    </row>
    <row r="2087" spans="1:9" x14ac:dyDescent="0.25">
      <c r="A2087" s="6">
        <v>45993.711805555547</v>
      </c>
      <c r="B2087" s="5" t="s">
        <v>26</v>
      </c>
      <c r="C2087" s="8">
        <v>507.48974059943032</v>
      </c>
      <c r="D2087" s="8">
        <v>507.64880942176069</v>
      </c>
      <c r="E2087" s="8">
        <v>507.17156868607839</v>
      </c>
      <c r="F2087" s="8">
        <v>507.40199579196371</v>
      </c>
      <c r="G2087" s="7">
        <v>99594</v>
      </c>
      <c r="H2087" s="9">
        <v>50534194.368904836</v>
      </c>
      <c r="I2087" s="5" t="s">
        <v>3216</v>
      </c>
    </row>
    <row r="2088" spans="1:9" x14ac:dyDescent="0.25">
      <c r="A2088" s="6">
        <v>45993.715277777781</v>
      </c>
      <c r="B2088" s="5" t="s">
        <v>26</v>
      </c>
      <c r="C2088" s="8">
        <v>507.51207724737202</v>
      </c>
      <c r="D2088" s="8">
        <v>507.86077914163371</v>
      </c>
      <c r="E2088" s="8">
        <v>507.26616422901878</v>
      </c>
      <c r="F2088" s="8">
        <v>507.52101471203332</v>
      </c>
      <c r="G2088" s="7">
        <v>77767</v>
      </c>
      <c r="H2088" s="9">
        <v>39468386.751110688</v>
      </c>
      <c r="I2088" s="5" t="s">
        <v>3217</v>
      </c>
    </row>
    <row r="2089" spans="1:9" x14ac:dyDescent="0.25">
      <c r="A2089" s="6">
        <v>45993.71875</v>
      </c>
      <c r="B2089" s="5" t="s">
        <v>26</v>
      </c>
      <c r="C2089" s="8">
        <v>508.30974935060061</v>
      </c>
      <c r="D2089" s="8">
        <v>508.53527232660127</v>
      </c>
      <c r="E2089" s="8">
        <v>507.93705236347648</v>
      </c>
      <c r="F2089" s="8">
        <v>508.36863856405063</v>
      </c>
      <c r="G2089" s="7">
        <v>67517</v>
      </c>
      <c r="H2089" s="9">
        <v>34323525.369929008</v>
      </c>
      <c r="I2089" s="5" t="s">
        <v>3218</v>
      </c>
    </row>
    <row r="2090" spans="1:9" x14ac:dyDescent="0.25">
      <c r="A2090" s="6">
        <v>45993.722222222219</v>
      </c>
      <c r="B2090" s="5" t="s">
        <v>26</v>
      </c>
      <c r="C2090" s="8">
        <v>508.31052362764723</v>
      </c>
      <c r="D2090" s="8">
        <v>509.06820482830619</v>
      </c>
      <c r="E2090" s="8">
        <v>507.65767372425341</v>
      </c>
      <c r="F2090" s="8">
        <v>508.54362020305871</v>
      </c>
      <c r="G2090" s="7">
        <v>32119</v>
      </c>
      <c r="H2090" s="9">
        <v>16333912.53730204</v>
      </c>
      <c r="I2090" s="5" t="s">
        <v>3219</v>
      </c>
    </row>
    <row r="2091" spans="1:9" x14ac:dyDescent="0.25">
      <c r="A2091" s="6">
        <v>45993.725694444453</v>
      </c>
      <c r="B2091" s="5" t="s">
        <v>26</v>
      </c>
      <c r="C2091" s="8">
        <v>508.73480828128748</v>
      </c>
      <c r="D2091" s="8">
        <v>508.83058860971681</v>
      </c>
      <c r="E2091" s="8">
        <v>508.5803263833198</v>
      </c>
      <c r="F2091" s="8">
        <v>508.78329354135849</v>
      </c>
      <c r="G2091" s="7">
        <v>63176</v>
      </c>
      <c r="H2091" s="9">
        <v>32142893.352768868</v>
      </c>
      <c r="I2091" s="5" t="s">
        <v>3220</v>
      </c>
    </row>
    <row r="2092" spans="1:9" x14ac:dyDescent="0.25">
      <c r="A2092" s="6">
        <v>45993.729166666657</v>
      </c>
      <c r="B2092" s="5" t="s">
        <v>26</v>
      </c>
      <c r="C2092" s="8">
        <v>508.79198269542599</v>
      </c>
      <c r="D2092" s="8">
        <v>508.88306955716507</v>
      </c>
      <c r="E2092" s="8">
        <v>508.63977034986141</v>
      </c>
      <c r="F2092" s="8">
        <v>508.7344481721197</v>
      </c>
      <c r="G2092" s="7">
        <v>48841</v>
      </c>
      <c r="H2092" s="9">
        <v>24847099.183174498</v>
      </c>
      <c r="I2092" s="5" t="s">
        <v>3221</v>
      </c>
    </row>
    <row r="2093" spans="1:9" x14ac:dyDescent="0.25">
      <c r="A2093" s="6">
        <v>45993.732638888891</v>
      </c>
      <c r="B2093" s="5" t="s">
        <v>26</v>
      </c>
      <c r="C2093" s="8">
        <v>509.49959627052851</v>
      </c>
      <c r="D2093" s="8">
        <v>509.53558524381549</v>
      </c>
      <c r="E2093" s="8">
        <v>509.11476002129001</v>
      </c>
      <c r="F2093" s="8">
        <v>509.17982983389908</v>
      </c>
      <c r="G2093" s="7">
        <v>99125</v>
      </c>
      <c r="H2093" s="9">
        <v>50472450.632285237</v>
      </c>
      <c r="I2093" s="5" t="s">
        <v>3222</v>
      </c>
    </row>
    <row r="2094" spans="1:9" x14ac:dyDescent="0.25">
      <c r="A2094" s="6">
        <v>45993.736111111109</v>
      </c>
      <c r="B2094" s="5" t="s">
        <v>26</v>
      </c>
      <c r="C2094" s="8">
        <v>508.30481498102858</v>
      </c>
      <c r="D2094" s="8">
        <v>508.63993771951618</v>
      </c>
      <c r="E2094" s="8">
        <v>508.1602696657028</v>
      </c>
      <c r="F2094" s="8">
        <v>508.31898952632952</v>
      </c>
      <c r="G2094" s="7">
        <v>42437</v>
      </c>
      <c r="H2094" s="9">
        <v>21571532.95852885</v>
      </c>
      <c r="I2094" s="5" t="s">
        <v>3223</v>
      </c>
    </row>
    <row r="2095" spans="1:9" x14ac:dyDescent="0.25">
      <c r="A2095" s="6">
        <v>45993.739583333343</v>
      </c>
      <c r="B2095" s="5" t="s">
        <v>26</v>
      </c>
      <c r="C2095" s="8">
        <v>508.41946023049798</v>
      </c>
      <c r="D2095" s="8">
        <v>508.65659014859619</v>
      </c>
      <c r="E2095" s="8">
        <v>508.17790787887589</v>
      </c>
      <c r="F2095" s="8">
        <v>508.22277542513029</v>
      </c>
      <c r="G2095" s="7">
        <v>91141</v>
      </c>
      <c r="H2095" s="9">
        <v>46319931.975021802</v>
      </c>
      <c r="I2095" s="5" t="s">
        <v>3224</v>
      </c>
    </row>
    <row r="2096" spans="1:9" x14ac:dyDescent="0.25">
      <c r="A2096" s="6">
        <v>45993.743055555547</v>
      </c>
      <c r="B2096" s="5" t="s">
        <v>26</v>
      </c>
      <c r="C2096" s="8">
        <v>508.61067615166081</v>
      </c>
      <c r="D2096" s="8">
        <v>508.62866210707779</v>
      </c>
      <c r="E2096" s="8">
        <v>508.34939834502978</v>
      </c>
      <c r="F2096" s="8">
        <v>508.48806726698717</v>
      </c>
      <c r="G2096" s="7">
        <v>52214</v>
      </c>
      <c r="H2096" s="9">
        <v>26550195.944278471</v>
      </c>
      <c r="I2096" s="5" t="s">
        <v>3225</v>
      </c>
    </row>
    <row r="2097" spans="1:9" x14ac:dyDescent="0.25">
      <c r="A2097" s="6">
        <v>45993.746527777781</v>
      </c>
      <c r="B2097" s="5" t="s">
        <v>26</v>
      </c>
      <c r="C2097" s="8">
        <v>508.14670419093932</v>
      </c>
      <c r="D2097" s="8">
        <v>509.03889268050273</v>
      </c>
      <c r="E2097" s="8">
        <v>508.00150309334612</v>
      </c>
      <c r="F2097" s="8">
        <v>508.3382662865946</v>
      </c>
      <c r="G2097" s="7">
        <v>65701</v>
      </c>
      <c r="H2097" s="9">
        <v>33398332.433295552</v>
      </c>
      <c r="I2097" s="5" t="s">
        <v>3226</v>
      </c>
    </row>
    <row r="2098" spans="1:9" x14ac:dyDescent="0.25">
      <c r="A2098" s="6">
        <v>45993.75</v>
      </c>
      <c r="B2098" s="5" t="s">
        <v>26</v>
      </c>
      <c r="C2098" s="8">
        <v>508.27193478387011</v>
      </c>
      <c r="D2098" s="8">
        <v>508.63651106746858</v>
      </c>
      <c r="E2098" s="8">
        <v>508.06312629501258</v>
      </c>
      <c r="F2098" s="8">
        <v>508.1001573249074</v>
      </c>
      <c r="G2098" s="7">
        <v>53984</v>
      </c>
      <c r="H2098" s="9">
        <v>27429278.893027801</v>
      </c>
      <c r="I2098" s="5" t="s">
        <v>3227</v>
      </c>
    </row>
    <row r="2099" spans="1:9" x14ac:dyDescent="0.25">
      <c r="A2099" s="6">
        <v>45993.753472222219</v>
      </c>
      <c r="B2099" s="5" t="s">
        <v>26</v>
      </c>
      <c r="C2099" s="8">
        <v>508.24731855229618</v>
      </c>
      <c r="D2099" s="8">
        <v>508.37571074369532</v>
      </c>
      <c r="E2099" s="8">
        <v>508.00146473360678</v>
      </c>
      <c r="F2099" s="8">
        <v>508.31990151273823</v>
      </c>
      <c r="G2099" s="7">
        <v>48175</v>
      </c>
      <c r="H2099" s="9">
        <v>24488311.25537616</v>
      </c>
      <c r="I2099" s="5" t="s">
        <v>3228</v>
      </c>
    </row>
    <row r="2100" spans="1:9" x14ac:dyDescent="0.25">
      <c r="A2100" s="6">
        <v>45993.756944444453</v>
      </c>
      <c r="B2100" s="5" t="s">
        <v>26</v>
      </c>
      <c r="C2100" s="8">
        <v>508.54169054217812</v>
      </c>
      <c r="D2100" s="8">
        <v>508.76062064759873</v>
      </c>
      <c r="E2100" s="8">
        <v>508.5305643073616</v>
      </c>
      <c r="F2100" s="8">
        <v>508.59935079400577</v>
      </c>
      <c r="G2100" s="7">
        <v>62236</v>
      </c>
      <c r="H2100" s="9">
        <v>31653189.196015749</v>
      </c>
      <c r="I2100" s="5" t="s">
        <v>3229</v>
      </c>
    </row>
    <row r="2101" spans="1:9" x14ac:dyDescent="0.25">
      <c r="A2101" s="6">
        <v>45993.760416666657</v>
      </c>
      <c r="B2101" s="5" t="s">
        <v>26</v>
      </c>
      <c r="C2101" s="8">
        <v>508.43887853018242</v>
      </c>
      <c r="D2101" s="8">
        <v>508.8858772801197</v>
      </c>
      <c r="E2101" s="8">
        <v>508.3379526211429</v>
      </c>
      <c r="F2101" s="8">
        <v>508.76796349025761</v>
      </c>
      <c r="G2101" s="7">
        <v>100593</v>
      </c>
      <c r="H2101" s="9">
        <v>51178495.751375481</v>
      </c>
      <c r="I2101" s="5" t="s">
        <v>3230</v>
      </c>
    </row>
    <row r="2102" spans="1:9" x14ac:dyDescent="0.25">
      <c r="A2102" s="6">
        <v>45993.763888888891</v>
      </c>
      <c r="B2102" s="5" t="s">
        <v>26</v>
      </c>
      <c r="C2102" s="8">
        <v>509.4202824276893</v>
      </c>
      <c r="D2102" s="8">
        <v>509.83012909270832</v>
      </c>
      <c r="E2102" s="8">
        <v>508.96771069151617</v>
      </c>
      <c r="F2102" s="8">
        <v>509.02657188089597</v>
      </c>
      <c r="G2102" s="7">
        <v>38963</v>
      </c>
      <c r="H2102" s="9">
        <v>19833202.320195351</v>
      </c>
      <c r="I2102" s="5" t="s">
        <v>3231</v>
      </c>
    </row>
    <row r="2103" spans="1:9" x14ac:dyDescent="0.25">
      <c r="A2103" s="6">
        <v>45993.767361111109</v>
      </c>
      <c r="B2103" s="5" t="s">
        <v>26</v>
      </c>
      <c r="C2103" s="8">
        <v>508.88776587259412</v>
      </c>
      <c r="D2103" s="8">
        <v>508.95589146518978</v>
      </c>
      <c r="E2103" s="8">
        <v>508.75719743145208</v>
      </c>
      <c r="F2103" s="8">
        <v>508.91368990399008</v>
      </c>
      <c r="G2103" s="7">
        <v>38430</v>
      </c>
      <c r="H2103" s="9">
        <v>19557553.103010342</v>
      </c>
      <c r="I2103" s="5" t="s">
        <v>3232</v>
      </c>
    </row>
    <row r="2104" spans="1:9" x14ac:dyDescent="0.25">
      <c r="A2104" s="6">
        <v>45993.770833333343</v>
      </c>
      <c r="B2104" s="5" t="s">
        <v>26</v>
      </c>
      <c r="C2104" s="8">
        <v>509.12875995686858</v>
      </c>
      <c r="D2104" s="8">
        <v>509.35326070632817</v>
      </c>
      <c r="E2104" s="8">
        <v>508.75072575547762</v>
      </c>
      <c r="F2104" s="8">
        <v>509.1648693753441</v>
      </c>
      <c r="G2104" s="7">
        <v>65346</v>
      </c>
      <c r="H2104" s="9">
        <v>33271887.55420123</v>
      </c>
      <c r="I2104" s="5" t="s">
        <v>3233</v>
      </c>
    </row>
    <row r="2105" spans="1:9" x14ac:dyDescent="0.25">
      <c r="A2105" s="6">
        <v>45993.774305555547</v>
      </c>
      <c r="B2105" s="5" t="s">
        <v>26</v>
      </c>
      <c r="C2105" s="8">
        <v>508.61151199615267</v>
      </c>
      <c r="D2105" s="8">
        <v>508.97889744394979</v>
      </c>
      <c r="E2105" s="8">
        <v>508.56158753354748</v>
      </c>
      <c r="F2105" s="8">
        <v>508.94779955738522</v>
      </c>
      <c r="G2105" s="7">
        <v>33969</v>
      </c>
      <c r="H2105" s="9">
        <v>17288447.803164821</v>
      </c>
      <c r="I2105" s="5" t="s">
        <v>3234</v>
      </c>
    </row>
    <row r="2106" spans="1:9" x14ac:dyDescent="0.25">
      <c r="A2106" s="6">
        <v>45993.777777777781</v>
      </c>
      <c r="B2106" s="5" t="s">
        <v>26</v>
      </c>
      <c r="C2106" s="8">
        <v>509.21095806680751</v>
      </c>
      <c r="D2106" s="8">
        <v>509.37516302272758</v>
      </c>
      <c r="E2106" s="8">
        <v>508.84203643389782</v>
      </c>
      <c r="F2106" s="8">
        <v>509.24923187598472</v>
      </c>
      <c r="G2106" s="7">
        <v>50006</v>
      </c>
      <c r="H2106" s="9">
        <v>25465517.089190491</v>
      </c>
      <c r="I2106" s="5" t="s">
        <v>3235</v>
      </c>
    </row>
    <row r="2107" spans="1:9" x14ac:dyDescent="0.25">
      <c r="A2107" s="6">
        <v>45993.78125</v>
      </c>
      <c r="B2107" s="5" t="s">
        <v>26</v>
      </c>
      <c r="C2107" s="8">
        <v>509.53095797178622</v>
      </c>
      <c r="D2107" s="8">
        <v>509.7366349990611</v>
      </c>
      <c r="E2107" s="8">
        <v>508.62835831039553</v>
      </c>
      <c r="F2107" s="8">
        <v>509.4265110459458</v>
      </c>
      <c r="G2107" s="7">
        <v>64930</v>
      </c>
      <c r="H2107" s="9">
        <v>33077063.362213261</v>
      </c>
      <c r="I2107" s="5" t="s">
        <v>3236</v>
      </c>
    </row>
    <row r="2108" spans="1:9" x14ac:dyDescent="0.25">
      <c r="A2108" s="6">
        <v>45993.784722222219</v>
      </c>
      <c r="B2108" s="5" t="s">
        <v>26</v>
      </c>
      <c r="C2108" s="8">
        <v>509.54537789428213</v>
      </c>
      <c r="D2108" s="8">
        <v>509.85183481855898</v>
      </c>
      <c r="E2108" s="8">
        <v>509.18661489840377</v>
      </c>
      <c r="F2108" s="8">
        <v>509.33220345338219</v>
      </c>
      <c r="G2108" s="7">
        <v>35961</v>
      </c>
      <c r="H2108" s="9">
        <v>18316095.368387081</v>
      </c>
      <c r="I2108" s="5" t="s">
        <v>3237</v>
      </c>
    </row>
    <row r="2109" spans="1:9" x14ac:dyDescent="0.25">
      <c r="A2109" s="6">
        <v>45993.788194444453</v>
      </c>
      <c r="B2109" s="5" t="s">
        <v>26</v>
      </c>
      <c r="C2109" s="8">
        <v>509.41763601936441</v>
      </c>
      <c r="D2109" s="8">
        <v>509.54130540006281</v>
      </c>
      <c r="E2109" s="8">
        <v>509.39925697447279</v>
      </c>
      <c r="F2109" s="8">
        <v>509.47136769829558</v>
      </c>
      <c r="G2109" s="7">
        <v>56421</v>
      </c>
      <c r="H2109" s="9">
        <v>28744884.036905531</v>
      </c>
      <c r="I2109" s="5" t="s">
        <v>3238</v>
      </c>
    </row>
    <row r="2110" spans="1:9" x14ac:dyDescent="0.25">
      <c r="A2110" s="6">
        <v>45993.791666666657</v>
      </c>
      <c r="B2110" s="5" t="s">
        <v>26</v>
      </c>
      <c r="C2110" s="8">
        <v>510.36985801642572</v>
      </c>
      <c r="D2110" s="8">
        <v>510.37466702484642</v>
      </c>
      <c r="E2110" s="8">
        <v>509.91007496885379</v>
      </c>
      <c r="F2110" s="8">
        <v>510.18968506344339</v>
      </c>
      <c r="G2110" s="7">
        <v>45134</v>
      </c>
      <c r="H2110" s="9">
        <v>23026901.245653462</v>
      </c>
      <c r="I2110" s="5" t="s">
        <v>3239</v>
      </c>
    </row>
    <row r="2111" spans="1:9" x14ac:dyDescent="0.25">
      <c r="A2111" s="6">
        <v>45993.795138888891</v>
      </c>
      <c r="B2111" s="5" t="s">
        <v>26</v>
      </c>
      <c r="C2111" s="8">
        <v>510.68852164307958</v>
      </c>
      <c r="D2111" s="8">
        <v>510.90734837353648</v>
      </c>
      <c r="E2111" s="8">
        <v>510.47813568017182</v>
      </c>
      <c r="F2111" s="8">
        <v>510.68080839507371</v>
      </c>
      <c r="G2111" s="7">
        <v>96712</v>
      </c>
      <c r="H2111" s="9">
        <v>49388962.341504373</v>
      </c>
      <c r="I2111" s="5" t="s">
        <v>3240</v>
      </c>
    </row>
    <row r="2112" spans="1:9" x14ac:dyDescent="0.25">
      <c r="A2112" s="6">
        <v>45993.798611111109</v>
      </c>
      <c r="B2112" s="5" t="s">
        <v>26</v>
      </c>
      <c r="C2112" s="8">
        <v>510.60856706578272</v>
      </c>
      <c r="D2112" s="8">
        <v>511.20661187339158</v>
      </c>
      <c r="E2112" s="8">
        <v>510.49061568047807</v>
      </c>
      <c r="F2112" s="8">
        <v>510.74129065800969</v>
      </c>
      <c r="G2112" s="7">
        <v>36962</v>
      </c>
      <c r="H2112" s="9">
        <v>18878019.585301351</v>
      </c>
      <c r="I2112" s="5" t="s">
        <v>3241</v>
      </c>
    </row>
    <row r="2113" spans="1:9" x14ac:dyDescent="0.25">
      <c r="A2113" s="6">
        <v>45993.802083333343</v>
      </c>
      <c r="B2113" s="5" t="s">
        <v>26</v>
      </c>
      <c r="C2113" s="8">
        <v>510.22026074965493</v>
      </c>
      <c r="D2113" s="8">
        <v>510.44433235869627</v>
      </c>
      <c r="E2113" s="8">
        <v>510.03976053970717</v>
      </c>
      <c r="F2113" s="8">
        <v>510.17155299529043</v>
      </c>
      <c r="G2113" s="7">
        <v>113090</v>
      </c>
      <c r="H2113" s="9">
        <v>57695300.928237393</v>
      </c>
      <c r="I2113" s="5" t="s">
        <v>3242</v>
      </c>
    </row>
    <row r="2114" spans="1:9" x14ac:dyDescent="0.25">
      <c r="A2114" s="6">
        <v>45993.805555555547</v>
      </c>
      <c r="B2114" s="5" t="s">
        <v>26</v>
      </c>
      <c r="C2114" s="8">
        <v>511.35331118804771</v>
      </c>
      <c r="D2114" s="8">
        <v>511.50361825067171</v>
      </c>
      <c r="E2114" s="8">
        <v>510.98698438752302</v>
      </c>
      <c r="F2114" s="8">
        <v>511.07506068500652</v>
      </c>
      <c r="G2114" s="7">
        <v>40598</v>
      </c>
      <c r="H2114" s="9">
        <v>20748625.313689891</v>
      </c>
      <c r="I2114" s="5" t="s">
        <v>3243</v>
      </c>
    </row>
    <row r="2115" spans="1:9" x14ac:dyDescent="0.25">
      <c r="A2115" s="6">
        <v>45993.809027777781</v>
      </c>
      <c r="B2115" s="5" t="s">
        <v>26</v>
      </c>
      <c r="C2115" s="8">
        <v>510.56427405339048</v>
      </c>
      <c r="D2115" s="8">
        <v>510.61929846392007</v>
      </c>
      <c r="E2115" s="8">
        <v>510.24282597159089</v>
      </c>
      <c r="F2115" s="8">
        <v>510.54463743260732</v>
      </c>
      <c r="G2115" s="7">
        <v>80675</v>
      </c>
      <c r="H2115" s="9">
        <v>41188188.624875598</v>
      </c>
      <c r="I2115" s="5" t="s">
        <v>3244</v>
      </c>
    </row>
    <row r="2116" spans="1:9" x14ac:dyDescent="0.25">
      <c r="A2116" s="6">
        <v>45993.8125</v>
      </c>
      <c r="B2116" s="5" t="s">
        <v>26</v>
      </c>
      <c r="C2116" s="8">
        <v>510.87886109752827</v>
      </c>
      <c r="D2116" s="8">
        <v>510.96846923119813</v>
      </c>
      <c r="E2116" s="8">
        <v>510.365088253556</v>
      </c>
      <c r="F2116" s="8">
        <v>510.77837280352952</v>
      </c>
      <c r="G2116" s="7">
        <v>41338</v>
      </c>
      <c r="H2116" s="9">
        <v>21114556.374952309</v>
      </c>
      <c r="I2116" s="5" t="s">
        <v>3245</v>
      </c>
    </row>
    <row r="2117" spans="1:9" x14ac:dyDescent="0.25">
      <c r="A2117" s="6">
        <v>45993.815972222219</v>
      </c>
      <c r="B2117" s="5" t="s">
        <v>26</v>
      </c>
      <c r="C2117" s="8">
        <v>511.80593425039831</v>
      </c>
      <c r="D2117" s="8">
        <v>512.20631390916014</v>
      </c>
      <c r="E2117" s="8">
        <v>511.61040995666963</v>
      </c>
      <c r="F2117" s="8">
        <v>511.70855505948458</v>
      </c>
      <c r="G2117" s="7">
        <v>111033</v>
      </c>
      <c r="H2117" s="9">
        <v>56816535.99391976</v>
      </c>
      <c r="I2117" s="5" t="s">
        <v>3246</v>
      </c>
    </row>
    <row r="2118" spans="1:9" x14ac:dyDescent="0.25">
      <c r="A2118" s="6">
        <v>45993.819444444453</v>
      </c>
      <c r="B2118" s="5" t="s">
        <v>26</v>
      </c>
      <c r="C2118" s="8">
        <v>511.53554532811762</v>
      </c>
      <c r="D2118" s="8">
        <v>511.54405338806811</v>
      </c>
      <c r="E2118" s="8">
        <v>510.98402266833551</v>
      </c>
      <c r="F2118" s="8">
        <v>511.44770730415888</v>
      </c>
      <c r="G2118" s="7">
        <v>65951</v>
      </c>
      <c r="H2118" s="9">
        <v>33730487.744416587</v>
      </c>
      <c r="I2118" s="5" t="s">
        <v>3247</v>
      </c>
    </row>
    <row r="2119" spans="1:9" x14ac:dyDescent="0.25">
      <c r="A2119" s="6">
        <v>45993.822916666657</v>
      </c>
      <c r="B2119" s="5" t="s">
        <v>26</v>
      </c>
      <c r="C2119" s="8">
        <v>511.25925509757548</v>
      </c>
      <c r="D2119" s="8">
        <v>511.41961131075902</v>
      </c>
      <c r="E2119" s="8">
        <v>511.13587611289552</v>
      </c>
      <c r="F2119" s="8">
        <v>511.18271844938999</v>
      </c>
      <c r="G2119" s="7">
        <v>50143</v>
      </c>
      <c r="H2119" s="9">
        <v>25632235.051207758</v>
      </c>
      <c r="I2119" s="5" t="s">
        <v>3248</v>
      </c>
    </row>
    <row r="2120" spans="1:9" x14ac:dyDescent="0.25">
      <c r="A2120" s="6">
        <v>45993.826388888891</v>
      </c>
      <c r="B2120" s="5" t="s">
        <v>26</v>
      </c>
      <c r="C2120" s="8">
        <v>510.55576781690758</v>
      </c>
      <c r="D2120" s="8">
        <v>511.03882754098902</v>
      </c>
      <c r="E2120" s="8">
        <v>510.30366555078621</v>
      </c>
      <c r="F2120" s="8">
        <v>510.55517255109248</v>
      </c>
      <c r="G2120" s="7">
        <v>62379</v>
      </c>
      <c r="H2120" s="9">
        <v>31847921.1085646</v>
      </c>
      <c r="I2120" s="5" t="s">
        <v>3249</v>
      </c>
    </row>
    <row r="2121" spans="1:9" x14ac:dyDescent="0.25">
      <c r="A2121" s="6">
        <v>45993.829861111109</v>
      </c>
      <c r="B2121" s="5" t="s">
        <v>26</v>
      </c>
      <c r="C2121" s="8">
        <v>511.20979357841043</v>
      </c>
      <c r="D2121" s="8">
        <v>511.73446403333088</v>
      </c>
      <c r="E2121" s="8">
        <v>510.75674742183958</v>
      </c>
      <c r="F2121" s="8">
        <v>511.0669786021985</v>
      </c>
      <c r="G2121" s="7">
        <v>29417</v>
      </c>
      <c r="H2121" s="9">
        <v>15034057.30954087</v>
      </c>
      <c r="I2121" s="5" t="s">
        <v>3250</v>
      </c>
    </row>
    <row r="2122" spans="1:9" x14ac:dyDescent="0.25">
      <c r="A2122" s="6">
        <v>45993.833333333343</v>
      </c>
      <c r="B2122" s="5" t="s">
        <v>26</v>
      </c>
      <c r="C2122" s="8">
        <v>511.20538070908322</v>
      </c>
      <c r="D2122" s="8">
        <v>511.48871013331529</v>
      </c>
      <c r="E2122" s="8">
        <v>511.11807465711661</v>
      </c>
      <c r="F2122" s="8">
        <v>511.18395227121562</v>
      </c>
      <c r="G2122" s="7">
        <v>87765</v>
      </c>
      <c r="H2122" s="9">
        <v>44864059.571083233</v>
      </c>
      <c r="I2122" s="5" t="s">
        <v>3251</v>
      </c>
    </row>
    <row r="2123" spans="1:9" x14ac:dyDescent="0.25">
      <c r="A2123" s="6">
        <v>45993.836805555547</v>
      </c>
      <c r="B2123" s="5" t="s">
        <v>26</v>
      </c>
      <c r="C2123" s="8">
        <v>510.91357632286417</v>
      </c>
      <c r="D2123" s="8">
        <v>511.20598141757239</v>
      </c>
      <c r="E2123" s="8">
        <v>510.76424231994599</v>
      </c>
      <c r="F2123" s="8">
        <v>510.9251870449325</v>
      </c>
      <c r="G2123" s="7">
        <v>50243</v>
      </c>
      <c r="H2123" s="9">
        <v>25670414.172698539</v>
      </c>
      <c r="I2123" s="5" t="s">
        <v>3252</v>
      </c>
    </row>
    <row r="2124" spans="1:9" x14ac:dyDescent="0.25">
      <c r="A2124" s="6">
        <v>45993.840277777781</v>
      </c>
      <c r="B2124" s="5" t="s">
        <v>26</v>
      </c>
      <c r="C2124" s="8">
        <v>510.7473107125644</v>
      </c>
      <c r="D2124" s="8">
        <v>511.03609822613788</v>
      </c>
      <c r="E2124" s="8">
        <v>510.44808966420499</v>
      </c>
      <c r="F2124" s="8">
        <v>510.9771595593881</v>
      </c>
      <c r="G2124" s="7">
        <v>101520</v>
      </c>
      <c r="H2124" s="9">
        <v>51874401.238469079</v>
      </c>
      <c r="I2124" s="5" t="s">
        <v>3253</v>
      </c>
    </row>
    <row r="2125" spans="1:9" x14ac:dyDescent="0.25">
      <c r="A2125" s="6">
        <v>45993.84375</v>
      </c>
      <c r="B2125" s="5" t="s">
        <v>26</v>
      </c>
      <c r="C2125" s="8">
        <v>511.68824817028531</v>
      </c>
      <c r="D2125" s="8">
        <v>512.3725702132175</v>
      </c>
      <c r="E2125" s="8">
        <v>511.49620262216541</v>
      </c>
      <c r="F2125" s="8">
        <v>511.5737206990762</v>
      </c>
      <c r="G2125" s="7">
        <v>53500</v>
      </c>
      <c r="H2125" s="9">
        <v>27369194.05740058</v>
      </c>
      <c r="I2125" s="5" t="s">
        <v>3254</v>
      </c>
    </row>
    <row r="2126" spans="1:9" x14ac:dyDescent="0.25">
      <c r="A2126" s="6">
        <v>45993.847222222219</v>
      </c>
      <c r="B2126" s="5" t="s">
        <v>26</v>
      </c>
      <c r="C2126" s="8">
        <v>511.80668673813102</v>
      </c>
      <c r="D2126" s="8">
        <v>511.87935788858613</v>
      </c>
      <c r="E2126" s="8">
        <v>511.62719316526511</v>
      </c>
      <c r="F2126" s="8">
        <v>511.75203661654359</v>
      </c>
      <c r="G2126" s="7">
        <v>39924</v>
      </c>
      <c r="H2126" s="9">
        <v>20431188.309878889</v>
      </c>
      <c r="I2126" s="5" t="s">
        <v>3255</v>
      </c>
    </row>
    <row r="2127" spans="1:9" x14ac:dyDescent="0.25">
      <c r="A2127" s="6">
        <v>45993.850694444453</v>
      </c>
      <c r="B2127" s="5" t="s">
        <v>26</v>
      </c>
      <c r="C2127" s="8">
        <v>511.37342610025019</v>
      </c>
      <c r="D2127" s="8">
        <v>511.73634534877681</v>
      </c>
      <c r="E2127" s="8">
        <v>510.96982429880597</v>
      </c>
      <c r="F2127" s="8">
        <v>511.32404800037273</v>
      </c>
      <c r="G2127" s="7">
        <v>70627</v>
      </c>
      <c r="H2127" s="9">
        <v>36113283.538122334</v>
      </c>
      <c r="I2127" s="5" t="s">
        <v>3256</v>
      </c>
    </row>
    <row r="2128" spans="1:9" x14ac:dyDescent="0.25">
      <c r="A2128" s="6">
        <v>45993.854166666657</v>
      </c>
      <c r="B2128" s="5" t="s">
        <v>26</v>
      </c>
      <c r="C2128" s="8">
        <v>511.2448097911373</v>
      </c>
      <c r="D2128" s="8">
        <v>511.33202288015309</v>
      </c>
      <c r="E2128" s="8">
        <v>510.54806730189478</v>
      </c>
      <c r="F2128" s="8">
        <v>511.0682170275872</v>
      </c>
      <c r="G2128" s="7">
        <v>56630</v>
      </c>
      <c r="H2128" s="9">
        <v>28941793.130272262</v>
      </c>
      <c r="I2128" s="5" t="s">
        <v>3257</v>
      </c>
    </row>
    <row r="2129" spans="1:9" x14ac:dyDescent="0.25">
      <c r="A2129" s="6">
        <v>45993.857638888891</v>
      </c>
      <c r="B2129" s="5" t="s">
        <v>26</v>
      </c>
      <c r="C2129" s="8">
        <v>510.91748194868671</v>
      </c>
      <c r="D2129" s="8">
        <v>511.21814075964119</v>
      </c>
      <c r="E2129" s="8">
        <v>510.51447999690242</v>
      </c>
      <c r="F2129" s="8">
        <v>510.84325220595758</v>
      </c>
      <c r="G2129" s="7">
        <v>69346</v>
      </c>
      <c r="H2129" s="9">
        <v>35424936.167474337</v>
      </c>
      <c r="I2129" s="5" t="s">
        <v>3258</v>
      </c>
    </row>
    <row r="2130" spans="1:9" x14ac:dyDescent="0.25">
      <c r="A2130" s="6">
        <v>45993.861111111109</v>
      </c>
      <c r="B2130" s="5" t="s">
        <v>26</v>
      </c>
      <c r="C2130" s="8">
        <v>509.37468476208079</v>
      </c>
      <c r="D2130" s="8">
        <v>509.44558088769708</v>
      </c>
      <c r="E2130" s="8">
        <v>509.00884035584102</v>
      </c>
      <c r="F2130" s="8">
        <v>509.37374449726349</v>
      </c>
      <c r="G2130" s="7">
        <v>54344</v>
      </c>
      <c r="H2130" s="9">
        <v>27681406.770959292</v>
      </c>
      <c r="I2130" s="5" t="s">
        <v>3259</v>
      </c>
    </row>
    <row r="2131" spans="1:9" x14ac:dyDescent="0.25">
      <c r="A2131" s="6">
        <v>45993.864583333343</v>
      </c>
      <c r="B2131" s="5" t="s">
        <v>26</v>
      </c>
      <c r="C2131" s="8">
        <v>508.93505547350941</v>
      </c>
      <c r="D2131" s="8">
        <v>509.32123381363613</v>
      </c>
      <c r="E2131" s="8">
        <v>508.92583988664529</v>
      </c>
      <c r="F2131" s="8">
        <v>509.23378091736407</v>
      </c>
      <c r="G2131" s="7">
        <v>47544</v>
      </c>
      <c r="H2131" s="9">
        <v>24211010.87993516</v>
      </c>
      <c r="I2131" s="5" t="s">
        <v>3260</v>
      </c>
    </row>
    <row r="2132" spans="1:9" x14ac:dyDescent="0.25">
      <c r="A2132" s="6">
        <v>45993.868055555547</v>
      </c>
      <c r="B2132" s="5" t="s">
        <v>26</v>
      </c>
      <c r="C2132" s="8">
        <v>509.06341915676461</v>
      </c>
      <c r="D2132" s="8">
        <v>509.40071545021891</v>
      </c>
      <c r="E2132" s="8">
        <v>508.90880094103949</v>
      </c>
      <c r="F2132" s="8">
        <v>509.05364318222558</v>
      </c>
      <c r="G2132" s="7">
        <v>55053</v>
      </c>
      <c r="H2132" s="9">
        <v>28024930.218111061</v>
      </c>
      <c r="I2132" s="5" t="s">
        <v>3261</v>
      </c>
    </row>
    <row r="2133" spans="1:9" x14ac:dyDescent="0.25">
      <c r="A2133" s="6">
        <v>45993.871527777781</v>
      </c>
      <c r="B2133" s="5" t="s">
        <v>26</v>
      </c>
      <c r="C2133" s="8">
        <v>508.82349361555021</v>
      </c>
      <c r="D2133" s="8">
        <v>509.19407988643172</v>
      </c>
      <c r="E2133" s="8">
        <v>508.70832489496479</v>
      </c>
      <c r="F2133" s="8">
        <v>508.89661170524658</v>
      </c>
      <c r="G2133" s="7">
        <v>50325</v>
      </c>
      <c r="H2133" s="9">
        <v>25610221.984066531</v>
      </c>
      <c r="I2133" s="5" t="s">
        <v>3262</v>
      </c>
    </row>
    <row r="2134" spans="1:9" x14ac:dyDescent="0.25">
      <c r="A2134" s="6">
        <v>45993.875</v>
      </c>
      <c r="B2134" s="5" t="s">
        <v>26</v>
      </c>
      <c r="C2134" s="8">
        <v>509.64816841102942</v>
      </c>
      <c r="D2134" s="8">
        <v>509.89593093677871</v>
      </c>
      <c r="E2134" s="8">
        <v>509.35294334766678</v>
      </c>
      <c r="F2134" s="8">
        <v>509.52205627206172</v>
      </c>
      <c r="G2134" s="7">
        <v>64716</v>
      </c>
      <c r="H2134" s="9">
        <v>32974229.393702749</v>
      </c>
      <c r="I2134" s="5" t="s">
        <v>3263</v>
      </c>
    </row>
    <row r="2135" spans="1:9" x14ac:dyDescent="0.25">
      <c r="A2135" s="6">
        <v>45994.604166666657</v>
      </c>
      <c r="B2135" s="5" t="s">
        <v>26</v>
      </c>
      <c r="C2135" s="8">
        <v>509.82423961166961</v>
      </c>
      <c r="D2135" s="8">
        <v>509.91633948332623</v>
      </c>
      <c r="E2135" s="8">
        <v>509.56289409523117</v>
      </c>
      <c r="F2135" s="8">
        <v>509.71037609947962</v>
      </c>
      <c r="G2135" s="7">
        <v>41245</v>
      </c>
      <c r="H2135" s="9">
        <v>21023004.462223042</v>
      </c>
      <c r="I2135" s="5" t="s">
        <v>3264</v>
      </c>
    </row>
    <row r="2136" spans="1:9" x14ac:dyDescent="0.25">
      <c r="A2136" s="6">
        <v>45994.607638888891</v>
      </c>
      <c r="B2136" s="5" t="s">
        <v>26</v>
      </c>
      <c r="C2136" s="8">
        <v>509.85405919663089</v>
      </c>
      <c r="D2136" s="8">
        <v>510.38145340733388</v>
      </c>
      <c r="E2136" s="8">
        <v>509.8335967431745</v>
      </c>
      <c r="F2136" s="8">
        <v>509.8615242169364</v>
      </c>
      <c r="G2136" s="7">
        <v>69351</v>
      </c>
      <c r="H2136" s="9">
        <v>35359406.565968759</v>
      </c>
      <c r="I2136" s="5" t="s">
        <v>3265</v>
      </c>
    </row>
    <row r="2137" spans="1:9" x14ac:dyDescent="0.25">
      <c r="A2137" s="6">
        <v>45994.611111111109</v>
      </c>
      <c r="B2137" s="5" t="s">
        <v>26</v>
      </c>
      <c r="C2137" s="8">
        <v>509.91476775541281</v>
      </c>
      <c r="D2137" s="8">
        <v>510.18698817704711</v>
      </c>
      <c r="E2137" s="8">
        <v>509.7537060423407</v>
      </c>
      <c r="F2137" s="8">
        <v>509.95341810680929</v>
      </c>
      <c r="G2137" s="7">
        <v>36004</v>
      </c>
      <c r="H2137" s="9">
        <v>18360362.86551756</v>
      </c>
      <c r="I2137" s="5" t="s">
        <v>3266</v>
      </c>
    </row>
    <row r="2138" spans="1:9" x14ac:dyDescent="0.25">
      <c r="A2138" s="6">
        <v>45994.614583333343</v>
      </c>
      <c r="B2138" s="5" t="s">
        <v>26</v>
      </c>
      <c r="C2138" s="8">
        <v>510.44047149853122</v>
      </c>
      <c r="D2138" s="8">
        <v>510.754252157027</v>
      </c>
      <c r="E2138" s="8">
        <v>509.88999374544568</v>
      </c>
      <c r="F2138" s="8">
        <v>510.65543716550258</v>
      </c>
      <c r="G2138" s="7">
        <v>51416</v>
      </c>
      <c r="H2138" s="9">
        <v>26255859.957301479</v>
      </c>
      <c r="I2138" s="5" t="s">
        <v>3267</v>
      </c>
    </row>
    <row r="2139" spans="1:9" x14ac:dyDescent="0.25">
      <c r="A2139" s="6">
        <v>45994.618055555547</v>
      </c>
      <c r="B2139" s="5" t="s">
        <v>26</v>
      </c>
      <c r="C2139" s="8">
        <v>511.20251791082057</v>
      </c>
      <c r="D2139" s="8">
        <v>511.2965644703329</v>
      </c>
      <c r="E2139" s="8">
        <v>510.67818936037258</v>
      </c>
      <c r="F2139" s="8">
        <v>511.22963245630348</v>
      </c>
      <c r="G2139" s="7">
        <v>76479</v>
      </c>
      <c r="H2139" s="9">
        <v>39098331.060625643</v>
      </c>
      <c r="I2139" s="5" t="s">
        <v>3268</v>
      </c>
    </row>
    <row r="2140" spans="1:9" x14ac:dyDescent="0.25">
      <c r="A2140" s="6">
        <v>45994.621527777781</v>
      </c>
      <c r="B2140" s="5" t="s">
        <v>26</v>
      </c>
      <c r="C2140" s="8">
        <v>511.08208617229201</v>
      </c>
      <c r="D2140" s="8">
        <v>511.33569803165261</v>
      </c>
      <c r="E2140" s="8">
        <v>510.90646244829998</v>
      </c>
      <c r="F2140" s="8">
        <v>510.95941189488673</v>
      </c>
      <c r="G2140" s="7">
        <v>64119</v>
      </c>
      <c r="H2140" s="9">
        <v>32762206.53128824</v>
      </c>
      <c r="I2140" s="5" t="s">
        <v>3269</v>
      </c>
    </row>
    <row r="2141" spans="1:9" x14ac:dyDescent="0.25">
      <c r="A2141" s="6">
        <v>45994.625</v>
      </c>
      <c r="B2141" s="5" t="s">
        <v>26</v>
      </c>
      <c r="C2141" s="8">
        <v>511.72492952005132</v>
      </c>
      <c r="D2141" s="8">
        <v>512.06505236132273</v>
      </c>
      <c r="E2141" s="8">
        <v>511.29041936885409</v>
      </c>
      <c r="F2141" s="8">
        <v>511.59122003376558</v>
      </c>
      <c r="G2141" s="7">
        <v>58384</v>
      </c>
      <c r="H2141" s="9">
        <v>29868741.79045137</v>
      </c>
      <c r="I2141" s="5" t="s">
        <v>3270</v>
      </c>
    </row>
    <row r="2142" spans="1:9" x14ac:dyDescent="0.25">
      <c r="A2142" s="6">
        <v>45994.628472222219</v>
      </c>
      <c r="B2142" s="5" t="s">
        <v>26</v>
      </c>
      <c r="C2142" s="8">
        <v>511.23432150834827</v>
      </c>
      <c r="D2142" s="8">
        <v>511.60549272693822</v>
      </c>
      <c r="E2142" s="8">
        <v>510.75960012111921</v>
      </c>
      <c r="F2142" s="8">
        <v>511.29754112286213</v>
      </c>
      <c r="G2142" s="7">
        <v>51211</v>
      </c>
      <c r="H2142" s="9">
        <v>26184058.378442891</v>
      </c>
      <c r="I2142" s="5" t="s">
        <v>3271</v>
      </c>
    </row>
    <row r="2143" spans="1:9" x14ac:dyDescent="0.25">
      <c r="A2143" s="6">
        <v>45994.631944444453</v>
      </c>
      <c r="B2143" s="5" t="s">
        <v>26</v>
      </c>
      <c r="C2143" s="8">
        <v>510.82294465354983</v>
      </c>
      <c r="D2143" s="8">
        <v>510.8971986452745</v>
      </c>
      <c r="E2143" s="8">
        <v>510.46951244376902</v>
      </c>
      <c r="F2143" s="8">
        <v>510.81513095666969</v>
      </c>
      <c r="G2143" s="7">
        <v>55533</v>
      </c>
      <c r="H2143" s="9">
        <v>28367096.66741674</v>
      </c>
      <c r="I2143" s="5" t="s">
        <v>3272</v>
      </c>
    </row>
    <row r="2144" spans="1:9" x14ac:dyDescent="0.25">
      <c r="A2144" s="6">
        <v>45994.635416666657</v>
      </c>
      <c r="B2144" s="5" t="s">
        <v>26</v>
      </c>
      <c r="C2144" s="8">
        <v>510.68452615013177</v>
      </c>
      <c r="D2144" s="8">
        <v>510.77180484677018</v>
      </c>
      <c r="E2144" s="8">
        <v>510.32512245176542</v>
      </c>
      <c r="F2144" s="8">
        <v>510.73520597013311</v>
      </c>
      <c r="G2144" s="7">
        <v>59930</v>
      </c>
      <c r="H2144" s="9">
        <v>30608360.893790081</v>
      </c>
      <c r="I2144" s="5" t="s">
        <v>3273</v>
      </c>
    </row>
    <row r="2145" spans="1:9" x14ac:dyDescent="0.25">
      <c r="A2145" s="6">
        <v>45994.638888888891</v>
      </c>
      <c r="B2145" s="5" t="s">
        <v>26</v>
      </c>
      <c r="C2145" s="8">
        <v>510.86142305150202</v>
      </c>
      <c r="D2145" s="8">
        <v>510.92871826384629</v>
      </c>
      <c r="E2145" s="8">
        <v>510.69854066930532</v>
      </c>
      <c r="F2145" s="8">
        <v>510.76438284622441</v>
      </c>
      <c r="G2145" s="7">
        <v>48731</v>
      </c>
      <c r="H2145" s="9">
        <v>24890059.14047936</v>
      </c>
      <c r="I2145" s="5" t="s">
        <v>3274</v>
      </c>
    </row>
    <row r="2146" spans="1:9" x14ac:dyDescent="0.25">
      <c r="A2146" s="6">
        <v>45994.642361111109</v>
      </c>
      <c r="B2146" s="5" t="s">
        <v>26</v>
      </c>
      <c r="C2146" s="8">
        <v>510.35355588376729</v>
      </c>
      <c r="D2146" s="8">
        <v>510.51336019962798</v>
      </c>
      <c r="E2146" s="8">
        <v>509.63517637434251</v>
      </c>
      <c r="F2146" s="8">
        <v>510.4637194430727</v>
      </c>
      <c r="G2146" s="7">
        <v>50556</v>
      </c>
      <c r="H2146" s="9">
        <v>25807003.800163981</v>
      </c>
      <c r="I2146" s="5" t="s">
        <v>3275</v>
      </c>
    </row>
    <row r="2147" spans="1:9" x14ac:dyDescent="0.25">
      <c r="A2147" s="6">
        <v>45994.645833333343</v>
      </c>
      <c r="B2147" s="5" t="s">
        <v>26</v>
      </c>
      <c r="C2147" s="8">
        <v>510.68923496728883</v>
      </c>
      <c r="D2147" s="8">
        <v>511.12479174945781</v>
      </c>
      <c r="E2147" s="8">
        <v>510.06479309855013</v>
      </c>
      <c r="F2147" s="8">
        <v>510.53768814054519</v>
      </c>
      <c r="G2147" s="7">
        <v>47004</v>
      </c>
      <c r="H2147" s="9">
        <v>23997313.493358191</v>
      </c>
      <c r="I2147" s="5" t="s">
        <v>3276</v>
      </c>
    </row>
    <row r="2148" spans="1:9" x14ac:dyDescent="0.25">
      <c r="A2148" s="6">
        <v>45994.649305555547</v>
      </c>
      <c r="B2148" s="5" t="s">
        <v>26</v>
      </c>
      <c r="C2148" s="8">
        <v>510.20163958539769</v>
      </c>
      <c r="D2148" s="8">
        <v>510.69794489335459</v>
      </c>
      <c r="E2148" s="8">
        <v>510.17241738663569</v>
      </c>
      <c r="F2148" s="8">
        <v>510.47095469290389</v>
      </c>
      <c r="G2148" s="7">
        <v>54038</v>
      </c>
      <c r="H2148" s="9">
        <v>27584829.44969514</v>
      </c>
      <c r="I2148" s="5" t="s">
        <v>3277</v>
      </c>
    </row>
    <row r="2149" spans="1:9" x14ac:dyDescent="0.25">
      <c r="A2149" s="6">
        <v>45994.652777777781</v>
      </c>
      <c r="B2149" s="5" t="s">
        <v>26</v>
      </c>
      <c r="C2149" s="8">
        <v>509.71740506049758</v>
      </c>
      <c r="D2149" s="8">
        <v>510.00384605653318</v>
      </c>
      <c r="E2149" s="8">
        <v>509.60910477637339</v>
      </c>
      <c r="F2149" s="8">
        <v>509.61416497771847</v>
      </c>
      <c r="G2149" s="7">
        <v>32955</v>
      </c>
      <c r="H2149" s="9">
        <v>16794334.80684071</v>
      </c>
      <c r="I2149" s="5" t="s">
        <v>3278</v>
      </c>
    </row>
    <row r="2150" spans="1:9" x14ac:dyDescent="0.25">
      <c r="A2150" s="6">
        <v>45994.65625</v>
      </c>
      <c r="B2150" s="5" t="s">
        <v>26</v>
      </c>
      <c r="C2150" s="8">
        <v>509.68349551984369</v>
      </c>
      <c r="D2150" s="8">
        <v>509.95381668585668</v>
      </c>
      <c r="E2150" s="8">
        <v>509.30546038605212</v>
      </c>
      <c r="F2150" s="8">
        <v>509.55885683330871</v>
      </c>
      <c r="G2150" s="7">
        <v>70403</v>
      </c>
      <c r="H2150" s="9">
        <v>35874472.197635427</v>
      </c>
      <c r="I2150" s="5" t="s">
        <v>3279</v>
      </c>
    </row>
    <row r="2151" spans="1:9" x14ac:dyDescent="0.25">
      <c r="A2151" s="6">
        <v>45994.659722222219</v>
      </c>
      <c r="B2151" s="5" t="s">
        <v>26</v>
      </c>
      <c r="C2151" s="8">
        <v>508.91909179665879</v>
      </c>
      <c r="D2151" s="8">
        <v>509.54768381969751</v>
      </c>
      <c r="E2151" s="8">
        <v>508.52744418942842</v>
      </c>
      <c r="F2151" s="8">
        <v>509.13688606635679</v>
      </c>
      <c r="G2151" s="7">
        <v>43041</v>
      </c>
      <c r="H2151" s="9">
        <v>21913760.713182058</v>
      </c>
      <c r="I2151" s="5" t="s">
        <v>3280</v>
      </c>
    </row>
    <row r="2152" spans="1:9" x14ac:dyDescent="0.25">
      <c r="A2152" s="6">
        <v>45994.663194444453</v>
      </c>
      <c r="B2152" s="5" t="s">
        <v>26</v>
      </c>
      <c r="C2152" s="8">
        <v>509.45666206621809</v>
      </c>
      <c r="D2152" s="8">
        <v>509.83937695813381</v>
      </c>
      <c r="E2152" s="8">
        <v>509.30510909717759</v>
      </c>
      <c r="F2152" s="8">
        <v>509.44866282442229</v>
      </c>
      <c r="G2152" s="7">
        <v>85603</v>
      </c>
      <c r="H2152" s="9">
        <v>43610333.883759022</v>
      </c>
      <c r="I2152" s="5" t="s">
        <v>3281</v>
      </c>
    </row>
    <row r="2153" spans="1:9" x14ac:dyDescent="0.25">
      <c r="A2153" s="6">
        <v>45994.666666666657</v>
      </c>
      <c r="B2153" s="5" t="s">
        <v>26</v>
      </c>
      <c r="C2153" s="8">
        <v>510.64242029798999</v>
      </c>
      <c r="D2153" s="8">
        <v>510.76050569964121</v>
      </c>
      <c r="E2153" s="8">
        <v>510.46674105488319</v>
      </c>
      <c r="F2153" s="8">
        <v>510.7385236636394</v>
      </c>
      <c r="G2153" s="7">
        <v>56049</v>
      </c>
      <c r="H2153" s="9">
        <v>28626383.512823321</v>
      </c>
      <c r="I2153" s="5" t="s">
        <v>3282</v>
      </c>
    </row>
    <row r="2154" spans="1:9" x14ac:dyDescent="0.25">
      <c r="A2154" s="6">
        <v>45994.670138888891</v>
      </c>
      <c r="B2154" s="5" t="s">
        <v>26</v>
      </c>
      <c r="C2154" s="8">
        <v>510.62691909153227</v>
      </c>
      <c r="D2154" s="8">
        <v>510.89970272855749</v>
      </c>
      <c r="E2154" s="8">
        <v>510.45087520515682</v>
      </c>
      <c r="F2154" s="8">
        <v>510.51902919156362</v>
      </c>
      <c r="G2154" s="7">
        <v>79271</v>
      </c>
      <c r="H2154" s="9">
        <v>40469353.963044442</v>
      </c>
      <c r="I2154" s="5" t="s">
        <v>3283</v>
      </c>
    </row>
    <row r="2155" spans="1:9" x14ac:dyDescent="0.25">
      <c r="A2155" s="6">
        <v>45994.673611111109</v>
      </c>
      <c r="B2155" s="5" t="s">
        <v>26</v>
      </c>
      <c r="C2155" s="8">
        <v>510.1357968732446</v>
      </c>
      <c r="D2155" s="8">
        <v>510.31161581888517</v>
      </c>
      <c r="E2155" s="8">
        <v>509.74597349025311</v>
      </c>
      <c r="F2155" s="8">
        <v>510.07115321739838</v>
      </c>
      <c r="G2155" s="7">
        <v>67961</v>
      </c>
      <c r="H2155" s="9">
        <v>34664945.643807612</v>
      </c>
      <c r="I2155" s="5" t="s">
        <v>3284</v>
      </c>
    </row>
    <row r="2156" spans="1:9" x14ac:dyDescent="0.25">
      <c r="A2156" s="6">
        <v>45994.677083333343</v>
      </c>
      <c r="B2156" s="5" t="s">
        <v>26</v>
      </c>
      <c r="C2156" s="8">
        <v>509.20039793327879</v>
      </c>
      <c r="D2156" s="8">
        <v>509.5965005490072</v>
      </c>
      <c r="E2156" s="8">
        <v>509.10774897772478</v>
      </c>
      <c r="F2156" s="8">
        <v>509.20269298576028</v>
      </c>
      <c r="G2156" s="7">
        <v>85037</v>
      </c>
      <c r="H2156" s="9">
        <v>43301069.403430097</v>
      </c>
      <c r="I2156" s="5" t="s">
        <v>3285</v>
      </c>
    </row>
    <row r="2157" spans="1:9" x14ac:dyDescent="0.25">
      <c r="A2157" s="6">
        <v>45994.680555555547</v>
      </c>
      <c r="B2157" s="5" t="s">
        <v>26</v>
      </c>
      <c r="C2157" s="8">
        <v>510.19374093174321</v>
      </c>
      <c r="D2157" s="8">
        <v>510.34304653205447</v>
      </c>
      <c r="E2157" s="8">
        <v>509.96311620403873</v>
      </c>
      <c r="F2157" s="8">
        <v>510.12419526785447</v>
      </c>
      <c r="G2157" s="7">
        <v>55548</v>
      </c>
      <c r="H2157" s="9">
        <v>28336378.798738789</v>
      </c>
      <c r="I2157" s="5" t="s">
        <v>3286</v>
      </c>
    </row>
    <row r="2158" spans="1:9" x14ac:dyDescent="0.25">
      <c r="A2158" s="6">
        <v>45994.684027777781</v>
      </c>
      <c r="B2158" s="5" t="s">
        <v>26</v>
      </c>
      <c r="C2158" s="8">
        <v>509.40025613328578</v>
      </c>
      <c r="D2158" s="8">
        <v>509.4723185524424</v>
      </c>
      <c r="E2158" s="8">
        <v>509.26565256306333</v>
      </c>
      <c r="F2158" s="8">
        <v>509.27209071908339</v>
      </c>
      <c r="G2158" s="7">
        <v>67052</v>
      </c>
      <c r="H2158" s="9">
        <v>34147712.226895981</v>
      </c>
      <c r="I2158" s="5" t="s">
        <v>3287</v>
      </c>
    </row>
    <row r="2159" spans="1:9" x14ac:dyDescent="0.25">
      <c r="A2159" s="6">
        <v>45994.6875</v>
      </c>
      <c r="B2159" s="5" t="s">
        <v>26</v>
      </c>
      <c r="C2159" s="8">
        <v>509.51063582775208</v>
      </c>
      <c r="D2159" s="8">
        <v>509.82173653320461</v>
      </c>
      <c r="E2159" s="8">
        <v>509.482904915468</v>
      </c>
      <c r="F2159" s="8">
        <v>509.48986061236792</v>
      </c>
      <c r="G2159" s="7">
        <v>89280</v>
      </c>
      <c r="H2159" s="9">
        <v>45487254.755472213</v>
      </c>
      <c r="I2159" s="5" t="s">
        <v>3288</v>
      </c>
    </row>
    <row r="2160" spans="1:9" x14ac:dyDescent="0.25">
      <c r="A2160" s="6">
        <v>45994.690972222219</v>
      </c>
      <c r="B2160" s="5" t="s">
        <v>26</v>
      </c>
      <c r="C2160" s="8">
        <v>509.29506861777492</v>
      </c>
      <c r="D2160" s="8">
        <v>509.66455283169381</v>
      </c>
      <c r="E2160" s="8">
        <v>509.0527749352828</v>
      </c>
      <c r="F2160" s="8">
        <v>509.34905941349763</v>
      </c>
      <c r="G2160" s="7">
        <v>25459</v>
      </c>
      <c r="H2160" s="9">
        <v>12967517.703608239</v>
      </c>
      <c r="I2160" s="5" t="s">
        <v>3289</v>
      </c>
    </row>
    <row r="2161" spans="1:9" x14ac:dyDescent="0.25">
      <c r="A2161" s="6">
        <v>45994.694444444453</v>
      </c>
      <c r="B2161" s="5" t="s">
        <v>26</v>
      </c>
      <c r="C2161" s="8">
        <v>508.75122877902197</v>
      </c>
      <c r="D2161" s="8">
        <v>509.06723650848392</v>
      </c>
      <c r="E2161" s="8">
        <v>508.49112311382243</v>
      </c>
      <c r="F2161" s="8">
        <v>508.78901525815178</v>
      </c>
      <c r="G2161" s="7">
        <v>53308</v>
      </c>
      <c r="H2161" s="9">
        <v>27122524.825381551</v>
      </c>
      <c r="I2161" s="5" t="s">
        <v>3290</v>
      </c>
    </row>
    <row r="2162" spans="1:9" x14ac:dyDescent="0.25">
      <c r="A2162" s="6">
        <v>45994.697916666657</v>
      </c>
      <c r="B2162" s="5" t="s">
        <v>26</v>
      </c>
      <c r="C2162" s="8">
        <v>508.704000695628</v>
      </c>
      <c r="D2162" s="8">
        <v>509.2950274205765</v>
      </c>
      <c r="E2162" s="8">
        <v>508.54424589837339</v>
      </c>
      <c r="F2162" s="8">
        <v>508.71116732320439</v>
      </c>
      <c r="G2162" s="7">
        <v>124258</v>
      </c>
      <c r="H2162" s="9">
        <v>63211432.229246728</v>
      </c>
      <c r="I2162" s="5" t="s">
        <v>3291</v>
      </c>
    </row>
    <row r="2163" spans="1:9" x14ac:dyDescent="0.25">
      <c r="A2163" s="6">
        <v>45994.701388888891</v>
      </c>
      <c r="B2163" s="5" t="s">
        <v>26</v>
      </c>
      <c r="C2163" s="8">
        <v>509.04383591460032</v>
      </c>
      <c r="D2163" s="8">
        <v>509.20258973382681</v>
      </c>
      <c r="E2163" s="8">
        <v>508.74821347084981</v>
      </c>
      <c r="F2163" s="8">
        <v>509.14262547866662</v>
      </c>
      <c r="G2163" s="7">
        <v>55788</v>
      </c>
      <c r="H2163" s="9">
        <v>28404048.790203851</v>
      </c>
      <c r="I2163" s="5" t="s">
        <v>3292</v>
      </c>
    </row>
    <row r="2164" spans="1:9" x14ac:dyDescent="0.25">
      <c r="A2164" s="6">
        <v>45994.704861111109</v>
      </c>
      <c r="B2164" s="5" t="s">
        <v>26</v>
      </c>
      <c r="C2164" s="8">
        <v>509.44108803931152</v>
      </c>
      <c r="D2164" s="8">
        <v>509.68285852979761</v>
      </c>
      <c r="E2164" s="8">
        <v>509.39319899282998</v>
      </c>
      <c r="F2164" s="8">
        <v>509.41716812516972</v>
      </c>
      <c r="G2164" s="7">
        <v>40171</v>
      </c>
      <c r="H2164" s="9">
        <v>20463797.060756192</v>
      </c>
      <c r="I2164" s="5" t="s">
        <v>3293</v>
      </c>
    </row>
    <row r="2165" spans="1:9" x14ac:dyDescent="0.25">
      <c r="A2165" s="6">
        <v>45994.708333333343</v>
      </c>
      <c r="B2165" s="5" t="s">
        <v>26</v>
      </c>
      <c r="C2165" s="8">
        <v>509.44132690801342</v>
      </c>
      <c r="D2165" s="8">
        <v>509.60184176809349</v>
      </c>
      <c r="E2165" s="8">
        <v>509.24603432059018</v>
      </c>
      <c r="F2165" s="8">
        <v>509.39085054650411</v>
      </c>
      <c r="G2165" s="7">
        <v>65165</v>
      </c>
      <c r="H2165" s="9">
        <v>33194454.77586294</v>
      </c>
      <c r="I2165" s="5" t="s">
        <v>3294</v>
      </c>
    </row>
    <row r="2166" spans="1:9" x14ac:dyDescent="0.25">
      <c r="A2166" s="6">
        <v>45994.711805555547</v>
      </c>
      <c r="B2166" s="5" t="s">
        <v>26</v>
      </c>
      <c r="C2166" s="8">
        <v>509.34634817797718</v>
      </c>
      <c r="D2166" s="8">
        <v>509.65489971295909</v>
      </c>
      <c r="E2166" s="8">
        <v>509.29791197174831</v>
      </c>
      <c r="F2166" s="8">
        <v>509.41497579034188</v>
      </c>
      <c r="G2166" s="7">
        <v>63085</v>
      </c>
      <c r="H2166" s="9">
        <v>32136443.74773372</v>
      </c>
      <c r="I2166" s="5" t="s">
        <v>3295</v>
      </c>
    </row>
    <row r="2167" spans="1:9" x14ac:dyDescent="0.25">
      <c r="A2167" s="6">
        <v>45994.715277777781</v>
      </c>
      <c r="B2167" s="5" t="s">
        <v>26</v>
      </c>
      <c r="C2167" s="8">
        <v>509.59134052441829</v>
      </c>
      <c r="D2167" s="8">
        <v>509.94810645587711</v>
      </c>
      <c r="E2167" s="8">
        <v>509.50371672979048</v>
      </c>
      <c r="F2167" s="8">
        <v>509.86008161188857</v>
      </c>
      <c r="G2167" s="7">
        <v>51523</v>
      </c>
      <c r="H2167" s="9">
        <v>26269520.98488934</v>
      </c>
      <c r="I2167" s="5" t="s">
        <v>3296</v>
      </c>
    </row>
    <row r="2168" spans="1:9" x14ac:dyDescent="0.25">
      <c r="A2168" s="6">
        <v>45994.71875</v>
      </c>
      <c r="B2168" s="5" t="s">
        <v>26</v>
      </c>
      <c r="C2168" s="8">
        <v>509.64295347464088</v>
      </c>
      <c r="D2168" s="8">
        <v>509.85311419924261</v>
      </c>
      <c r="E2168" s="8">
        <v>509.28930453650628</v>
      </c>
      <c r="F2168" s="8">
        <v>509.30648682502431</v>
      </c>
      <c r="G2168" s="7">
        <v>71036</v>
      </c>
      <c r="H2168" s="9">
        <v>36179095.598102428</v>
      </c>
      <c r="I2168" s="5" t="s">
        <v>3297</v>
      </c>
    </row>
    <row r="2169" spans="1:9" x14ac:dyDescent="0.25">
      <c r="A2169" s="6">
        <v>45994.722222222219</v>
      </c>
      <c r="B2169" s="5" t="s">
        <v>26</v>
      </c>
      <c r="C2169" s="8">
        <v>508.57703828203188</v>
      </c>
      <c r="D2169" s="8">
        <v>508.66055621189008</v>
      </c>
      <c r="E2169" s="8">
        <v>508.57131098177172</v>
      </c>
      <c r="F2169" s="8">
        <v>508.59378732486073</v>
      </c>
      <c r="G2169" s="7">
        <v>37641</v>
      </c>
      <c r="H2169" s="9">
        <v>19143978.748695079</v>
      </c>
      <c r="I2169" s="5" t="s">
        <v>3298</v>
      </c>
    </row>
    <row r="2170" spans="1:9" x14ac:dyDescent="0.25">
      <c r="A2170" s="6">
        <v>45994.725694444453</v>
      </c>
      <c r="B2170" s="5" t="s">
        <v>26</v>
      </c>
      <c r="C2170" s="8">
        <v>508.69329067459529</v>
      </c>
      <c r="D2170" s="8">
        <v>508.98811034590301</v>
      </c>
      <c r="E2170" s="8">
        <v>508.31601986109018</v>
      </c>
      <c r="F2170" s="8">
        <v>508.44101845256</v>
      </c>
      <c r="G2170" s="7">
        <v>74181</v>
      </c>
      <c r="H2170" s="9">
        <v>37716663.189829357</v>
      </c>
      <c r="I2170" s="5" t="s">
        <v>3299</v>
      </c>
    </row>
    <row r="2171" spans="1:9" x14ac:dyDescent="0.25">
      <c r="A2171" s="6">
        <v>45994.729166666657</v>
      </c>
      <c r="B2171" s="5" t="s">
        <v>26</v>
      </c>
      <c r="C2171" s="8">
        <v>509.70605092327321</v>
      </c>
      <c r="D2171" s="8">
        <v>509.8700308330711</v>
      </c>
      <c r="E2171" s="8">
        <v>509.12928001967742</v>
      </c>
      <c r="F2171" s="8">
        <v>509.6237698302005</v>
      </c>
      <c r="G2171" s="7">
        <v>62694</v>
      </c>
      <c r="H2171" s="9">
        <v>31950352.62573459</v>
      </c>
      <c r="I2171" s="5" t="s">
        <v>3300</v>
      </c>
    </row>
    <row r="2172" spans="1:9" x14ac:dyDescent="0.25">
      <c r="A2172" s="6">
        <v>45994.732638888891</v>
      </c>
      <c r="B2172" s="5" t="s">
        <v>26</v>
      </c>
      <c r="C2172" s="8">
        <v>509.33898602312843</v>
      </c>
      <c r="D2172" s="8">
        <v>509.75989555140711</v>
      </c>
      <c r="E2172" s="8">
        <v>509.31369989384052</v>
      </c>
      <c r="F2172" s="8">
        <v>509.62409089801372</v>
      </c>
      <c r="G2172" s="7">
        <v>52808</v>
      </c>
      <c r="H2172" s="9">
        <v>26912228.992142309</v>
      </c>
      <c r="I2172" s="5" t="s">
        <v>3301</v>
      </c>
    </row>
    <row r="2173" spans="1:9" x14ac:dyDescent="0.25">
      <c r="A2173" s="6">
        <v>45994.736111111109</v>
      </c>
      <c r="B2173" s="5" t="s">
        <v>26</v>
      </c>
      <c r="C2173" s="8">
        <v>508.43022698527068</v>
      </c>
      <c r="D2173" s="8">
        <v>508.9913926289276</v>
      </c>
      <c r="E2173" s="8">
        <v>508.07191280366078</v>
      </c>
      <c r="F2173" s="8">
        <v>508.61304861996899</v>
      </c>
      <c r="G2173" s="7">
        <v>55288</v>
      </c>
      <c r="H2173" s="9">
        <v>28120198.232100841</v>
      </c>
      <c r="I2173" s="5" t="s">
        <v>3302</v>
      </c>
    </row>
    <row r="2174" spans="1:9" x14ac:dyDescent="0.25">
      <c r="A2174" s="6">
        <v>45994.739583333343</v>
      </c>
      <c r="B2174" s="5" t="s">
        <v>26</v>
      </c>
      <c r="C2174" s="8">
        <v>508.19508281067579</v>
      </c>
      <c r="D2174" s="8">
        <v>508.73698430612609</v>
      </c>
      <c r="E2174" s="8">
        <v>507.95402733163951</v>
      </c>
      <c r="F2174" s="8">
        <v>508.10508881390348</v>
      </c>
      <c r="G2174" s="7">
        <v>70395</v>
      </c>
      <c r="H2174" s="9">
        <v>35768057.727054738</v>
      </c>
      <c r="I2174" s="5" t="s">
        <v>3303</v>
      </c>
    </row>
    <row r="2175" spans="1:9" x14ac:dyDescent="0.25">
      <c r="A2175" s="6">
        <v>45994.743055555547</v>
      </c>
      <c r="B2175" s="5" t="s">
        <v>26</v>
      </c>
      <c r="C2175" s="8">
        <v>507.488884896196</v>
      </c>
      <c r="D2175" s="8">
        <v>508.17599557862212</v>
      </c>
      <c r="E2175" s="8">
        <v>507.21858652012651</v>
      </c>
      <c r="F2175" s="8">
        <v>507.64684861560721</v>
      </c>
      <c r="G2175" s="7">
        <v>76264</v>
      </c>
      <c r="H2175" s="9">
        <v>38715179.262820661</v>
      </c>
      <c r="I2175" s="5" t="s">
        <v>3304</v>
      </c>
    </row>
    <row r="2176" spans="1:9" x14ac:dyDescent="0.25">
      <c r="A2176" s="6">
        <v>45994.746527777781</v>
      </c>
      <c r="B2176" s="5" t="s">
        <v>26</v>
      </c>
      <c r="C2176" s="8">
        <v>507.91175631527562</v>
      </c>
      <c r="D2176" s="8">
        <v>508.1131556114147</v>
      </c>
      <c r="E2176" s="8">
        <v>507.04261680228149</v>
      </c>
      <c r="F2176" s="8">
        <v>507.77452023935871</v>
      </c>
      <c r="G2176" s="7">
        <v>32477</v>
      </c>
      <c r="H2176" s="9">
        <v>16490993.09381365</v>
      </c>
      <c r="I2176" s="5" t="s">
        <v>3305</v>
      </c>
    </row>
    <row r="2177" spans="1:9" x14ac:dyDescent="0.25">
      <c r="A2177" s="6">
        <v>45994.75</v>
      </c>
      <c r="B2177" s="5" t="s">
        <v>26</v>
      </c>
      <c r="C2177" s="8">
        <v>506.94369796084482</v>
      </c>
      <c r="D2177" s="8">
        <v>507.40165002400153</v>
      </c>
      <c r="E2177" s="8">
        <v>506.89491695516921</v>
      </c>
      <c r="F2177" s="8">
        <v>507.29161897957039</v>
      </c>
      <c r="G2177" s="7">
        <v>121408</v>
      </c>
      <c r="H2177" s="9">
        <v>61589260.877071679</v>
      </c>
      <c r="I2177" s="5" t="s">
        <v>3306</v>
      </c>
    </row>
    <row r="2178" spans="1:9" x14ac:dyDescent="0.25">
      <c r="A2178" s="6">
        <v>45994.753472222219</v>
      </c>
      <c r="B2178" s="5" t="s">
        <v>26</v>
      </c>
      <c r="C2178" s="8">
        <v>506.9588659908473</v>
      </c>
      <c r="D2178" s="8">
        <v>508.07702931381601</v>
      </c>
      <c r="E2178" s="8">
        <v>506.23635068996367</v>
      </c>
      <c r="F2178" s="8">
        <v>507.03523518306457</v>
      </c>
      <c r="G2178" s="7">
        <v>58494</v>
      </c>
      <c r="H2178" s="9">
        <v>29658519.046798181</v>
      </c>
      <c r="I2178" s="5" t="s">
        <v>3307</v>
      </c>
    </row>
    <row r="2179" spans="1:9" x14ac:dyDescent="0.25">
      <c r="A2179" s="6">
        <v>45994.756944444453</v>
      </c>
      <c r="B2179" s="5" t="s">
        <v>26</v>
      </c>
      <c r="C2179" s="8">
        <v>506.72297629669129</v>
      </c>
      <c r="D2179" s="8">
        <v>507.06278760612742</v>
      </c>
      <c r="E2179" s="8">
        <v>506.59560417177948</v>
      </c>
      <c r="F2179" s="8">
        <v>506.65780844137458</v>
      </c>
      <c r="G2179" s="7">
        <v>61479</v>
      </c>
      <c r="H2179" s="9">
        <v>31148815.40516727</v>
      </c>
      <c r="I2179" s="5" t="s">
        <v>3308</v>
      </c>
    </row>
    <row r="2180" spans="1:9" x14ac:dyDescent="0.25">
      <c r="A2180" s="6">
        <v>45994.760416666657</v>
      </c>
      <c r="B2180" s="5" t="s">
        <v>26</v>
      </c>
      <c r="C2180" s="8">
        <v>505.92278952656812</v>
      </c>
      <c r="D2180" s="8">
        <v>506.23400003277169</v>
      </c>
      <c r="E2180" s="8">
        <v>505.8439858006717</v>
      </c>
      <c r="F2180" s="8">
        <v>505.84446713137612</v>
      </c>
      <c r="G2180" s="7">
        <v>75851</v>
      </c>
      <c r="H2180" s="9">
        <v>38368808.676382013</v>
      </c>
      <c r="I2180" s="5" t="s">
        <v>3309</v>
      </c>
    </row>
    <row r="2181" spans="1:9" x14ac:dyDescent="0.25">
      <c r="A2181" s="6">
        <v>45994.763888888891</v>
      </c>
      <c r="B2181" s="5" t="s">
        <v>26</v>
      </c>
      <c r="C2181" s="8">
        <v>506.03720728494437</v>
      </c>
      <c r="D2181" s="8">
        <v>506.2666375112052</v>
      </c>
      <c r="E2181" s="8">
        <v>505.51081433323913</v>
      </c>
      <c r="F2181" s="8">
        <v>506.08870029268121</v>
      </c>
      <c r="G2181" s="7">
        <v>40217</v>
      </c>
      <c r="H2181" s="9">
        <v>20353369.25967076</v>
      </c>
      <c r="I2181" s="5" t="s">
        <v>3310</v>
      </c>
    </row>
    <row r="2182" spans="1:9" x14ac:dyDescent="0.25">
      <c r="A2182" s="6">
        <v>45994.767361111109</v>
      </c>
      <c r="B2182" s="5" t="s">
        <v>26</v>
      </c>
      <c r="C2182" s="8">
        <v>506.15441897207648</v>
      </c>
      <c r="D2182" s="8">
        <v>506.25804804515678</v>
      </c>
      <c r="E2182" s="8">
        <v>506.01833543069893</v>
      </c>
      <c r="F2182" s="8">
        <v>506.22750383557099</v>
      </c>
      <c r="G2182" s="7">
        <v>51086</v>
      </c>
      <c r="H2182" s="9">
        <v>25861138.260943979</v>
      </c>
      <c r="I2182" s="5" t="s">
        <v>3311</v>
      </c>
    </row>
    <row r="2183" spans="1:9" x14ac:dyDescent="0.25">
      <c r="A2183" s="6">
        <v>45994.770833333343</v>
      </c>
      <c r="B2183" s="5" t="s">
        <v>26</v>
      </c>
      <c r="C2183" s="8">
        <v>506.15007788718918</v>
      </c>
      <c r="D2183" s="8">
        <v>506.3193920895103</v>
      </c>
      <c r="E2183" s="8">
        <v>505.50233188080972</v>
      </c>
      <c r="F2183" s="8">
        <v>506.24491822393549</v>
      </c>
      <c r="G2183" s="7">
        <v>78375</v>
      </c>
      <c r="H2183" s="9">
        <v>39676945.465800941</v>
      </c>
      <c r="I2183" s="5" t="s">
        <v>3312</v>
      </c>
    </row>
    <row r="2184" spans="1:9" x14ac:dyDescent="0.25">
      <c r="A2184" s="6">
        <v>45994.774305555547</v>
      </c>
      <c r="B2184" s="5" t="s">
        <v>26</v>
      </c>
      <c r="C2184" s="8">
        <v>505.83071716669861</v>
      </c>
      <c r="D2184" s="8">
        <v>506.24819278933978</v>
      </c>
      <c r="E2184" s="8">
        <v>505.61614872175397</v>
      </c>
      <c r="F2184" s="8">
        <v>505.94064766627793</v>
      </c>
      <c r="G2184" s="7">
        <v>73286</v>
      </c>
      <c r="H2184" s="9">
        <v>37078366.304870836</v>
      </c>
      <c r="I2184" s="5" t="s">
        <v>3313</v>
      </c>
    </row>
    <row r="2185" spans="1:9" x14ac:dyDescent="0.25">
      <c r="A2185" s="6">
        <v>45994.777777777781</v>
      </c>
      <c r="B2185" s="5" t="s">
        <v>26</v>
      </c>
      <c r="C2185" s="8">
        <v>506.217514124351</v>
      </c>
      <c r="D2185" s="8">
        <v>506.5261352821413</v>
      </c>
      <c r="E2185" s="8">
        <v>506.027485450874</v>
      </c>
      <c r="F2185" s="8">
        <v>506.19043411519721</v>
      </c>
      <c r="G2185" s="7">
        <v>67870</v>
      </c>
      <c r="H2185" s="9">
        <v>34355144.763398431</v>
      </c>
      <c r="I2185" s="5" t="s">
        <v>3314</v>
      </c>
    </row>
    <row r="2186" spans="1:9" x14ac:dyDescent="0.25">
      <c r="A2186" s="6">
        <v>45994.78125</v>
      </c>
      <c r="B2186" s="5" t="s">
        <v>26</v>
      </c>
      <c r="C2186" s="8">
        <v>506.41238491597051</v>
      </c>
      <c r="D2186" s="8">
        <v>506.52485595374662</v>
      </c>
      <c r="E2186" s="8">
        <v>506.1785196172662</v>
      </c>
      <c r="F2186" s="8">
        <v>506.44770929771971</v>
      </c>
      <c r="G2186" s="7">
        <v>95095</v>
      </c>
      <c r="H2186" s="9">
        <v>48160644.915666647</v>
      </c>
      <c r="I2186" s="5" t="s">
        <v>3315</v>
      </c>
    </row>
    <row r="2187" spans="1:9" x14ac:dyDescent="0.25">
      <c r="A2187" s="6">
        <v>45994.784722222219</v>
      </c>
      <c r="B2187" s="5" t="s">
        <v>26</v>
      </c>
      <c r="C2187" s="8">
        <v>506.17117352021188</v>
      </c>
      <c r="D2187" s="8">
        <v>506.32416260343729</v>
      </c>
      <c r="E2187" s="8">
        <v>505.73892923174071</v>
      </c>
      <c r="F2187" s="8">
        <v>506.09774592153428</v>
      </c>
      <c r="G2187" s="7">
        <v>53921</v>
      </c>
      <c r="H2187" s="9">
        <v>27289296.55783505</v>
      </c>
      <c r="I2187" s="5" t="s">
        <v>3316</v>
      </c>
    </row>
    <row r="2188" spans="1:9" x14ac:dyDescent="0.25">
      <c r="A2188" s="6">
        <v>45994.788194444453</v>
      </c>
      <c r="B2188" s="5" t="s">
        <v>26</v>
      </c>
      <c r="C2188" s="8">
        <v>505.37681415063668</v>
      </c>
      <c r="D2188" s="8">
        <v>505.46161094567827</v>
      </c>
      <c r="E2188" s="8">
        <v>505.09990295885768</v>
      </c>
      <c r="F2188" s="8">
        <v>505.43229440016012</v>
      </c>
      <c r="G2188" s="7">
        <v>51798</v>
      </c>
      <c r="H2188" s="9">
        <v>26180381.985339489</v>
      </c>
      <c r="I2188" s="5" t="s">
        <v>3317</v>
      </c>
    </row>
    <row r="2189" spans="1:9" x14ac:dyDescent="0.25">
      <c r="A2189" s="6">
        <v>45994.791666666657</v>
      </c>
      <c r="B2189" s="5" t="s">
        <v>26</v>
      </c>
      <c r="C2189" s="8">
        <v>505.44999529690898</v>
      </c>
      <c r="D2189" s="8">
        <v>505.82829369469198</v>
      </c>
      <c r="E2189" s="8">
        <v>505.43009801353878</v>
      </c>
      <c r="F2189" s="8">
        <v>505.46133049613121</v>
      </c>
      <c r="G2189" s="7">
        <v>45658</v>
      </c>
      <c r="H2189" s="9">
        <v>23078353.427792359</v>
      </c>
      <c r="I2189" s="5" t="s">
        <v>3318</v>
      </c>
    </row>
    <row r="2190" spans="1:9" x14ac:dyDescent="0.25">
      <c r="A2190" s="6">
        <v>45994.795138888891</v>
      </c>
      <c r="B2190" s="5" t="s">
        <v>26</v>
      </c>
      <c r="C2190" s="8">
        <v>504.9841130369291</v>
      </c>
      <c r="D2190" s="8">
        <v>505.17159575837502</v>
      </c>
      <c r="E2190" s="8">
        <v>504.76481985641868</v>
      </c>
      <c r="F2190" s="8">
        <v>505.03063676971459</v>
      </c>
      <c r="G2190" s="7">
        <v>62053</v>
      </c>
      <c r="H2190" s="9">
        <v>31338666.1034711</v>
      </c>
      <c r="I2190" s="5" t="s">
        <v>3319</v>
      </c>
    </row>
    <row r="2191" spans="1:9" x14ac:dyDescent="0.25">
      <c r="A2191" s="6">
        <v>45994.798611111109</v>
      </c>
      <c r="B2191" s="5" t="s">
        <v>26</v>
      </c>
      <c r="C2191" s="8">
        <v>505.09319152340481</v>
      </c>
      <c r="D2191" s="8">
        <v>505.44252736757193</v>
      </c>
      <c r="E2191" s="8">
        <v>504.13804383168531</v>
      </c>
      <c r="F2191" s="8">
        <v>504.78659749610341</v>
      </c>
      <c r="G2191" s="7">
        <v>35144</v>
      </c>
      <c r="H2191" s="9">
        <v>17740220.182403062</v>
      </c>
      <c r="I2191" s="5" t="s">
        <v>3320</v>
      </c>
    </row>
    <row r="2192" spans="1:9" x14ac:dyDescent="0.25">
      <c r="A2192" s="6">
        <v>45994.802083333343</v>
      </c>
      <c r="B2192" s="5" t="s">
        <v>26</v>
      </c>
      <c r="C2192" s="8">
        <v>504.45264012295792</v>
      </c>
      <c r="D2192" s="8">
        <v>504.8124125498951</v>
      </c>
      <c r="E2192" s="8">
        <v>504.25223780393168</v>
      </c>
      <c r="F2192" s="8">
        <v>504.28926178638568</v>
      </c>
      <c r="G2192" s="7">
        <v>53023</v>
      </c>
      <c r="H2192" s="9">
        <v>26738929.52769953</v>
      </c>
      <c r="I2192" s="5" t="s">
        <v>3321</v>
      </c>
    </row>
    <row r="2193" spans="1:9" x14ac:dyDescent="0.25">
      <c r="A2193" s="6">
        <v>45994.805555555547</v>
      </c>
      <c r="B2193" s="5" t="s">
        <v>26</v>
      </c>
      <c r="C2193" s="8">
        <v>504.72050797427289</v>
      </c>
      <c r="D2193" s="8">
        <v>504.90794198383202</v>
      </c>
      <c r="E2193" s="8">
        <v>504.65454391917677</v>
      </c>
      <c r="F2193" s="8">
        <v>504.78865527089488</v>
      </c>
      <c r="G2193" s="7">
        <v>93216</v>
      </c>
      <c r="H2193" s="9">
        <v>47054379.289731734</v>
      </c>
      <c r="I2193" s="5" t="s">
        <v>3322</v>
      </c>
    </row>
    <row r="2194" spans="1:9" x14ac:dyDescent="0.25">
      <c r="A2194" s="6">
        <v>45994.809027777781</v>
      </c>
      <c r="B2194" s="5" t="s">
        <v>26</v>
      </c>
      <c r="C2194" s="8">
        <v>505.1081177541426</v>
      </c>
      <c r="D2194" s="8">
        <v>505.206486226322</v>
      </c>
      <c r="E2194" s="8">
        <v>504.95392547338321</v>
      </c>
      <c r="F2194" s="8">
        <v>505.00115488905129</v>
      </c>
      <c r="G2194" s="7">
        <v>84741</v>
      </c>
      <c r="H2194" s="9">
        <v>42794302.866453104</v>
      </c>
      <c r="I2194" s="5" t="s">
        <v>3323</v>
      </c>
    </row>
    <row r="2195" spans="1:9" x14ac:dyDescent="0.25">
      <c r="A2195" s="6">
        <v>45994.8125</v>
      </c>
      <c r="B2195" s="5" t="s">
        <v>26</v>
      </c>
      <c r="C2195" s="8">
        <v>505.82581716509219</v>
      </c>
      <c r="D2195" s="8">
        <v>505.98813350395108</v>
      </c>
      <c r="E2195" s="8">
        <v>505.52379152628458</v>
      </c>
      <c r="F2195" s="8">
        <v>505.84426010710553</v>
      </c>
      <c r="G2195" s="7">
        <v>101257</v>
      </c>
      <c r="H2195" s="9">
        <v>51220272.245665193</v>
      </c>
      <c r="I2195" s="5" t="s">
        <v>3324</v>
      </c>
    </row>
    <row r="2196" spans="1:9" x14ac:dyDescent="0.25">
      <c r="A2196" s="6">
        <v>45994.815972222219</v>
      </c>
      <c r="B2196" s="5" t="s">
        <v>26</v>
      </c>
      <c r="C2196" s="8">
        <v>505.40822921932158</v>
      </c>
      <c r="D2196" s="8">
        <v>505.54244995448062</v>
      </c>
      <c r="E2196" s="8">
        <v>505.11202168989013</v>
      </c>
      <c r="F2196" s="8">
        <v>505.3421368977709</v>
      </c>
      <c r="G2196" s="7">
        <v>40060</v>
      </c>
      <c r="H2196" s="9">
        <v>20244006.004124701</v>
      </c>
      <c r="I2196" s="5" t="s">
        <v>3325</v>
      </c>
    </row>
    <row r="2197" spans="1:9" x14ac:dyDescent="0.25">
      <c r="A2197" s="6">
        <v>45994.819444444453</v>
      </c>
      <c r="B2197" s="5" t="s">
        <v>26</v>
      </c>
      <c r="C2197" s="8">
        <v>505.43212421707972</v>
      </c>
      <c r="D2197" s="8">
        <v>505.85189348120349</v>
      </c>
      <c r="E2197" s="8">
        <v>505.15800786271808</v>
      </c>
      <c r="F2197" s="8">
        <v>505.28485307401792</v>
      </c>
      <c r="G2197" s="7">
        <v>23510</v>
      </c>
      <c r="H2197" s="9">
        <v>11879246.89577016</v>
      </c>
      <c r="I2197" s="5" t="s">
        <v>3326</v>
      </c>
    </row>
    <row r="2198" spans="1:9" x14ac:dyDescent="0.25">
      <c r="A2198" s="6">
        <v>45994.822916666657</v>
      </c>
      <c r="B2198" s="5" t="s">
        <v>26</v>
      </c>
      <c r="C2198" s="8">
        <v>505.01322822009979</v>
      </c>
      <c r="D2198" s="8">
        <v>505.36420485363061</v>
      </c>
      <c r="E2198" s="8">
        <v>504.99861342150359</v>
      </c>
      <c r="F2198" s="8">
        <v>505.19339378592628</v>
      </c>
      <c r="G2198" s="7">
        <v>46246</v>
      </c>
      <c r="H2198" s="9">
        <v>23363173.689023949</v>
      </c>
      <c r="I2198" s="5" t="s">
        <v>3327</v>
      </c>
    </row>
    <row r="2199" spans="1:9" x14ac:dyDescent="0.25">
      <c r="A2199" s="6">
        <v>45994.826388888891</v>
      </c>
      <c r="B2199" s="5" t="s">
        <v>26</v>
      </c>
      <c r="C2199" s="8">
        <v>505.68556277076789</v>
      </c>
      <c r="D2199" s="8">
        <v>506.0396638098855</v>
      </c>
      <c r="E2199" s="8">
        <v>505.47895810468458</v>
      </c>
      <c r="F2199" s="8">
        <v>505.51869655597761</v>
      </c>
      <c r="G2199" s="7">
        <v>50296</v>
      </c>
      <c r="H2199" s="9">
        <v>25425568.361979451</v>
      </c>
      <c r="I2199" s="5" t="s">
        <v>3328</v>
      </c>
    </row>
    <row r="2200" spans="1:9" x14ac:dyDescent="0.25">
      <c r="A2200" s="6">
        <v>45994.829861111109</v>
      </c>
      <c r="B2200" s="5" t="s">
        <v>26</v>
      </c>
      <c r="C2200" s="8">
        <v>505.99459753120522</v>
      </c>
      <c r="D2200" s="8">
        <v>506.15912197378731</v>
      </c>
      <c r="E2200" s="8">
        <v>505.82372833844971</v>
      </c>
      <c r="F2200" s="8">
        <v>505.84369647921898</v>
      </c>
      <c r="G2200" s="7">
        <v>54665</v>
      </c>
      <c r="H2200" s="9">
        <v>27651945.668036509</v>
      </c>
      <c r="I2200" s="5" t="s">
        <v>3329</v>
      </c>
    </row>
    <row r="2201" spans="1:9" x14ac:dyDescent="0.25">
      <c r="A2201" s="6">
        <v>45994.833333333343</v>
      </c>
      <c r="B2201" s="5" t="s">
        <v>26</v>
      </c>
      <c r="C2201" s="8">
        <v>506.09674659511421</v>
      </c>
      <c r="D2201" s="8">
        <v>506.88213019313901</v>
      </c>
      <c r="E2201" s="8">
        <v>505.92620501489881</v>
      </c>
      <c r="F2201" s="8">
        <v>506.17802399388648</v>
      </c>
      <c r="G2201" s="7">
        <v>82018</v>
      </c>
      <c r="H2201" s="9">
        <v>41515709.171930581</v>
      </c>
      <c r="I2201" s="5" t="s">
        <v>3330</v>
      </c>
    </row>
    <row r="2202" spans="1:9" x14ac:dyDescent="0.25">
      <c r="A2202" s="6">
        <v>45994.836805555547</v>
      </c>
      <c r="B2202" s="5" t="s">
        <v>26</v>
      </c>
      <c r="C2202" s="8">
        <v>506.38727934775471</v>
      </c>
      <c r="D2202" s="8">
        <v>506.40953264932341</v>
      </c>
      <c r="E2202" s="8">
        <v>505.87801390034502</v>
      </c>
      <c r="F2202" s="8">
        <v>506.26293210828379</v>
      </c>
      <c r="G2202" s="7">
        <v>67504</v>
      </c>
      <c r="H2202" s="9">
        <v>34174772.969037592</v>
      </c>
      <c r="I2202" s="5" t="s">
        <v>3331</v>
      </c>
    </row>
    <row r="2203" spans="1:9" x14ac:dyDescent="0.25">
      <c r="A2203" s="6">
        <v>45994.840277777781</v>
      </c>
      <c r="B2203" s="5" t="s">
        <v>26</v>
      </c>
      <c r="C2203" s="8">
        <v>505.84951402589422</v>
      </c>
      <c r="D2203" s="8">
        <v>506.36464890299089</v>
      </c>
      <c r="E2203" s="8">
        <v>505.82512719547577</v>
      </c>
      <c r="F2203" s="8">
        <v>506.04146831986998</v>
      </c>
      <c r="G2203" s="7">
        <v>22045</v>
      </c>
      <c r="H2203" s="9">
        <v>11155684.169111529</v>
      </c>
      <c r="I2203" s="5" t="s">
        <v>3332</v>
      </c>
    </row>
    <row r="2204" spans="1:9" x14ac:dyDescent="0.25">
      <c r="A2204" s="6">
        <v>45994.84375</v>
      </c>
      <c r="B2204" s="5" t="s">
        <v>26</v>
      </c>
      <c r="C2204" s="8">
        <v>506.28984834161179</v>
      </c>
      <c r="D2204" s="8">
        <v>506.4482831060277</v>
      </c>
      <c r="E2204" s="8">
        <v>506.14652859132889</v>
      </c>
      <c r="F2204" s="8">
        <v>506.28578184188211</v>
      </c>
      <c r="G2204" s="7">
        <v>70660</v>
      </c>
      <c r="H2204" s="9">
        <v>35774153.34494739</v>
      </c>
      <c r="I2204" s="5" t="s">
        <v>3333</v>
      </c>
    </row>
    <row r="2205" spans="1:9" x14ac:dyDescent="0.25">
      <c r="A2205" s="6">
        <v>45994.847222222219</v>
      </c>
      <c r="B2205" s="5" t="s">
        <v>26</v>
      </c>
      <c r="C2205" s="8">
        <v>506.66886246529191</v>
      </c>
      <c r="D2205" s="8">
        <v>507.01033795923752</v>
      </c>
      <c r="E2205" s="8">
        <v>506.37077743368968</v>
      </c>
      <c r="F2205" s="8">
        <v>506.56826061639981</v>
      </c>
      <c r="G2205" s="7">
        <v>104487</v>
      </c>
      <c r="H2205" s="9">
        <v>52929797.84702576</v>
      </c>
      <c r="I2205" s="5" t="s">
        <v>3334</v>
      </c>
    </row>
    <row r="2206" spans="1:9" x14ac:dyDescent="0.25">
      <c r="A2206" s="6">
        <v>45994.850694444453</v>
      </c>
      <c r="B2206" s="5" t="s">
        <v>26</v>
      </c>
      <c r="C2206" s="8">
        <v>507.80571442706889</v>
      </c>
      <c r="D2206" s="8">
        <v>507.94888895500878</v>
      </c>
      <c r="E2206" s="8">
        <v>507.62557896377461</v>
      </c>
      <c r="F2206" s="8">
        <v>507.78537310597972</v>
      </c>
      <c r="G2206" s="7">
        <v>93390</v>
      </c>
      <c r="H2206" s="9">
        <v>47422075.994367443</v>
      </c>
      <c r="I2206" s="5" t="s">
        <v>3335</v>
      </c>
    </row>
    <row r="2207" spans="1:9" x14ac:dyDescent="0.25">
      <c r="A2207" s="6">
        <v>45994.854166666657</v>
      </c>
      <c r="B2207" s="5" t="s">
        <v>26</v>
      </c>
      <c r="C2207" s="8">
        <v>507.37316019817632</v>
      </c>
      <c r="D2207" s="8">
        <v>507.53217476338551</v>
      </c>
      <c r="E2207" s="8">
        <v>507.18767853152519</v>
      </c>
      <c r="F2207" s="8">
        <v>507.20534714808309</v>
      </c>
      <c r="G2207" s="7">
        <v>69824</v>
      </c>
      <c r="H2207" s="9">
        <v>35415106.159267753</v>
      </c>
      <c r="I2207" s="5" t="s">
        <v>3336</v>
      </c>
    </row>
    <row r="2208" spans="1:9" x14ac:dyDescent="0.25">
      <c r="A2208" s="6">
        <v>45994.857638888891</v>
      </c>
      <c r="B2208" s="5" t="s">
        <v>26</v>
      </c>
      <c r="C2208" s="8">
        <v>507.47763154514809</v>
      </c>
      <c r="D2208" s="8">
        <v>507.64810834424702</v>
      </c>
      <c r="E2208" s="8">
        <v>507.12262145039449</v>
      </c>
      <c r="F2208" s="8">
        <v>507.50250623001898</v>
      </c>
      <c r="G2208" s="7">
        <v>66042</v>
      </c>
      <c r="H2208" s="9">
        <v>33516480.516442921</v>
      </c>
      <c r="I2208" s="5" t="s">
        <v>3337</v>
      </c>
    </row>
    <row r="2209" spans="1:9" x14ac:dyDescent="0.25">
      <c r="A2209" s="6">
        <v>45994.861111111109</v>
      </c>
      <c r="B2209" s="5" t="s">
        <v>26</v>
      </c>
      <c r="C2209" s="8">
        <v>508.06485649795462</v>
      </c>
      <c r="D2209" s="8">
        <v>508.69100063852949</v>
      </c>
      <c r="E2209" s="8">
        <v>508.02884692990898</v>
      </c>
      <c r="F2209" s="8">
        <v>508.09846265753191</v>
      </c>
      <c r="G2209" s="7">
        <v>58802</v>
      </c>
      <c r="H2209" s="9">
        <v>29877205.80118819</v>
      </c>
      <c r="I2209" s="5" t="s">
        <v>3338</v>
      </c>
    </row>
    <row r="2210" spans="1:9" x14ac:dyDescent="0.25">
      <c r="A2210" s="6">
        <v>45994.864583333343</v>
      </c>
      <c r="B2210" s="5" t="s">
        <v>26</v>
      </c>
      <c r="C2210" s="8">
        <v>507.83335729680363</v>
      </c>
      <c r="D2210" s="8">
        <v>508.48901825210271</v>
      </c>
      <c r="E2210" s="8">
        <v>507.68915066436892</v>
      </c>
      <c r="F2210" s="8">
        <v>508.07376719866932</v>
      </c>
      <c r="G2210" s="7">
        <v>59530</v>
      </c>
      <c r="H2210" s="9">
        <v>30245631.361336779</v>
      </c>
      <c r="I2210" s="5" t="s">
        <v>3339</v>
      </c>
    </row>
    <row r="2211" spans="1:9" x14ac:dyDescent="0.25">
      <c r="A2211" s="6">
        <v>45994.868055555547</v>
      </c>
      <c r="B2211" s="5" t="s">
        <v>26</v>
      </c>
      <c r="C2211" s="8">
        <v>508.13078260118522</v>
      </c>
      <c r="D2211" s="8">
        <v>508.27876911386221</v>
      </c>
      <c r="E2211" s="8">
        <v>507.88084065219539</v>
      </c>
      <c r="F2211" s="8">
        <v>507.95300997889649</v>
      </c>
      <c r="G2211" s="7">
        <v>54470</v>
      </c>
      <c r="H2211" s="9">
        <v>27668200.453550499</v>
      </c>
      <c r="I2211" s="5" t="s">
        <v>3340</v>
      </c>
    </row>
    <row r="2212" spans="1:9" x14ac:dyDescent="0.25">
      <c r="A2212" s="6">
        <v>45994.871527777781</v>
      </c>
      <c r="B2212" s="5" t="s">
        <v>26</v>
      </c>
      <c r="C2212" s="8">
        <v>507.29742441980102</v>
      </c>
      <c r="D2212" s="8">
        <v>507.39481743008952</v>
      </c>
      <c r="E2212" s="8">
        <v>507.14549977560358</v>
      </c>
      <c r="F2212" s="8">
        <v>507.2466332159467</v>
      </c>
      <c r="G2212" s="7">
        <v>113474</v>
      </c>
      <c r="H2212" s="9">
        <v>57559304.457546338</v>
      </c>
      <c r="I2212" s="5" t="s">
        <v>3341</v>
      </c>
    </row>
    <row r="2213" spans="1:9" x14ac:dyDescent="0.25">
      <c r="A2213" s="6">
        <v>45994.875</v>
      </c>
      <c r="B2213" s="5" t="s">
        <v>26</v>
      </c>
      <c r="C2213" s="8">
        <v>507.54159597090268</v>
      </c>
      <c r="D2213" s="8">
        <v>507.72073750224928</v>
      </c>
      <c r="E2213" s="8">
        <v>507.05263373752189</v>
      </c>
      <c r="F2213" s="8">
        <v>507.23661286758733</v>
      </c>
      <c r="G2213" s="7">
        <v>41854</v>
      </c>
      <c r="H2213" s="9">
        <v>21229881.194960002</v>
      </c>
      <c r="I2213" s="5" t="s">
        <v>3342</v>
      </c>
    </row>
    <row r="2214" spans="1:9" x14ac:dyDescent="0.25">
      <c r="A2214" s="6">
        <v>45995.604166666657</v>
      </c>
      <c r="B2214" s="5" t="s">
        <v>26</v>
      </c>
      <c r="C2214" s="8">
        <v>506.9738157165695</v>
      </c>
      <c r="D2214" s="8">
        <v>507.35891449608772</v>
      </c>
      <c r="E2214" s="8">
        <v>506.84895578828122</v>
      </c>
      <c r="F2214" s="8">
        <v>507.29151459479078</v>
      </c>
      <c r="G2214" s="7">
        <v>77252</v>
      </c>
      <c r="H2214" s="9">
        <v>39189284.085476778</v>
      </c>
      <c r="I2214" s="5" t="s">
        <v>3343</v>
      </c>
    </row>
    <row r="2215" spans="1:9" x14ac:dyDescent="0.25">
      <c r="A2215" s="6">
        <v>45995.607638888891</v>
      </c>
      <c r="B2215" s="5" t="s">
        <v>26</v>
      </c>
      <c r="C2215" s="8">
        <v>507.55244124008948</v>
      </c>
      <c r="D2215" s="8">
        <v>507.75669576723641</v>
      </c>
      <c r="E2215" s="8">
        <v>507.42648066798068</v>
      </c>
      <c r="F2215" s="8">
        <v>507.43937331796508</v>
      </c>
      <c r="G2215" s="7">
        <v>65879</v>
      </c>
      <c r="H2215" s="9">
        <v>33429598.474814221</v>
      </c>
      <c r="I2215" s="5" t="s">
        <v>3344</v>
      </c>
    </row>
    <row r="2216" spans="1:9" x14ac:dyDescent="0.25">
      <c r="A2216" s="6">
        <v>45995.611111111109</v>
      </c>
      <c r="B2216" s="5" t="s">
        <v>26</v>
      </c>
      <c r="C2216" s="8">
        <v>507.1733013802766</v>
      </c>
      <c r="D2216" s="8">
        <v>507.64510515707678</v>
      </c>
      <c r="E2216" s="8">
        <v>506.81672763856551</v>
      </c>
      <c r="F2216" s="8">
        <v>507.20521703089548</v>
      </c>
      <c r="G2216" s="7">
        <v>88020</v>
      </c>
      <c r="H2216" s="9">
        <v>44644203.203059427</v>
      </c>
      <c r="I2216" s="5" t="s">
        <v>3345</v>
      </c>
    </row>
    <row r="2217" spans="1:9" x14ac:dyDescent="0.25">
      <c r="A2217" s="6">
        <v>45995.614583333343</v>
      </c>
      <c r="B2217" s="5" t="s">
        <v>26</v>
      </c>
      <c r="C2217" s="8">
        <v>507.32444625345931</v>
      </c>
      <c r="D2217" s="8">
        <v>508.05619033474682</v>
      </c>
      <c r="E2217" s="8">
        <v>507.14842232462831</v>
      </c>
      <c r="F2217" s="8">
        <v>507.56031884499748</v>
      </c>
      <c r="G2217" s="7">
        <v>67625</v>
      </c>
      <c r="H2217" s="9">
        <v>34323766.561892956</v>
      </c>
      <c r="I2217" s="5" t="s">
        <v>3346</v>
      </c>
    </row>
    <row r="2218" spans="1:9" x14ac:dyDescent="0.25">
      <c r="A2218" s="6">
        <v>45995.618055555547</v>
      </c>
      <c r="B2218" s="5" t="s">
        <v>26</v>
      </c>
      <c r="C2218" s="8">
        <v>507.47661561614677</v>
      </c>
      <c r="D2218" s="8">
        <v>507.54166621078451</v>
      </c>
      <c r="E2218" s="8">
        <v>506.9554728425091</v>
      </c>
      <c r="F2218" s="8">
        <v>507.37091058774121</v>
      </c>
      <c r="G2218" s="7">
        <v>70671</v>
      </c>
      <c r="H2218" s="9">
        <v>35856409.622146264</v>
      </c>
      <c r="I2218" s="5" t="s">
        <v>3347</v>
      </c>
    </row>
    <row r="2219" spans="1:9" x14ac:dyDescent="0.25">
      <c r="A2219" s="6">
        <v>45995.621527777781</v>
      </c>
      <c r="B2219" s="5" t="s">
        <v>26</v>
      </c>
      <c r="C2219" s="8">
        <v>507.67236803338437</v>
      </c>
      <c r="D2219" s="8">
        <v>507.7961576521451</v>
      </c>
      <c r="E2219" s="8">
        <v>507.2473092956721</v>
      </c>
      <c r="F2219" s="8">
        <v>507.71509750010853</v>
      </c>
      <c r="G2219" s="7">
        <v>78553</v>
      </c>
      <c r="H2219" s="9">
        <v>39882544.053926021</v>
      </c>
      <c r="I2219" s="5" t="s">
        <v>3348</v>
      </c>
    </row>
    <row r="2220" spans="1:9" x14ac:dyDescent="0.25">
      <c r="A2220" s="6">
        <v>45995.625</v>
      </c>
      <c r="B2220" s="5" t="s">
        <v>26</v>
      </c>
      <c r="C2220" s="8">
        <v>508.47241186036678</v>
      </c>
      <c r="D2220" s="8">
        <v>508.90163956348908</v>
      </c>
      <c r="E2220" s="8">
        <v>508.04308320897331</v>
      </c>
      <c r="F2220" s="8">
        <v>508.46249198172302</v>
      </c>
      <c r="G2220" s="7">
        <v>57919</v>
      </c>
      <c r="H2220" s="9">
        <v>29449639.07308941</v>
      </c>
      <c r="I2220" s="5" t="s">
        <v>3349</v>
      </c>
    </row>
    <row r="2221" spans="1:9" x14ac:dyDescent="0.25">
      <c r="A2221" s="6">
        <v>45995.628472222219</v>
      </c>
      <c r="B2221" s="5" t="s">
        <v>26</v>
      </c>
      <c r="C2221" s="8">
        <v>507.77046213722969</v>
      </c>
      <c r="D2221" s="8">
        <v>508.22977102031649</v>
      </c>
      <c r="E2221" s="8">
        <v>507.74043265496073</v>
      </c>
      <c r="F2221" s="8">
        <v>507.86051269036858</v>
      </c>
      <c r="G2221" s="7">
        <v>39246</v>
      </c>
      <c r="H2221" s="9">
        <v>19931493.68104621</v>
      </c>
      <c r="I2221" s="5" t="s">
        <v>3350</v>
      </c>
    </row>
    <row r="2222" spans="1:9" x14ac:dyDescent="0.25">
      <c r="A2222" s="6">
        <v>45995.631944444453</v>
      </c>
      <c r="B2222" s="5" t="s">
        <v>26</v>
      </c>
      <c r="C2222" s="8">
        <v>508.50234512112053</v>
      </c>
      <c r="D2222" s="8">
        <v>508.94802997689652</v>
      </c>
      <c r="E2222" s="8">
        <v>507.79892548091448</v>
      </c>
      <c r="F2222" s="8">
        <v>508.27449464038949</v>
      </c>
      <c r="G2222" s="7">
        <v>91659</v>
      </c>
      <c r="H2222" s="9">
        <v>46587931.904243462</v>
      </c>
      <c r="I2222" s="5" t="s">
        <v>3351</v>
      </c>
    </row>
    <row r="2223" spans="1:9" x14ac:dyDescent="0.25">
      <c r="A2223" s="6">
        <v>45995.635416666657</v>
      </c>
      <c r="B2223" s="5" t="s">
        <v>26</v>
      </c>
      <c r="C2223" s="8">
        <v>508.54341113647888</v>
      </c>
      <c r="D2223" s="8">
        <v>508.69547516880198</v>
      </c>
      <c r="E2223" s="8">
        <v>508.23692872095933</v>
      </c>
      <c r="F2223" s="8">
        <v>508.45200720185107</v>
      </c>
      <c r="G2223" s="7">
        <v>70061</v>
      </c>
      <c r="H2223" s="9">
        <v>35622656.076568887</v>
      </c>
      <c r="I2223" s="5" t="s">
        <v>3352</v>
      </c>
    </row>
    <row r="2224" spans="1:9" x14ac:dyDescent="0.25">
      <c r="A2224" s="6">
        <v>45995.638888888891</v>
      </c>
      <c r="B2224" s="5" t="s">
        <v>26</v>
      </c>
      <c r="C2224" s="8">
        <v>508.54051103171179</v>
      </c>
      <c r="D2224" s="8">
        <v>508.73986642527132</v>
      </c>
      <c r="E2224" s="8">
        <v>508.21130891223811</v>
      </c>
      <c r="F2224" s="8">
        <v>508.55005594693853</v>
      </c>
      <c r="G2224" s="7">
        <v>57752</v>
      </c>
      <c r="H2224" s="9">
        <v>29369782.831047591</v>
      </c>
      <c r="I2224" s="5" t="s">
        <v>3353</v>
      </c>
    </row>
    <row r="2225" spans="1:9" x14ac:dyDescent="0.25">
      <c r="A2225" s="6">
        <v>45995.642361111109</v>
      </c>
      <c r="B2225" s="5" t="s">
        <v>26</v>
      </c>
      <c r="C2225" s="8">
        <v>508.51971512773071</v>
      </c>
      <c r="D2225" s="8">
        <v>508.66525192617348</v>
      </c>
      <c r="E2225" s="8">
        <v>508.35067287417729</v>
      </c>
      <c r="F2225" s="8">
        <v>508.38742963439842</v>
      </c>
      <c r="G2225" s="7">
        <v>59523</v>
      </c>
      <c r="H2225" s="9">
        <v>30260744.974128291</v>
      </c>
      <c r="I2225" s="5" t="s">
        <v>3354</v>
      </c>
    </row>
    <row r="2226" spans="1:9" x14ac:dyDescent="0.25">
      <c r="A2226" s="6">
        <v>45995.645833333343</v>
      </c>
      <c r="B2226" s="5" t="s">
        <v>26</v>
      </c>
      <c r="C2226" s="8">
        <v>507.35028912474331</v>
      </c>
      <c r="D2226" s="8">
        <v>507.64303093714659</v>
      </c>
      <c r="E2226" s="8">
        <v>507.27213941967352</v>
      </c>
      <c r="F2226" s="8">
        <v>507.52364676061808</v>
      </c>
      <c r="G2226" s="7">
        <v>67988</v>
      </c>
      <c r="H2226" s="9">
        <v>34505517.695960902</v>
      </c>
      <c r="I2226" s="5" t="s">
        <v>3355</v>
      </c>
    </row>
    <row r="2227" spans="1:9" x14ac:dyDescent="0.25">
      <c r="A2227" s="6">
        <v>45995.649305555547</v>
      </c>
      <c r="B2227" s="5" t="s">
        <v>26</v>
      </c>
      <c r="C2227" s="8">
        <v>506.87757680268197</v>
      </c>
      <c r="D2227" s="8">
        <v>507.01126375028417</v>
      </c>
      <c r="E2227" s="8">
        <v>506.62529267648648</v>
      </c>
      <c r="F2227" s="8">
        <v>506.95518354213277</v>
      </c>
      <c r="G2227" s="7">
        <v>45690</v>
      </c>
      <c r="H2227" s="9">
        <v>23162782.33604005</v>
      </c>
      <c r="I2227" s="5" t="s">
        <v>3356</v>
      </c>
    </row>
    <row r="2228" spans="1:9" x14ac:dyDescent="0.25">
      <c r="A2228" s="6">
        <v>45995.652777777781</v>
      </c>
      <c r="B2228" s="5" t="s">
        <v>26</v>
      </c>
      <c r="C2228" s="8">
        <v>506.35035863805041</v>
      </c>
      <c r="D2228" s="8">
        <v>506.58065821224119</v>
      </c>
      <c r="E2228" s="8">
        <v>506.27080882853022</v>
      </c>
      <c r="F2228" s="8">
        <v>506.54976238999689</v>
      </c>
      <c r="G2228" s="7">
        <v>83351</v>
      </c>
      <c r="H2228" s="9">
        <v>42221429.244968638</v>
      </c>
      <c r="I2228" s="5" t="s">
        <v>3357</v>
      </c>
    </row>
    <row r="2229" spans="1:9" x14ac:dyDescent="0.25">
      <c r="A2229" s="6">
        <v>45995.65625</v>
      </c>
      <c r="B2229" s="5" t="s">
        <v>26</v>
      </c>
      <c r="C2229" s="8">
        <v>506.56026516157658</v>
      </c>
      <c r="D2229" s="8">
        <v>506.57393504103862</v>
      </c>
      <c r="E2229" s="8">
        <v>506.36407898774428</v>
      </c>
      <c r="F2229" s="8">
        <v>506.42431079072668</v>
      </c>
      <c r="G2229" s="7">
        <v>38580</v>
      </c>
      <c r="H2229" s="9">
        <v>19537849.91030623</v>
      </c>
      <c r="I2229" s="5" t="s">
        <v>3358</v>
      </c>
    </row>
    <row r="2230" spans="1:9" x14ac:dyDescent="0.25">
      <c r="A2230" s="6">
        <v>45995.659722222219</v>
      </c>
      <c r="B2230" s="5" t="s">
        <v>26</v>
      </c>
      <c r="C2230" s="8">
        <v>507.15504657993108</v>
      </c>
      <c r="D2230" s="8">
        <v>507.54515405870922</v>
      </c>
      <c r="E2230" s="8">
        <v>506.96021171579929</v>
      </c>
      <c r="F2230" s="8">
        <v>507.18867010654998</v>
      </c>
      <c r="G2230" s="7">
        <v>53320</v>
      </c>
      <c r="H2230" s="9">
        <v>27043299.890081249</v>
      </c>
      <c r="I2230" s="5" t="s">
        <v>3359</v>
      </c>
    </row>
    <row r="2231" spans="1:9" x14ac:dyDescent="0.25">
      <c r="A2231" s="6">
        <v>45995.663194444453</v>
      </c>
      <c r="B2231" s="5" t="s">
        <v>26</v>
      </c>
      <c r="C2231" s="8">
        <v>507.01642013660779</v>
      </c>
      <c r="D2231" s="8">
        <v>507.20026028303943</v>
      </c>
      <c r="E2231" s="8">
        <v>506.6593717712135</v>
      </c>
      <c r="F2231" s="8">
        <v>506.90736861274843</v>
      </c>
      <c r="G2231" s="7">
        <v>44893</v>
      </c>
      <c r="H2231" s="9">
        <v>22756592.499132112</v>
      </c>
      <c r="I2231" s="5" t="s">
        <v>3360</v>
      </c>
    </row>
    <row r="2232" spans="1:9" x14ac:dyDescent="0.25">
      <c r="A2232" s="6">
        <v>45995.666666666657</v>
      </c>
      <c r="B2232" s="5" t="s">
        <v>26</v>
      </c>
      <c r="C2232" s="8">
        <v>506.41755735784278</v>
      </c>
      <c r="D2232" s="8">
        <v>506.95238745050312</v>
      </c>
      <c r="E2232" s="8">
        <v>506.40342267735411</v>
      </c>
      <c r="F2232" s="8">
        <v>506.5255129648508</v>
      </c>
      <c r="G2232" s="7">
        <v>87250</v>
      </c>
      <c r="H2232" s="9">
        <v>44194351.006183229</v>
      </c>
      <c r="I2232" s="5" t="s">
        <v>3361</v>
      </c>
    </row>
    <row r="2233" spans="1:9" x14ac:dyDescent="0.25">
      <c r="A2233" s="6">
        <v>45995.670138888891</v>
      </c>
      <c r="B2233" s="5" t="s">
        <v>26</v>
      </c>
      <c r="C2233" s="8">
        <v>506.68253893383491</v>
      </c>
      <c r="D2233" s="8">
        <v>506.82537975401073</v>
      </c>
      <c r="E2233" s="8">
        <v>506.35590998399198</v>
      </c>
      <c r="F2233" s="8">
        <v>506.70703545760102</v>
      </c>
      <c r="G2233" s="7">
        <v>65597</v>
      </c>
      <c r="H2233" s="9">
        <v>33238461.404912248</v>
      </c>
      <c r="I2233" s="5" t="s">
        <v>3362</v>
      </c>
    </row>
    <row r="2234" spans="1:9" x14ac:dyDescent="0.25">
      <c r="A2234" s="6">
        <v>45995.673611111109</v>
      </c>
      <c r="B2234" s="5" t="s">
        <v>26</v>
      </c>
      <c r="C2234" s="8">
        <v>506.7060156543501</v>
      </c>
      <c r="D2234" s="8">
        <v>506.75257106509957</v>
      </c>
      <c r="E2234" s="8">
        <v>506.55637147902019</v>
      </c>
      <c r="F2234" s="8">
        <v>506.70756513130209</v>
      </c>
      <c r="G2234" s="7">
        <v>49025</v>
      </c>
      <c r="H2234" s="9">
        <v>24841338.380562089</v>
      </c>
      <c r="I2234" s="5" t="s">
        <v>3363</v>
      </c>
    </row>
    <row r="2235" spans="1:9" x14ac:dyDescent="0.25">
      <c r="A2235" s="6">
        <v>45995.677083333343</v>
      </c>
      <c r="B2235" s="5" t="s">
        <v>26</v>
      </c>
      <c r="C2235" s="8">
        <v>506.02130888939962</v>
      </c>
      <c r="D2235" s="8">
        <v>506.66238642135232</v>
      </c>
      <c r="E2235" s="8">
        <v>505.96650136953139</v>
      </c>
      <c r="F2235" s="8">
        <v>506.11987620878068</v>
      </c>
      <c r="G2235" s="7">
        <v>101861</v>
      </c>
      <c r="H2235" s="9">
        <v>51553876.71050261</v>
      </c>
      <c r="I2235" s="5" t="s">
        <v>3364</v>
      </c>
    </row>
    <row r="2236" spans="1:9" x14ac:dyDescent="0.25">
      <c r="A2236" s="6">
        <v>45995.680555555547</v>
      </c>
      <c r="B2236" s="5" t="s">
        <v>26</v>
      </c>
      <c r="C2236" s="8">
        <v>506.03148884618611</v>
      </c>
      <c r="D2236" s="8">
        <v>506.61702951802539</v>
      </c>
      <c r="E2236" s="8">
        <v>505.81066278331002</v>
      </c>
      <c r="F2236" s="8">
        <v>505.89229391303348</v>
      </c>
      <c r="G2236" s="7">
        <v>70923</v>
      </c>
      <c r="H2236" s="9">
        <v>35879399.161194071</v>
      </c>
      <c r="I2236" s="5" t="s">
        <v>3365</v>
      </c>
    </row>
    <row r="2237" spans="1:9" x14ac:dyDescent="0.25">
      <c r="A2237" s="6">
        <v>45995.684027777781</v>
      </c>
      <c r="B2237" s="5" t="s">
        <v>26</v>
      </c>
      <c r="C2237" s="8">
        <v>506.43622526401492</v>
      </c>
      <c r="D2237" s="8">
        <v>506.54687495422911</v>
      </c>
      <c r="E2237" s="8">
        <v>505.98410593809939</v>
      </c>
      <c r="F2237" s="8">
        <v>506.19993771659131</v>
      </c>
      <c r="G2237" s="7">
        <v>48818</v>
      </c>
      <c r="H2237" s="9">
        <v>24711668.559448559</v>
      </c>
      <c r="I2237" s="5" t="s">
        <v>3366</v>
      </c>
    </row>
    <row r="2238" spans="1:9" x14ac:dyDescent="0.25">
      <c r="A2238" s="6">
        <v>45995.6875</v>
      </c>
      <c r="B2238" s="5" t="s">
        <v>26</v>
      </c>
      <c r="C2238" s="8">
        <v>505.72757148310421</v>
      </c>
      <c r="D2238" s="8">
        <v>505.94888443591452</v>
      </c>
      <c r="E2238" s="8">
        <v>505.55456480209159</v>
      </c>
      <c r="F2238" s="8">
        <v>505.75954379493572</v>
      </c>
      <c r="G2238" s="7">
        <v>49677</v>
      </c>
      <c r="H2238" s="9">
        <v>25124616.857101019</v>
      </c>
      <c r="I2238" s="5" t="s">
        <v>3367</v>
      </c>
    </row>
    <row r="2239" spans="1:9" x14ac:dyDescent="0.25">
      <c r="A2239" s="6">
        <v>45995.690972222219</v>
      </c>
      <c r="B2239" s="5" t="s">
        <v>26</v>
      </c>
      <c r="C2239" s="8">
        <v>505.74393380799529</v>
      </c>
      <c r="D2239" s="8">
        <v>506.0315769569317</v>
      </c>
      <c r="E2239" s="8">
        <v>505.35904244699373</v>
      </c>
      <c r="F2239" s="8">
        <v>506.00277292088958</v>
      </c>
      <c r="G2239" s="7">
        <v>57255</v>
      </c>
      <c r="H2239" s="9">
        <v>28971188.763585541</v>
      </c>
      <c r="I2239" s="5" t="s">
        <v>3368</v>
      </c>
    </row>
    <row r="2240" spans="1:9" x14ac:dyDescent="0.25">
      <c r="A2240" s="6">
        <v>45995.694444444453</v>
      </c>
      <c r="B2240" s="5" t="s">
        <v>26</v>
      </c>
      <c r="C2240" s="8">
        <v>505.99027686070411</v>
      </c>
      <c r="D2240" s="8">
        <v>506.38961541577208</v>
      </c>
      <c r="E2240" s="8">
        <v>505.79045043777398</v>
      </c>
      <c r="F2240" s="8">
        <v>505.80618636553578</v>
      </c>
      <c r="G2240" s="7">
        <v>29258</v>
      </c>
      <c r="H2240" s="9">
        <v>14798877.40068285</v>
      </c>
      <c r="I2240" s="5" t="s">
        <v>3369</v>
      </c>
    </row>
    <row r="2241" spans="1:9" x14ac:dyDescent="0.25">
      <c r="A2241" s="6">
        <v>45995.697916666657</v>
      </c>
      <c r="B2241" s="5" t="s">
        <v>26</v>
      </c>
      <c r="C2241" s="8">
        <v>506.402621514418</v>
      </c>
      <c r="D2241" s="8">
        <v>506.66507541042103</v>
      </c>
      <c r="E2241" s="8">
        <v>505.42597919219742</v>
      </c>
      <c r="F2241" s="8">
        <v>506.12419100564472</v>
      </c>
      <c r="G2241" s="7">
        <v>44309</v>
      </c>
      <c r="H2241" s="9">
        <v>22425856.77926911</v>
      </c>
      <c r="I2241" s="5" t="s">
        <v>3370</v>
      </c>
    </row>
    <row r="2242" spans="1:9" x14ac:dyDescent="0.25">
      <c r="A2242" s="6">
        <v>45995.701388888891</v>
      </c>
      <c r="B2242" s="5" t="s">
        <v>26</v>
      </c>
      <c r="C2242" s="8">
        <v>506.76806482680257</v>
      </c>
      <c r="D2242" s="8">
        <v>507.01662472488903</v>
      </c>
      <c r="E2242" s="8">
        <v>506.39509833071719</v>
      </c>
      <c r="F2242" s="8">
        <v>506.61868005858332</v>
      </c>
      <c r="G2242" s="7">
        <v>79829</v>
      </c>
      <c r="H2242" s="9">
        <v>40442862.610396653</v>
      </c>
      <c r="I2242" s="5" t="s">
        <v>3371</v>
      </c>
    </row>
    <row r="2243" spans="1:9" x14ac:dyDescent="0.25">
      <c r="A2243" s="6">
        <v>45995.704861111109</v>
      </c>
      <c r="B2243" s="5" t="s">
        <v>26</v>
      </c>
      <c r="C2243" s="8">
        <v>505.99018825442539</v>
      </c>
      <c r="D2243" s="8">
        <v>505.99438372954711</v>
      </c>
      <c r="E2243" s="8">
        <v>505.96262945100352</v>
      </c>
      <c r="F2243" s="8">
        <v>505.98780135563158</v>
      </c>
      <c r="G2243" s="7">
        <v>40651</v>
      </c>
      <c r="H2243" s="9">
        <v>20568910.112907778</v>
      </c>
      <c r="I2243" s="5" t="s">
        <v>3372</v>
      </c>
    </row>
    <row r="2244" spans="1:9" x14ac:dyDescent="0.25">
      <c r="A2244" s="6">
        <v>45995.708333333343</v>
      </c>
      <c r="B2244" s="5" t="s">
        <v>26</v>
      </c>
      <c r="C2244" s="8">
        <v>505.39496563605701</v>
      </c>
      <c r="D2244" s="8">
        <v>506.20318583506202</v>
      </c>
      <c r="E2244" s="8">
        <v>505.31570094978753</v>
      </c>
      <c r="F2244" s="8">
        <v>505.66094886337248</v>
      </c>
      <c r="G2244" s="7">
        <v>47760</v>
      </c>
      <c r="H2244" s="9">
        <v>24150366.91771467</v>
      </c>
      <c r="I2244" s="5" t="s">
        <v>3373</v>
      </c>
    </row>
    <row r="2245" spans="1:9" x14ac:dyDescent="0.25">
      <c r="A2245" s="6">
        <v>45995.711805555547</v>
      </c>
      <c r="B2245" s="5" t="s">
        <v>26</v>
      </c>
      <c r="C2245" s="8">
        <v>505.79442471412358</v>
      </c>
      <c r="D2245" s="8">
        <v>506.27921075126079</v>
      </c>
      <c r="E2245" s="8">
        <v>505.62732931342458</v>
      </c>
      <c r="F2245" s="8">
        <v>505.79369065441051</v>
      </c>
      <c r="G2245" s="7">
        <v>90051</v>
      </c>
      <c r="H2245" s="9">
        <v>45547227.637120321</v>
      </c>
      <c r="I2245" s="5" t="s">
        <v>3374</v>
      </c>
    </row>
    <row r="2246" spans="1:9" x14ac:dyDescent="0.25">
      <c r="A2246" s="6">
        <v>45995.715277777781</v>
      </c>
      <c r="B2246" s="5" t="s">
        <v>26</v>
      </c>
      <c r="C2246" s="8">
        <v>505.13573604595581</v>
      </c>
      <c r="D2246" s="8">
        <v>505.30284520729231</v>
      </c>
      <c r="E2246" s="8">
        <v>505.07183543974742</v>
      </c>
      <c r="F2246" s="8">
        <v>505.15071853992242</v>
      </c>
      <c r="G2246" s="7">
        <v>85014</v>
      </c>
      <c r="H2246" s="9">
        <v>42944883.185952961</v>
      </c>
      <c r="I2246" s="5" t="s">
        <v>3375</v>
      </c>
    </row>
    <row r="2247" spans="1:9" x14ac:dyDescent="0.25">
      <c r="A2247" s="6">
        <v>45995.71875</v>
      </c>
      <c r="B2247" s="5" t="s">
        <v>26</v>
      </c>
      <c r="C2247" s="8">
        <v>505.1511632282988</v>
      </c>
      <c r="D2247" s="8">
        <v>505.37679140606912</v>
      </c>
      <c r="E2247" s="8">
        <v>504.74626666043309</v>
      </c>
      <c r="F2247" s="8">
        <v>505.23599694505867</v>
      </c>
      <c r="G2247" s="7">
        <v>60199</v>
      </c>
      <c r="H2247" s="9">
        <v>30414701.780095588</v>
      </c>
      <c r="I2247" s="5" t="s">
        <v>3376</v>
      </c>
    </row>
    <row r="2248" spans="1:9" x14ac:dyDescent="0.25">
      <c r="A2248" s="6">
        <v>45995.722222222219</v>
      </c>
      <c r="B2248" s="5" t="s">
        <v>26</v>
      </c>
      <c r="C2248" s="8">
        <v>504.85995800717097</v>
      </c>
      <c r="D2248" s="8">
        <v>505.52175789279983</v>
      </c>
      <c r="E2248" s="8">
        <v>504.58062969801358</v>
      </c>
      <c r="F2248" s="8">
        <v>505.09602609784292</v>
      </c>
      <c r="G2248" s="7">
        <v>74523</v>
      </c>
      <c r="H2248" s="9">
        <v>37641271.15288955</v>
      </c>
      <c r="I2248" s="5" t="s">
        <v>3377</v>
      </c>
    </row>
    <row r="2249" spans="1:9" x14ac:dyDescent="0.25">
      <c r="A2249" s="6">
        <v>45995.725694444453</v>
      </c>
      <c r="B2249" s="5" t="s">
        <v>26</v>
      </c>
      <c r="C2249" s="8">
        <v>505.52445385350097</v>
      </c>
      <c r="D2249" s="8">
        <v>506.24750495324412</v>
      </c>
      <c r="E2249" s="8">
        <v>505.45725095560351</v>
      </c>
      <c r="F2249" s="8">
        <v>505.62327997630632</v>
      </c>
      <c r="G2249" s="7">
        <v>63432</v>
      </c>
      <c r="H2249" s="9">
        <v>32072695.895457059</v>
      </c>
      <c r="I2249" s="5" t="s">
        <v>3378</v>
      </c>
    </row>
    <row r="2250" spans="1:9" x14ac:dyDescent="0.25">
      <c r="A2250" s="6">
        <v>45995.729166666657</v>
      </c>
      <c r="B2250" s="5" t="s">
        <v>26</v>
      </c>
      <c r="C2250" s="8">
        <v>505.61980370820311</v>
      </c>
      <c r="D2250" s="8">
        <v>506.04702596490432</v>
      </c>
      <c r="E2250" s="8">
        <v>505.56296979660277</v>
      </c>
      <c r="F2250" s="8">
        <v>505.73948245650439</v>
      </c>
      <c r="G2250" s="7">
        <v>76133</v>
      </c>
      <c r="H2250" s="9">
        <v>38503464.017861053</v>
      </c>
      <c r="I2250" s="5" t="s">
        <v>3379</v>
      </c>
    </row>
    <row r="2251" spans="1:9" x14ac:dyDescent="0.25">
      <c r="A2251" s="6">
        <v>45995.732638888891</v>
      </c>
      <c r="B2251" s="5" t="s">
        <v>26</v>
      </c>
      <c r="C2251" s="8">
        <v>504.82165221090497</v>
      </c>
      <c r="D2251" s="8">
        <v>505.26921064223387</v>
      </c>
      <c r="E2251" s="8">
        <v>504.38018458098412</v>
      </c>
      <c r="F2251" s="8">
        <v>505.02185878530611</v>
      </c>
      <c r="G2251" s="7">
        <v>55994</v>
      </c>
      <c r="H2251" s="9">
        <v>28278193.96082443</v>
      </c>
      <c r="I2251" s="5" t="s">
        <v>3380</v>
      </c>
    </row>
    <row r="2252" spans="1:9" x14ac:dyDescent="0.25">
      <c r="A2252" s="6">
        <v>45995.736111111109</v>
      </c>
      <c r="B2252" s="5" t="s">
        <v>26</v>
      </c>
      <c r="C2252" s="8">
        <v>504.9138032190595</v>
      </c>
      <c r="D2252" s="8">
        <v>505.05725468226308</v>
      </c>
      <c r="E2252" s="8">
        <v>504.58386150231729</v>
      </c>
      <c r="F2252" s="8">
        <v>504.91902295983942</v>
      </c>
      <c r="G2252" s="7">
        <v>41312</v>
      </c>
      <c r="H2252" s="9">
        <v>20859214.676516879</v>
      </c>
      <c r="I2252" s="5" t="s">
        <v>3381</v>
      </c>
    </row>
    <row r="2253" spans="1:9" x14ac:dyDescent="0.25">
      <c r="A2253" s="6">
        <v>45995.739583333343</v>
      </c>
      <c r="B2253" s="5" t="s">
        <v>26</v>
      </c>
      <c r="C2253" s="8">
        <v>505.44910158006161</v>
      </c>
      <c r="D2253" s="8">
        <v>505.76911755146432</v>
      </c>
      <c r="E2253" s="8">
        <v>504.99833611182771</v>
      </c>
      <c r="F2253" s="8">
        <v>505.52972431387661</v>
      </c>
      <c r="G2253" s="7">
        <v>73803</v>
      </c>
      <c r="H2253" s="9">
        <v>37309610.243537039</v>
      </c>
      <c r="I2253" s="5" t="s">
        <v>3382</v>
      </c>
    </row>
    <row r="2254" spans="1:9" x14ac:dyDescent="0.25">
      <c r="A2254" s="6">
        <v>45995.743055555547</v>
      </c>
      <c r="B2254" s="5" t="s">
        <v>26</v>
      </c>
      <c r="C2254" s="8">
        <v>506.07024183632421</v>
      </c>
      <c r="D2254" s="8">
        <v>506.43564741474398</v>
      </c>
      <c r="E2254" s="8">
        <v>505.96398965723688</v>
      </c>
      <c r="F2254" s="8">
        <v>506.11097429488109</v>
      </c>
      <c r="G2254" s="7">
        <v>141616</v>
      </c>
      <c r="H2254" s="9">
        <v>71673411.735743895</v>
      </c>
      <c r="I2254" s="5" t="s">
        <v>3383</v>
      </c>
    </row>
    <row r="2255" spans="1:9" x14ac:dyDescent="0.25">
      <c r="A2255" s="6">
        <v>45995.746527777781</v>
      </c>
      <c r="B2255" s="5" t="s">
        <v>26</v>
      </c>
      <c r="C2255" s="8">
        <v>506.00864591691499</v>
      </c>
      <c r="D2255" s="8">
        <v>506.33498801509103</v>
      </c>
      <c r="E2255" s="8">
        <v>505.99130180173609</v>
      </c>
      <c r="F2255" s="8">
        <v>506.03451197020001</v>
      </c>
      <c r="G2255" s="7">
        <v>78675</v>
      </c>
      <c r="H2255" s="9">
        <v>39812265.229255483</v>
      </c>
      <c r="I2255" s="5" t="s">
        <v>3384</v>
      </c>
    </row>
    <row r="2256" spans="1:9" x14ac:dyDescent="0.25">
      <c r="A2256" s="6">
        <v>45995.75</v>
      </c>
      <c r="B2256" s="5" t="s">
        <v>26</v>
      </c>
      <c r="C2256" s="8">
        <v>505.92636880375159</v>
      </c>
      <c r="D2256" s="8">
        <v>506.07658253222178</v>
      </c>
      <c r="E2256" s="8">
        <v>505.6311424286373</v>
      </c>
      <c r="F2256" s="8">
        <v>505.71627959247968</v>
      </c>
      <c r="G2256" s="7">
        <v>97787</v>
      </c>
      <c r="H2256" s="9">
        <v>49452477.832509808</v>
      </c>
      <c r="I2256" s="5" t="s">
        <v>3385</v>
      </c>
    </row>
    <row r="2257" spans="1:9" x14ac:dyDescent="0.25">
      <c r="A2257" s="6">
        <v>45995.753472222219</v>
      </c>
      <c r="B2257" s="5" t="s">
        <v>26</v>
      </c>
      <c r="C2257" s="8">
        <v>505.51553306673139</v>
      </c>
      <c r="D2257" s="8">
        <v>505.57448796181882</v>
      </c>
      <c r="E2257" s="8">
        <v>505.26933716138677</v>
      </c>
      <c r="F2257" s="8">
        <v>505.48226769031021</v>
      </c>
      <c r="G2257" s="7">
        <v>74185</v>
      </c>
      <c r="H2257" s="9">
        <v>37499202.028605662</v>
      </c>
      <c r="I2257" s="5" t="s">
        <v>3386</v>
      </c>
    </row>
    <row r="2258" spans="1:9" x14ac:dyDescent="0.25">
      <c r="A2258" s="6">
        <v>45995.756944444453</v>
      </c>
      <c r="B2258" s="5" t="s">
        <v>26</v>
      </c>
      <c r="C2258" s="8">
        <v>504.38595459223319</v>
      </c>
      <c r="D2258" s="8">
        <v>504.55647214052249</v>
      </c>
      <c r="E2258" s="8">
        <v>504.28535495327992</v>
      </c>
      <c r="F2258" s="8">
        <v>504.53439572858548</v>
      </c>
      <c r="G2258" s="7">
        <v>45257</v>
      </c>
      <c r="H2258" s="9">
        <v>22833713.14748859</v>
      </c>
      <c r="I2258" s="5" t="s">
        <v>3387</v>
      </c>
    </row>
    <row r="2259" spans="1:9" x14ac:dyDescent="0.25">
      <c r="A2259" s="6">
        <v>45995.760416666657</v>
      </c>
      <c r="B2259" s="5" t="s">
        <v>26</v>
      </c>
      <c r="C2259" s="8">
        <v>504.21004354992789</v>
      </c>
      <c r="D2259" s="8">
        <v>504.40115963631041</v>
      </c>
      <c r="E2259" s="8">
        <v>503.77121835665952</v>
      </c>
      <c r="F2259" s="8">
        <v>503.96223846573753</v>
      </c>
      <c r="G2259" s="7">
        <v>63806</v>
      </c>
      <c r="H2259" s="9">
        <v>32155814.587544851</v>
      </c>
      <c r="I2259" s="5" t="s">
        <v>3388</v>
      </c>
    </row>
    <row r="2260" spans="1:9" x14ac:dyDescent="0.25">
      <c r="A2260" s="6">
        <v>45995.763888888891</v>
      </c>
      <c r="B2260" s="5" t="s">
        <v>26</v>
      </c>
      <c r="C2260" s="8">
        <v>504.55411800455261</v>
      </c>
      <c r="D2260" s="8">
        <v>504.93260407668328</v>
      </c>
      <c r="E2260" s="8">
        <v>504.48380736902578</v>
      </c>
      <c r="F2260" s="8">
        <v>504.4986590073479</v>
      </c>
      <c r="G2260" s="7">
        <v>86196</v>
      </c>
      <c r="H2260" s="9">
        <v>43485766.41179736</v>
      </c>
      <c r="I2260" s="5" t="s">
        <v>3389</v>
      </c>
    </row>
    <row r="2261" spans="1:9" x14ac:dyDescent="0.25">
      <c r="A2261" s="6">
        <v>45995.767361111109</v>
      </c>
      <c r="B2261" s="5" t="s">
        <v>26</v>
      </c>
      <c r="C2261" s="8">
        <v>503.69812031147308</v>
      </c>
      <c r="D2261" s="8">
        <v>503.81358877934161</v>
      </c>
      <c r="E2261" s="8">
        <v>503.68240399183918</v>
      </c>
      <c r="F2261" s="8">
        <v>503.78050177987228</v>
      </c>
      <c r="G2261" s="7">
        <v>48997</v>
      </c>
      <c r="H2261" s="9">
        <v>24683733.245708399</v>
      </c>
      <c r="I2261" s="5" t="s">
        <v>3390</v>
      </c>
    </row>
    <row r="2262" spans="1:9" x14ac:dyDescent="0.25">
      <c r="A2262" s="6">
        <v>45995.770833333343</v>
      </c>
      <c r="B2262" s="5" t="s">
        <v>26</v>
      </c>
      <c r="C2262" s="8">
        <v>503.9496659027796</v>
      </c>
      <c r="D2262" s="8">
        <v>504.51710879926912</v>
      </c>
      <c r="E2262" s="8">
        <v>503.66055313333243</v>
      </c>
      <c r="F2262" s="8">
        <v>503.88953439777288</v>
      </c>
      <c r="G2262" s="7">
        <v>59944</v>
      </c>
      <c r="H2262" s="9">
        <v>30205154.249940101</v>
      </c>
      <c r="I2262" s="5" t="s">
        <v>3391</v>
      </c>
    </row>
    <row r="2263" spans="1:9" x14ac:dyDescent="0.25">
      <c r="A2263" s="6">
        <v>45995.774305555547</v>
      </c>
      <c r="B2263" s="5" t="s">
        <v>26</v>
      </c>
      <c r="C2263" s="8">
        <v>503.59408803949202</v>
      </c>
      <c r="D2263" s="8">
        <v>503.72075726443393</v>
      </c>
      <c r="E2263" s="8">
        <v>503.23548851111917</v>
      </c>
      <c r="F2263" s="8">
        <v>503.42217072862411</v>
      </c>
      <c r="G2263" s="7">
        <v>71384</v>
      </c>
      <c r="H2263" s="9">
        <v>35936288.235292107</v>
      </c>
      <c r="I2263" s="5" t="s">
        <v>3392</v>
      </c>
    </row>
    <row r="2264" spans="1:9" x14ac:dyDescent="0.25">
      <c r="A2264" s="6">
        <v>45995.777777777781</v>
      </c>
      <c r="B2264" s="5" t="s">
        <v>26</v>
      </c>
      <c r="C2264" s="8">
        <v>504.20127144584768</v>
      </c>
      <c r="D2264" s="8">
        <v>504.3367377349814</v>
      </c>
      <c r="E2264" s="8">
        <v>504.02773584831777</v>
      </c>
      <c r="F2264" s="8">
        <v>504.24604810613869</v>
      </c>
      <c r="G2264" s="7">
        <v>41580</v>
      </c>
      <c r="H2264" s="9">
        <v>20966550.680253241</v>
      </c>
      <c r="I2264" s="5" t="s">
        <v>3393</v>
      </c>
    </row>
    <row r="2265" spans="1:9" x14ac:dyDescent="0.25">
      <c r="A2265" s="6">
        <v>45995.78125</v>
      </c>
      <c r="B2265" s="5" t="s">
        <v>26</v>
      </c>
      <c r="C2265" s="8">
        <v>503.68140957173779</v>
      </c>
      <c r="D2265" s="8">
        <v>503.72624265737738</v>
      </c>
      <c r="E2265" s="8">
        <v>503.30363690082208</v>
      </c>
      <c r="F2265" s="8">
        <v>503.55284033617801</v>
      </c>
      <c r="G2265" s="7">
        <v>59901</v>
      </c>
      <c r="H2265" s="9">
        <v>30163318.688977391</v>
      </c>
      <c r="I2265" s="5" t="s">
        <v>3394</v>
      </c>
    </row>
    <row r="2266" spans="1:9" x14ac:dyDescent="0.25">
      <c r="A2266" s="6">
        <v>45995.784722222219</v>
      </c>
      <c r="B2266" s="5" t="s">
        <v>26</v>
      </c>
      <c r="C2266" s="8">
        <v>503.44162582960661</v>
      </c>
      <c r="D2266" s="8">
        <v>503.54495576591108</v>
      </c>
      <c r="E2266" s="8">
        <v>503.34709366819129</v>
      </c>
      <c r="F2266" s="8">
        <v>503.47081476067729</v>
      </c>
      <c r="G2266" s="7">
        <v>52726</v>
      </c>
      <c r="H2266" s="9">
        <v>26546002.179071471</v>
      </c>
      <c r="I2266" s="5" t="s">
        <v>3395</v>
      </c>
    </row>
    <row r="2267" spans="1:9" x14ac:dyDescent="0.25">
      <c r="A2267" s="6">
        <v>45995.788194444453</v>
      </c>
      <c r="B2267" s="5" t="s">
        <v>26</v>
      </c>
      <c r="C2267" s="8">
        <v>504.21936805297082</v>
      </c>
      <c r="D2267" s="8">
        <v>504.22500476242737</v>
      </c>
      <c r="E2267" s="8">
        <v>503.55781221818489</v>
      </c>
      <c r="F2267" s="8">
        <v>504.05614231648121</v>
      </c>
      <c r="G2267" s="7">
        <v>51081</v>
      </c>
      <c r="H2267" s="9">
        <v>25747691.805668179</v>
      </c>
      <c r="I2267" s="5" t="s">
        <v>3396</v>
      </c>
    </row>
    <row r="2268" spans="1:9" x14ac:dyDescent="0.25">
      <c r="A2268" s="6">
        <v>45995.791666666657</v>
      </c>
      <c r="B2268" s="5" t="s">
        <v>26</v>
      </c>
      <c r="C2268" s="8">
        <v>504.66139386790422</v>
      </c>
      <c r="D2268" s="8">
        <v>504.72149195072927</v>
      </c>
      <c r="E2268" s="8">
        <v>503.97668260954828</v>
      </c>
      <c r="F2268" s="8">
        <v>504.49168782679777</v>
      </c>
      <c r="G2268" s="7">
        <v>41379</v>
      </c>
      <c r="H2268" s="9">
        <v>20875361.550585069</v>
      </c>
      <c r="I2268" s="5" t="s">
        <v>3397</v>
      </c>
    </row>
    <row r="2269" spans="1:9" x14ac:dyDescent="0.25">
      <c r="A2269" s="6">
        <v>45995.795138888891</v>
      </c>
      <c r="B2269" s="5" t="s">
        <v>26</v>
      </c>
      <c r="C2269" s="8">
        <v>504.42361902838411</v>
      </c>
      <c r="D2269" s="8">
        <v>504.94534173590478</v>
      </c>
      <c r="E2269" s="8">
        <v>504.30368290159811</v>
      </c>
      <c r="F2269" s="8">
        <v>504.497977634449</v>
      </c>
      <c r="G2269" s="7">
        <v>47190</v>
      </c>
      <c r="H2269" s="9">
        <v>23807259.564569648</v>
      </c>
      <c r="I2269" s="5" t="s">
        <v>3398</v>
      </c>
    </row>
    <row r="2270" spans="1:9" x14ac:dyDescent="0.25">
      <c r="A2270" s="6">
        <v>45995.798611111109</v>
      </c>
      <c r="B2270" s="5" t="s">
        <v>26</v>
      </c>
      <c r="C2270" s="8">
        <v>504.35847008587558</v>
      </c>
      <c r="D2270" s="8">
        <v>504.79910538321172</v>
      </c>
      <c r="E2270" s="8">
        <v>504.14105182586877</v>
      </c>
      <c r="F2270" s="8">
        <v>504.45894358803918</v>
      </c>
      <c r="G2270" s="7">
        <v>46599</v>
      </c>
      <c r="H2270" s="9">
        <v>23507282.312259041</v>
      </c>
      <c r="I2270" s="5" t="s">
        <v>3399</v>
      </c>
    </row>
    <row r="2271" spans="1:9" x14ac:dyDescent="0.25">
      <c r="A2271" s="6">
        <v>45995.802083333343</v>
      </c>
      <c r="B2271" s="5" t="s">
        <v>26</v>
      </c>
      <c r="C2271" s="8">
        <v>504.59169258994439</v>
      </c>
      <c r="D2271" s="8">
        <v>504.74082520459558</v>
      </c>
      <c r="E2271" s="8">
        <v>504.53922469701382</v>
      </c>
      <c r="F2271" s="8">
        <v>504.65614225244673</v>
      </c>
      <c r="G2271" s="7">
        <v>51045</v>
      </c>
      <c r="H2271" s="9">
        <v>25760172.78127614</v>
      </c>
      <c r="I2271" s="5" t="s">
        <v>3400</v>
      </c>
    </row>
    <row r="2272" spans="1:9" x14ac:dyDescent="0.25">
      <c r="A2272" s="6">
        <v>45995.805555555547</v>
      </c>
      <c r="B2272" s="5" t="s">
        <v>26</v>
      </c>
      <c r="C2272" s="8">
        <v>503.69593060832199</v>
      </c>
      <c r="D2272" s="8">
        <v>504.05246707663798</v>
      </c>
      <c r="E2272" s="8">
        <v>503.60834823638828</v>
      </c>
      <c r="F2272" s="8">
        <v>504.00660606555749</v>
      </c>
      <c r="G2272" s="7">
        <v>72561</v>
      </c>
      <c r="H2272" s="9">
        <v>36571223.342722923</v>
      </c>
      <c r="I2272" s="5" t="s">
        <v>3401</v>
      </c>
    </row>
    <row r="2273" spans="1:9" x14ac:dyDescent="0.25">
      <c r="A2273" s="6">
        <v>45995.809027777781</v>
      </c>
      <c r="B2273" s="5" t="s">
        <v>26</v>
      </c>
      <c r="C2273" s="8">
        <v>504.09012701304943</v>
      </c>
      <c r="D2273" s="8">
        <v>504.19537269699742</v>
      </c>
      <c r="E2273" s="8">
        <v>503.830548989742</v>
      </c>
      <c r="F2273" s="8">
        <v>504.09779393290802</v>
      </c>
      <c r="G2273" s="7">
        <v>20445</v>
      </c>
      <c r="H2273" s="9">
        <v>10306279.396958301</v>
      </c>
      <c r="I2273" s="5" t="s">
        <v>3402</v>
      </c>
    </row>
    <row r="2274" spans="1:9" x14ac:dyDescent="0.25">
      <c r="A2274" s="6">
        <v>45995.8125</v>
      </c>
      <c r="B2274" s="5" t="s">
        <v>26</v>
      </c>
      <c r="C2274" s="8">
        <v>503.41146305317488</v>
      </c>
      <c r="D2274" s="8">
        <v>503.45045360665949</v>
      </c>
      <c r="E2274" s="8">
        <v>503.10469217011678</v>
      </c>
      <c r="F2274" s="8">
        <v>503.34338345770283</v>
      </c>
      <c r="G2274" s="7">
        <v>50191</v>
      </c>
      <c r="H2274" s="9">
        <v>25263307.759125561</v>
      </c>
      <c r="I2274" s="5" t="s">
        <v>3403</v>
      </c>
    </row>
    <row r="2275" spans="1:9" x14ac:dyDescent="0.25">
      <c r="A2275" s="6">
        <v>45995.815972222219</v>
      </c>
      <c r="B2275" s="5" t="s">
        <v>26</v>
      </c>
      <c r="C2275" s="8">
        <v>503.76021588092351</v>
      </c>
      <c r="D2275" s="8">
        <v>503.80233299435321</v>
      </c>
      <c r="E2275" s="8">
        <v>503.18364396664629</v>
      </c>
      <c r="F2275" s="8">
        <v>503.69772970894388</v>
      </c>
      <c r="G2275" s="7">
        <v>83712</v>
      </c>
      <c r="H2275" s="9">
        <v>42165544.349395111</v>
      </c>
      <c r="I2275" s="5" t="s">
        <v>3404</v>
      </c>
    </row>
    <row r="2276" spans="1:9" x14ac:dyDescent="0.25">
      <c r="A2276" s="6">
        <v>45995.819444444453</v>
      </c>
      <c r="B2276" s="5" t="s">
        <v>26</v>
      </c>
      <c r="C2276" s="8">
        <v>503.4710628203315</v>
      </c>
      <c r="D2276" s="8">
        <v>503.61839108903422</v>
      </c>
      <c r="E2276" s="8">
        <v>502.88615235595472</v>
      </c>
      <c r="F2276" s="8">
        <v>503.3845356965702</v>
      </c>
      <c r="G2276" s="7">
        <v>37317</v>
      </c>
      <c r="H2276" s="9">
        <v>18784800.718588911</v>
      </c>
      <c r="I2276" s="5" t="s">
        <v>3405</v>
      </c>
    </row>
    <row r="2277" spans="1:9" x14ac:dyDescent="0.25">
      <c r="A2277" s="6">
        <v>45995.822916666657</v>
      </c>
      <c r="B2277" s="5" t="s">
        <v>26</v>
      </c>
      <c r="C2277" s="8">
        <v>502.55232786589988</v>
      </c>
      <c r="D2277" s="8">
        <v>502.8908753091676</v>
      </c>
      <c r="E2277" s="8">
        <v>502.21188455547241</v>
      </c>
      <c r="F2277" s="8">
        <v>502.70246697510362</v>
      </c>
      <c r="G2277" s="7">
        <v>65080</v>
      </c>
      <c r="H2277" s="9">
        <v>32715876.550739739</v>
      </c>
      <c r="I2277" s="5" t="s">
        <v>3406</v>
      </c>
    </row>
    <row r="2278" spans="1:9" x14ac:dyDescent="0.25">
      <c r="A2278" s="6">
        <v>45995.826388888891</v>
      </c>
      <c r="B2278" s="5" t="s">
        <v>26</v>
      </c>
      <c r="C2278" s="8">
        <v>502.50122769200732</v>
      </c>
      <c r="D2278" s="8">
        <v>503.05520528264361</v>
      </c>
      <c r="E2278" s="8">
        <v>502.49438440710401</v>
      </c>
      <c r="F2278" s="8">
        <v>502.61084137642428</v>
      </c>
      <c r="G2278" s="7">
        <v>44694</v>
      </c>
      <c r="H2278" s="9">
        <v>22463688.944477908</v>
      </c>
      <c r="I2278" s="5" t="s">
        <v>3407</v>
      </c>
    </row>
    <row r="2279" spans="1:9" x14ac:dyDescent="0.25">
      <c r="A2279" s="6">
        <v>45995.829861111109</v>
      </c>
      <c r="B2279" s="5" t="s">
        <v>26</v>
      </c>
      <c r="C2279" s="8">
        <v>502.69831466287991</v>
      </c>
      <c r="D2279" s="8">
        <v>502.82724828196001</v>
      </c>
      <c r="E2279" s="8">
        <v>502.47779026295842</v>
      </c>
      <c r="F2279" s="8">
        <v>502.61631387473852</v>
      </c>
      <c r="G2279" s="7">
        <v>35274</v>
      </c>
      <c r="H2279" s="9">
        <v>17729287.855617519</v>
      </c>
      <c r="I2279" s="5" t="s">
        <v>3408</v>
      </c>
    </row>
    <row r="2280" spans="1:9" x14ac:dyDescent="0.25">
      <c r="A2280" s="6">
        <v>45995.833333333343</v>
      </c>
      <c r="B2280" s="5" t="s">
        <v>26</v>
      </c>
      <c r="C2280" s="8">
        <v>502.73088176424022</v>
      </c>
      <c r="D2280" s="8">
        <v>503.02306157227667</v>
      </c>
      <c r="E2280" s="8">
        <v>502.69787694813061</v>
      </c>
      <c r="F2280" s="8">
        <v>502.84194522593822</v>
      </c>
      <c r="G2280" s="7">
        <v>63826</v>
      </c>
      <c r="H2280" s="9">
        <v>32094389.995990731</v>
      </c>
      <c r="I2280" s="5" t="s">
        <v>3409</v>
      </c>
    </row>
    <row r="2281" spans="1:9" x14ac:dyDescent="0.25">
      <c r="A2281" s="6">
        <v>45995.836805555547</v>
      </c>
      <c r="B2281" s="5" t="s">
        <v>26</v>
      </c>
      <c r="C2281" s="8">
        <v>502.60790355977122</v>
      </c>
      <c r="D2281" s="8">
        <v>502.95434710328323</v>
      </c>
      <c r="E2281" s="8">
        <v>502.5017059615879</v>
      </c>
      <c r="F2281" s="8">
        <v>502.54399921222819</v>
      </c>
      <c r="G2281" s="7">
        <v>100865</v>
      </c>
      <c r="H2281" s="9">
        <v>50689100.480541401</v>
      </c>
      <c r="I2281" s="5" t="s">
        <v>3410</v>
      </c>
    </row>
    <row r="2282" spans="1:9" x14ac:dyDescent="0.25">
      <c r="A2282" s="6">
        <v>45995.840277777781</v>
      </c>
      <c r="B2282" s="5" t="s">
        <v>26</v>
      </c>
      <c r="C2282" s="8">
        <v>503.37253962979219</v>
      </c>
      <c r="D2282" s="8">
        <v>503.67802361108647</v>
      </c>
      <c r="E2282" s="8">
        <v>503.36059293480167</v>
      </c>
      <c r="F2282" s="8">
        <v>503.53293866179712</v>
      </c>
      <c r="G2282" s="7">
        <v>52933</v>
      </c>
      <c r="H2282" s="9">
        <v>26653509.042184912</v>
      </c>
      <c r="I2282" s="5" t="s">
        <v>3411</v>
      </c>
    </row>
    <row r="2283" spans="1:9" x14ac:dyDescent="0.25">
      <c r="A2283" s="6">
        <v>45995.84375</v>
      </c>
      <c r="B2283" s="5" t="s">
        <v>26</v>
      </c>
      <c r="C2283" s="8">
        <v>503.68926630128442</v>
      </c>
      <c r="D2283" s="8">
        <v>504.05644900027119</v>
      </c>
      <c r="E2283" s="8">
        <v>503.4229487111752</v>
      </c>
      <c r="F2283" s="8">
        <v>503.88377457877618</v>
      </c>
      <c r="G2283" s="7">
        <v>95232</v>
      </c>
      <c r="H2283" s="9">
        <v>47985859.620686017</v>
      </c>
      <c r="I2283" s="5" t="s">
        <v>3412</v>
      </c>
    </row>
    <row r="2284" spans="1:9" x14ac:dyDescent="0.25">
      <c r="A2284" s="6">
        <v>45995.847222222219</v>
      </c>
      <c r="B2284" s="5" t="s">
        <v>26</v>
      </c>
      <c r="C2284" s="8">
        <v>504.38449812718591</v>
      </c>
      <c r="D2284" s="8">
        <v>504.75408679189673</v>
      </c>
      <c r="E2284" s="8">
        <v>503.95403649434428</v>
      </c>
      <c r="F2284" s="8">
        <v>504.01589425027709</v>
      </c>
      <c r="G2284" s="7">
        <v>38106</v>
      </c>
      <c r="H2284" s="9">
        <v>19206029.66630106</v>
      </c>
      <c r="I2284" s="5" t="s">
        <v>3413</v>
      </c>
    </row>
    <row r="2285" spans="1:9" x14ac:dyDescent="0.25">
      <c r="A2285" s="6">
        <v>45995.850694444453</v>
      </c>
      <c r="B2285" s="5" t="s">
        <v>26</v>
      </c>
      <c r="C2285" s="8">
        <v>502.9646605296544</v>
      </c>
      <c r="D2285" s="8">
        <v>503.05712796681388</v>
      </c>
      <c r="E2285" s="8">
        <v>502.64178342156112</v>
      </c>
      <c r="F2285" s="8">
        <v>502.93296823255127</v>
      </c>
      <c r="G2285" s="7">
        <v>44499</v>
      </c>
      <c r="H2285" s="9">
        <v>22380014.153380301</v>
      </c>
      <c r="I2285" s="5" t="s">
        <v>3414</v>
      </c>
    </row>
    <row r="2286" spans="1:9" x14ac:dyDescent="0.25">
      <c r="A2286" s="6">
        <v>45995.854166666657</v>
      </c>
      <c r="B2286" s="5" t="s">
        <v>26</v>
      </c>
      <c r="C2286" s="8">
        <v>502.87026462427878</v>
      </c>
      <c r="D2286" s="8">
        <v>503.08774345534698</v>
      </c>
      <c r="E2286" s="8">
        <v>502.76306543906281</v>
      </c>
      <c r="F2286" s="8">
        <v>502.97151544167423</v>
      </c>
      <c r="G2286" s="7">
        <v>36302</v>
      </c>
      <c r="H2286" s="9">
        <v>18258871.95356366</v>
      </c>
      <c r="I2286" s="5" t="s">
        <v>3415</v>
      </c>
    </row>
    <row r="2287" spans="1:9" x14ac:dyDescent="0.25">
      <c r="A2287" s="6">
        <v>45995.857638888891</v>
      </c>
      <c r="B2287" s="5" t="s">
        <v>26</v>
      </c>
      <c r="C2287" s="8">
        <v>503.13573385932102</v>
      </c>
      <c r="D2287" s="8">
        <v>503.25172245436801</v>
      </c>
      <c r="E2287" s="8">
        <v>502.59956090460292</v>
      </c>
      <c r="F2287" s="8">
        <v>502.97477867994331</v>
      </c>
      <c r="G2287" s="7">
        <v>45305</v>
      </c>
      <c r="H2287" s="9">
        <v>22787272.348094828</v>
      </c>
      <c r="I2287" s="5" t="s">
        <v>3416</v>
      </c>
    </row>
    <row r="2288" spans="1:9" x14ac:dyDescent="0.25">
      <c r="A2288" s="6">
        <v>45995.861111111109</v>
      </c>
      <c r="B2288" s="5" t="s">
        <v>26</v>
      </c>
      <c r="C2288" s="8">
        <v>502.09089556091459</v>
      </c>
      <c r="D2288" s="8">
        <v>502.55866643959189</v>
      </c>
      <c r="E2288" s="8">
        <v>501.60066232414812</v>
      </c>
      <c r="F2288" s="8">
        <v>502.20748216372527</v>
      </c>
      <c r="G2288" s="7">
        <v>62764</v>
      </c>
      <c r="H2288" s="9">
        <v>31520550.410524059</v>
      </c>
      <c r="I2288" s="5" t="s">
        <v>3417</v>
      </c>
    </row>
    <row r="2289" spans="1:9" x14ac:dyDescent="0.25">
      <c r="A2289" s="6">
        <v>45995.864583333343</v>
      </c>
      <c r="B2289" s="5" t="s">
        <v>26</v>
      </c>
      <c r="C2289" s="8">
        <v>502.83659723159133</v>
      </c>
      <c r="D2289" s="8">
        <v>502.90760360467362</v>
      </c>
      <c r="E2289" s="8">
        <v>501.9861492824914</v>
      </c>
      <c r="F2289" s="8">
        <v>502.60661918108548</v>
      </c>
      <c r="G2289" s="7">
        <v>27268</v>
      </c>
      <c r="H2289" s="9">
        <v>13705077.291829839</v>
      </c>
      <c r="I2289" s="5" t="s">
        <v>3418</v>
      </c>
    </row>
    <row r="2290" spans="1:9" x14ac:dyDescent="0.25">
      <c r="A2290" s="6">
        <v>45995.868055555547</v>
      </c>
      <c r="B2290" s="5" t="s">
        <v>26</v>
      </c>
      <c r="C2290" s="8">
        <v>503.04814562080429</v>
      </c>
      <c r="D2290" s="8">
        <v>503.37647679448412</v>
      </c>
      <c r="E2290" s="8">
        <v>502.78556651833429</v>
      </c>
      <c r="F2290" s="8">
        <v>502.92399215850219</v>
      </c>
      <c r="G2290" s="7">
        <v>72760</v>
      </c>
      <c r="H2290" s="9">
        <v>36592749.669452623</v>
      </c>
      <c r="I2290" s="5" t="s">
        <v>3419</v>
      </c>
    </row>
    <row r="2291" spans="1:9" x14ac:dyDescent="0.25">
      <c r="A2291" s="6">
        <v>45995.871527777781</v>
      </c>
      <c r="B2291" s="5" t="s">
        <v>26</v>
      </c>
      <c r="C2291" s="8">
        <v>502.78247004095721</v>
      </c>
      <c r="D2291" s="8">
        <v>503.32497678931009</v>
      </c>
      <c r="E2291" s="8">
        <v>502.48137306079673</v>
      </c>
      <c r="F2291" s="8">
        <v>502.97662333436551</v>
      </c>
      <c r="G2291" s="7">
        <v>70940</v>
      </c>
      <c r="H2291" s="9">
        <v>35681161.65933989</v>
      </c>
      <c r="I2291" s="5" t="s">
        <v>3420</v>
      </c>
    </row>
    <row r="2292" spans="1:9" x14ac:dyDescent="0.25">
      <c r="A2292" s="6">
        <v>45995.875</v>
      </c>
      <c r="B2292" s="5" t="s">
        <v>26</v>
      </c>
      <c r="C2292" s="8">
        <v>502.19362918950537</v>
      </c>
      <c r="D2292" s="8">
        <v>502.57019654635161</v>
      </c>
      <c r="E2292" s="8">
        <v>501.88557845353432</v>
      </c>
      <c r="F2292" s="8">
        <v>502.3275571120995</v>
      </c>
      <c r="G2292" s="7">
        <v>34644</v>
      </c>
      <c r="H2292" s="9">
        <v>17402635.88859158</v>
      </c>
      <c r="I2292" s="5" t="s">
        <v>3421</v>
      </c>
    </row>
    <row r="2293" spans="1:9" x14ac:dyDescent="0.25">
      <c r="A2293" s="6">
        <v>45996.604166666657</v>
      </c>
      <c r="B2293" s="5" t="s">
        <v>26</v>
      </c>
      <c r="C2293" s="8">
        <v>502.23795074711819</v>
      </c>
      <c r="D2293" s="8">
        <v>502.61425221356359</v>
      </c>
      <c r="E2293" s="8">
        <v>502.13857723262618</v>
      </c>
      <c r="F2293" s="8">
        <v>502.26767990375691</v>
      </c>
      <c r="G2293" s="7">
        <v>72545</v>
      </c>
      <c r="H2293" s="9">
        <v>36437008.83861804</v>
      </c>
      <c r="I2293" s="5" t="s">
        <v>3422</v>
      </c>
    </row>
    <row r="2294" spans="1:9" x14ac:dyDescent="0.25">
      <c r="A2294" s="6">
        <v>45996.607638888891</v>
      </c>
      <c r="B2294" s="5" t="s">
        <v>26</v>
      </c>
      <c r="C2294" s="8">
        <v>502.60367068617569</v>
      </c>
      <c r="D2294" s="8">
        <v>502.7817784833079</v>
      </c>
      <c r="E2294" s="8">
        <v>501.97534110601919</v>
      </c>
      <c r="F2294" s="8">
        <v>502.35674806731402</v>
      </c>
      <c r="G2294" s="7">
        <v>56938</v>
      </c>
      <c r="H2294" s="9">
        <v>28603188.52145673</v>
      </c>
      <c r="I2294" s="5" t="s">
        <v>3423</v>
      </c>
    </row>
    <row r="2295" spans="1:9" x14ac:dyDescent="0.25">
      <c r="A2295" s="6">
        <v>45996.611111111109</v>
      </c>
      <c r="B2295" s="5" t="s">
        <v>26</v>
      </c>
      <c r="C2295" s="8">
        <v>501.52940111688417</v>
      </c>
      <c r="D2295" s="8">
        <v>502.21066309814063</v>
      </c>
      <c r="E2295" s="8">
        <v>500.93116496261621</v>
      </c>
      <c r="F2295" s="8">
        <v>501.72993186273078</v>
      </c>
      <c r="G2295" s="7">
        <v>66144</v>
      </c>
      <c r="H2295" s="9">
        <v>33186424.613128461</v>
      </c>
      <c r="I2295" s="5" t="s">
        <v>3424</v>
      </c>
    </row>
    <row r="2296" spans="1:9" x14ac:dyDescent="0.25">
      <c r="A2296" s="6">
        <v>45996.614583333343</v>
      </c>
      <c r="B2296" s="5" t="s">
        <v>26</v>
      </c>
      <c r="C2296" s="8">
        <v>500.88941101984221</v>
      </c>
      <c r="D2296" s="8">
        <v>500.95881207036842</v>
      </c>
      <c r="E2296" s="8">
        <v>500.79895138526348</v>
      </c>
      <c r="F2296" s="8">
        <v>500.94892938234301</v>
      </c>
      <c r="G2296" s="7">
        <v>79314</v>
      </c>
      <c r="H2296" s="9">
        <v>39732263.385031149</v>
      </c>
      <c r="I2296" s="5" t="s">
        <v>3425</v>
      </c>
    </row>
    <row r="2297" spans="1:9" x14ac:dyDescent="0.25">
      <c r="A2297" s="6">
        <v>45996.618055555547</v>
      </c>
      <c r="B2297" s="5" t="s">
        <v>26</v>
      </c>
      <c r="C2297" s="8">
        <v>500.24119577835819</v>
      </c>
      <c r="D2297" s="8">
        <v>500.68367945362871</v>
      </c>
      <c r="E2297" s="8">
        <v>499.95768664864107</v>
      </c>
      <c r="F2297" s="8">
        <v>500.38852413350708</v>
      </c>
      <c r="G2297" s="7">
        <v>56734</v>
      </c>
      <c r="H2297" s="9">
        <v>28389042.528190389</v>
      </c>
      <c r="I2297" s="5" t="s">
        <v>3426</v>
      </c>
    </row>
    <row r="2298" spans="1:9" x14ac:dyDescent="0.25">
      <c r="A2298" s="6">
        <v>45996.621527777781</v>
      </c>
      <c r="B2298" s="5" t="s">
        <v>26</v>
      </c>
      <c r="C2298" s="8">
        <v>499.77655621866558</v>
      </c>
      <c r="D2298" s="8">
        <v>500.09474321093921</v>
      </c>
      <c r="E2298" s="8">
        <v>499.27681504078453</v>
      </c>
      <c r="F2298" s="8">
        <v>499.90052796752769</v>
      </c>
      <c r="G2298" s="7">
        <v>46326</v>
      </c>
      <c r="H2298" s="9">
        <v>23158391.858623691</v>
      </c>
      <c r="I2298" s="5" t="s">
        <v>3427</v>
      </c>
    </row>
    <row r="2299" spans="1:9" x14ac:dyDescent="0.25">
      <c r="A2299" s="6">
        <v>45996.625</v>
      </c>
      <c r="B2299" s="5" t="s">
        <v>26</v>
      </c>
      <c r="C2299" s="8">
        <v>499.62875335792438</v>
      </c>
      <c r="D2299" s="8">
        <v>500.07535795249743</v>
      </c>
      <c r="E2299" s="8">
        <v>499.62696857396543</v>
      </c>
      <c r="F2299" s="8">
        <v>499.78427516471459</v>
      </c>
      <c r="G2299" s="7">
        <v>67705</v>
      </c>
      <c r="H2299" s="9">
        <v>33837894.350027002</v>
      </c>
      <c r="I2299" s="5" t="s">
        <v>3428</v>
      </c>
    </row>
    <row r="2300" spans="1:9" x14ac:dyDescent="0.25">
      <c r="A2300" s="6">
        <v>45996.628472222219</v>
      </c>
      <c r="B2300" s="5" t="s">
        <v>26</v>
      </c>
      <c r="C2300" s="8">
        <v>499.61919580692961</v>
      </c>
      <c r="D2300" s="8">
        <v>499.75071258619607</v>
      </c>
      <c r="E2300" s="8">
        <v>499.18364500498762</v>
      </c>
      <c r="F2300" s="8">
        <v>499.45174011602398</v>
      </c>
      <c r="G2300" s="7">
        <v>52789</v>
      </c>
      <c r="H2300" s="9">
        <v>26365557.908984791</v>
      </c>
      <c r="I2300" s="5" t="s">
        <v>3429</v>
      </c>
    </row>
    <row r="2301" spans="1:9" x14ac:dyDescent="0.25">
      <c r="A2301" s="6">
        <v>45996.631944444453</v>
      </c>
      <c r="B2301" s="5" t="s">
        <v>26</v>
      </c>
      <c r="C2301" s="8">
        <v>499.18102752035418</v>
      </c>
      <c r="D2301" s="8">
        <v>499.24210197458848</v>
      </c>
      <c r="E2301" s="8">
        <v>498.79931823118608</v>
      </c>
      <c r="F2301" s="8">
        <v>499.13853517431409</v>
      </c>
      <c r="G2301" s="7">
        <v>88132</v>
      </c>
      <c r="H2301" s="9">
        <v>43990077.381982647</v>
      </c>
      <c r="I2301" s="5" t="s">
        <v>3430</v>
      </c>
    </row>
    <row r="2302" spans="1:9" x14ac:dyDescent="0.25">
      <c r="A2302" s="6">
        <v>45996.635416666657</v>
      </c>
      <c r="B2302" s="5" t="s">
        <v>26</v>
      </c>
      <c r="C2302" s="8">
        <v>498.25783700978923</v>
      </c>
      <c r="D2302" s="8">
        <v>498.8834529731692</v>
      </c>
      <c r="E2302" s="8">
        <v>498.11603299462939</v>
      </c>
      <c r="F2302" s="8">
        <v>498.54417297952648</v>
      </c>
      <c r="G2302" s="7">
        <v>50161</v>
      </c>
      <c r="H2302" s="9">
        <v>25007474.260826029</v>
      </c>
      <c r="I2302" s="5" t="s">
        <v>3431</v>
      </c>
    </row>
    <row r="2303" spans="1:9" x14ac:dyDescent="0.25">
      <c r="A2303" s="6">
        <v>45996.638888888891</v>
      </c>
      <c r="B2303" s="5" t="s">
        <v>26</v>
      </c>
      <c r="C2303" s="8">
        <v>498.83068177190012</v>
      </c>
      <c r="D2303" s="8">
        <v>498.83682339594588</v>
      </c>
      <c r="E2303" s="8">
        <v>498.70539619126379</v>
      </c>
      <c r="F2303" s="8">
        <v>498.82077106095829</v>
      </c>
      <c r="G2303" s="7">
        <v>52435</v>
      </c>
      <c r="H2303" s="9">
        <v>26155667.130581349</v>
      </c>
      <c r="I2303" s="5" t="s">
        <v>3432</v>
      </c>
    </row>
    <row r="2304" spans="1:9" x14ac:dyDescent="0.25">
      <c r="A2304" s="6">
        <v>45996.642361111109</v>
      </c>
      <c r="B2304" s="5" t="s">
        <v>26</v>
      </c>
      <c r="C2304" s="8">
        <v>498.66562231262787</v>
      </c>
      <c r="D2304" s="8">
        <v>498.81306301787828</v>
      </c>
      <c r="E2304" s="8">
        <v>498.48689818883349</v>
      </c>
      <c r="F2304" s="8">
        <v>498.74011705885778</v>
      </c>
      <c r="G2304" s="7">
        <v>97855</v>
      </c>
      <c r="H2304" s="9">
        <v>48804214.154794537</v>
      </c>
      <c r="I2304" s="5" t="s">
        <v>3433</v>
      </c>
    </row>
    <row r="2305" spans="1:9" x14ac:dyDescent="0.25">
      <c r="A2305" s="6">
        <v>45996.645833333343</v>
      </c>
      <c r="B2305" s="5" t="s">
        <v>26</v>
      </c>
      <c r="C2305" s="8">
        <v>498.89345409246289</v>
      </c>
      <c r="D2305" s="8">
        <v>499.18978348712687</v>
      </c>
      <c r="E2305" s="8">
        <v>498.80696474517981</v>
      </c>
      <c r="F2305" s="8">
        <v>498.91231644687667</v>
      </c>
      <c r="G2305" s="7">
        <v>78845</v>
      </c>
      <c r="H2305" s="9">
        <v>39336741.590253986</v>
      </c>
      <c r="I2305" s="5" t="s">
        <v>3434</v>
      </c>
    </row>
    <row r="2306" spans="1:9" x14ac:dyDescent="0.25">
      <c r="A2306" s="6">
        <v>45996.649305555547</v>
      </c>
      <c r="B2306" s="5" t="s">
        <v>26</v>
      </c>
      <c r="C2306" s="8">
        <v>498.95986217111368</v>
      </c>
      <c r="D2306" s="8">
        <v>499.49449429318008</v>
      </c>
      <c r="E2306" s="8">
        <v>498.67462899261068</v>
      </c>
      <c r="F2306" s="8">
        <v>499.15616063680801</v>
      </c>
      <c r="G2306" s="7">
        <v>52405</v>
      </c>
      <c r="H2306" s="9">
        <v>26158278.59817192</v>
      </c>
      <c r="I2306" s="5" t="s">
        <v>3435</v>
      </c>
    </row>
    <row r="2307" spans="1:9" x14ac:dyDescent="0.25">
      <c r="A2307" s="6">
        <v>45996.652777777781</v>
      </c>
      <c r="B2307" s="5" t="s">
        <v>26</v>
      </c>
      <c r="C2307" s="8">
        <v>500.07427149056201</v>
      </c>
      <c r="D2307" s="8">
        <v>500.57192748999381</v>
      </c>
      <c r="E2307" s="8">
        <v>499.98673531531068</v>
      </c>
      <c r="F2307" s="8">
        <v>500.26584904313222</v>
      </c>
      <c r="G2307" s="7">
        <v>58377</v>
      </c>
      <c r="H2307" s="9">
        <v>29204019.469590928</v>
      </c>
      <c r="I2307" s="5" t="s">
        <v>3436</v>
      </c>
    </row>
    <row r="2308" spans="1:9" x14ac:dyDescent="0.25">
      <c r="A2308" s="6">
        <v>45996.65625</v>
      </c>
      <c r="B2308" s="5" t="s">
        <v>26</v>
      </c>
      <c r="C2308" s="8">
        <v>500.81176590370592</v>
      </c>
      <c r="D2308" s="8">
        <v>501.05508056991903</v>
      </c>
      <c r="E2308" s="8">
        <v>500.25250532907302</v>
      </c>
      <c r="F2308" s="8">
        <v>500.65900287567013</v>
      </c>
      <c r="G2308" s="7">
        <v>86939</v>
      </c>
      <c r="H2308" s="9">
        <v>43526793.051007882</v>
      </c>
      <c r="I2308" s="5" t="s">
        <v>3437</v>
      </c>
    </row>
    <row r="2309" spans="1:9" x14ac:dyDescent="0.25">
      <c r="A2309" s="6">
        <v>45996.659722222219</v>
      </c>
      <c r="B2309" s="5" t="s">
        <v>26</v>
      </c>
      <c r="C2309" s="8">
        <v>500.34405941665023</v>
      </c>
      <c r="D2309" s="8">
        <v>500.42261668841508</v>
      </c>
      <c r="E2309" s="8">
        <v>499.9365777004906</v>
      </c>
      <c r="F2309" s="8">
        <v>500.36758643523672</v>
      </c>
      <c r="G2309" s="7">
        <v>88467</v>
      </c>
      <c r="H2309" s="9">
        <v>44266019.26916609</v>
      </c>
      <c r="I2309" s="5" t="s">
        <v>3438</v>
      </c>
    </row>
    <row r="2310" spans="1:9" x14ac:dyDescent="0.25">
      <c r="A2310" s="6">
        <v>45996.663194444453</v>
      </c>
      <c r="B2310" s="5" t="s">
        <v>26</v>
      </c>
      <c r="C2310" s="8">
        <v>500.11613844671041</v>
      </c>
      <c r="D2310" s="8">
        <v>500.46758859014602</v>
      </c>
      <c r="E2310" s="8">
        <v>499.73986866071402</v>
      </c>
      <c r="F2310" s="8">
        <v>500.27985981893022</v>
      </c>
      <c r="G2310" s="7">
        <v>40002</v>
      </c>
      <c r="H2310" s="9">
        <v>20012194.95247684</v>
      </c>
      <c r="I2310" s="5" t="s">
        <v>3439</v>
      </c>
    </row>
    <row r="2311" spans="1:9" x14ac:dyDescent="0.25">
      <c r="A2311" s="6">
        <v>45996.666666666657</v>
      </c>
      <c r="B2311" s="5" t="s">
        <v>26</v>
      </c>
      <c r="C2311" s="8">
        <v>500.5180906704407</v>
      </c>
      <c r="D2311" s="8">
        <v>500.90336286560978</v>
      </c>
      <c r="E2311" s="8">
        <v>499.7560623523504</v>
      </c>
      <c r="F2311" s="8">
        <v>500.4431474169678</v>
      </c>
      <c r="G2311" s="7">
        <v>80593</v>
      </c>
      <c r="H2311" s="9">
        <v>40332214.579775684</v>
      </c>
      <c r="I2311" s="5" t="s">
        <v>3440</v>
      </c>
    </row>
    <row r="2312" spans="1:9" x14ac:dyDescent="0.25">
      <c r="A2312" s="6">
        <v>45996.670138888891</v>
      </c>
      <c r="B2312" s="5" t="s">
        <v>26</v>
      </c>
      <c r="C2312" s="8">
        <v>499.47765301556427</v>
      </c>
      <c r="D2312" s="8">
        <v>499.56560675141191</v>
      </c>
      <c r="E2312" s="8">
        <v>499.16822984378439</v>
      </c>
      <c r="F2312" s="8">
        <v>499.37121499943908</v>
      </c>
      <c r="G2312" s="7">
        <v>82185</v>
      </c>
      <c r="H2312" s="9">
        <v>41040823.304728903</v>
      </c>
      <c r="I2312" s="5" t="s">
        <v>3441</v>
      </c>
    </row>
    <row r="2313" spans="1:9" x14ac:dyDescent="0.25">
      <c r="A2313" s="6">
        <v>45996.673611111109</v>
      </c>
      <c r="B2313" s="5" t="s">
        <v>26</v>
      </c>
      <c r="C2313" s="8">
        <v>499.60877720704718</v>
      </c>
      <c r="D2313" s="8">
        <v>499.83147440427791</v>
      </c>
      <c r="E2313" s="8">
        <v>498.81931067940252</v>
      </c>
      <c r="F2313" s="8">
        <v>499.46474501519299</v>
      </c>
      <c r="G2313" s="7">
        <v>48329</v>
      </c>
      <c r="H2313" s="9">
        <v>24138631.661839262</v>
      </c>
      <c r="I2313" s="5" t="s">
        <v>3442</v>
      </c>
    </row>
    <row r="2314" spans="1:9" x14ac:dyDescent="0.25">
      <c r="A2314" s="6">
        <v>45996.677083333343</v>
      </c>
      <c r="B2314" s="5" t="s">
        <v>26</v>
      </c>
      <c r="C2314" s="8">
        <v>499.0124015135296</v>
      </c>
      <c r="D2314" s="8">
        <v>499.79662155742312</v>
      </c>
      <c r="E2314" s="8">
        <v>498.41938634540202</v>
      </c>
      <c r="F2314" s="8">
        <v>499.03778487999023</v>
      </c>
      <c r="G2314" s="7">
        <v>56042</v>
      </c>
      <c r="H2314" s="9">
        <v>27967075.540244412</v>
      </c>
      <c r="I2314" s="5" t="s">
        <v>3443</v>
      </c>
    </row>
    <row r="2315" spans="1:9" x14ac:dyDescent="0.25">
      <c r="A2315" s="6">
        <v>45996.680555555547</v>
      </c>
      <c r="B2315" s="5" t="s">
        <v>26</v>
      </c>
      <c r="C2315" s="8">
        <v>498.52973491146741</v>
      </c>
      <c r="D2315" s="8">
        <v>498.66681907178321</v>
      </c>
      <c r="E2315" s="8">
        <v>498.25492634392862</v>
      </c>
      <c r="F2315" s="8">
        <v>498.5413506624667</v>
      </c>
      <c r="G2315" s="7">
        <v>92587</v>
      </c>
      <c r="H2315" s="9">
        <v>46158448.033785813</v>
      </c>
      <c r="I2315" s="5" t="s">
        <v>3444</v>
      </c>
    </row>
    <row r="2316" spans="1:9" x14ac:dyDescent="0.25">
      <c r="A2316" s="6">
        <v>45996.684027777781</v>
      </c>
      <c r="B2316" s="5" t="s">
        <v>26</v>
      </c>
      <c r="C2316" s="8">
        <v>499.39002935590702</v>
      </c>
      <c r="D2316" s="8">
        <v>499.72288476504258</v>
      </c>
      <c r="E2316" s="8">
        <v>499.12512868475602</v>
      </c>
      <c r="F2316" s="8">
        <v>499.45525952940659</v>
      </c>
      <c r="G2316" s="7">
        <v>41624</v>
      </c>
      <c r="H2316" s="9">
        <v>20789325.722652022</v>
      </c>
      <c r="I2316" s="5" t="s">
        <v>3445</v>
      </c>
    </row>
    <row r="2317" spans="1:9" x14ac:dyDescent="0.25">
      <c r="A2317" s="6">
        <v>45996.6875</v>
      </c>
      <c r="B2317" s="5" t="s">
        <v>26</v>
      </c>
      <c r="C2317" s="8">
        <v>499.92173357743968</v>
      </c>
      <c r="D2317" s="8">
        <v>500.24444251977872</v>
      </c>
      <c r="E2317" s="8">
        <v>499.61314215815719</v>
      </c>
      <c r="F2317" s="8">
        <v>499.8055240530868</v>
      </c>
      <c r="G2317" s="7">
        <v>98998</v>
      </c>
      <c r="H2317" s="9">
        <v>49479747.270207487</v>
      </c>
      <c r="I2317" s="5" t="s">
        <v>3446</v>
      </c>
    </row>
    <row r="2318" spans="1:9" x14ac:dyDescent="0.25">
      <c r="A2318" s="6">
        <v>45996.690972222219</v>
      </c>
      <c r="B2318" s="5" t="s">
        <v>26</v>
      </c>
      <c r="C2318" s="8">
        <v>499.32996495900721</v>
      </c>
      <c r="D2318" s="8">
        <v>499.65679503030282</v>
      </c>
      <c r="E2318" s="8">
        <v>499.01134538208612</v>
      </c>
      <c r="F2318" s="8">
        <v>499.56065900688839</v>
      </c>
      <c r="G2318" s="7">
        <v>60047</v>
      </c>
      <c r="H2318" s="9">
        <v>29997118.891386628</v>
      </c>
      <c r="I2318" s="5" t="s">
        <v>3447</v>
      </c>
    </row>
    <row r="2319" spans="1:9" x14ac:dyDescent="0.25">
      <c r="A2319" s="6">
        <v>45996.694444444453</v>
      </c>
      <c r="B2319" s="5" t="s">
        <v>26</v>
      </c>
      <c r="C2319" s="8">
        <v>499.75870665061211</v>
      </c>
      <c r="D2319" s="8">
        <v>499.91957028952709</v>
      </c>
      <c r="E2319" s="8">
        <v>499.68515336336918</v>
      </c>
      <c r="F2319" s="8">
        <v>499.83592372456718</v>
      </c>
      <c r="G2319" s="7">
        <v>64344</v>
      </c>
      <c r="H2319" s="9">
        <v>32161442.676133551</v>
      </c>
      <c r="I2319" s="5" t="s">
        <v>3448</v>
      </c>
    </row>
    <row r="2320" spans="1:9" x14ac:dyDescent="0.25">
      <c r="A2320" s="6">
        <v>45996.697916666657</v>
      </c>
      <c r="B2320" s="5" t="s">
        <v>26</v>
      </c>
      <c r="C2320" s="8">
        <v>500.1580638261301</v>
      </c>
      <c r="D2320" s="8">
        <v>500.19677649458362</v>
      </c>
      <c r="E2320" s="8">
        <v>499.70199858611369</v>
      </c>
      <c r="F2320" s="8">
        <v>500.16353863030548</v>
      </c>
      <c r="G2320" s="7">
        <v>31161</v>
      </c>
      <c r="H2320" s="9">
        <v>15585596.027258949</v>
      </c>
      <c r="I2320" s="5" t="s">
        <v>3449</v>
      </c>
    </row>
    <row r="2321" spans="1:9" x14ac:dyDescent="0.25">
      <c r="A2321" s="6">
        <v>45996.701388888891</v>
      </c>
      <c r="B2321" s="5" t="s">
        <v>26</v>
      </c>
      <c r="C2321" s="8">
        <v>499.90681438497933</v>
      </c>
      <c r="D2321" s="8">
        <v>500.0271057834039</v>
      </c>
      <c r="E2321" s="8">
        <v>499.90211976728051</v>
      </c>
      <c r="F2321" s="8">
        <v>499.91069011614951</v>
      </c>
      <c r="G2321" s="7">
        <v>53586</v>
      </c>
      <c r="H2321" s="9">
        <v>26788214.240563989</v>
      </c>
      <c r="I2321" s="5" t="s">
        <v>3450</v>
      </c>
    </row>
    <row r="2322" spans="1:9" x14ac:dyDescent="0.25">
      <c r="A2322" s="6">
        <v>45996.704861111109</v>
      </c>
      <c r="B2322" s="5" t="s">
        <v>26</v>
      </c>
      <c r="C2322" s="8">
        <v>499.61531801389191</v>
      </c>
      <c r="D2322" s="8">
        <v>499.74391593918961</v>
      </c>
      <c r="E2322" s="8">
        <v>499.40674656468741</v>
      </c>
      <c r="F2322" s="8">
        <v>499.70909927219378</v>
      </c>
      <c r="G2322" s="7">
        <v>53986</v>
      </c>
      <c r="H2322" s="9">
        <v>26977295.433308661</v>
      </c>
      <c r="I2322" s="5" t="s">
        <v>3451</v>
      </c>
    </row>
    <row r="2323" spans="1:9" x14ac:dyDescent="0.25">
      <c r="A2323" s="6">
        <v>45996.708333333343</v>
      </c>
      <c r="B2323" s="5" t="s">
        <v>26</v>
      </c>
      <c r="C2323" s="8">
        <v>498.84188331783128</v>
      </c>
      <c r="D2323" s="8">
        <v>499.23984100901117</v>
      </c>
      <c r="E2323" s="8">
        <v>498.81383549165582</v>
      </c>
      <c r="F2323" s="8">
        <v>498.97151049237709</v>
      </c>
      <c r="G2323" s="7">
        <v>84031</v>
      </c>
      <c r="H2323" s="9">
        <v>41929074.998184942</v>
      </c>
      <c r="I2323" s="5" t="s">
        <v>3452</v>
      </c>
    </row>
    <row r="2324" spans="1:9" x14ac:dyDescent="0.25">
      <c r="A2324" s="6">
        <v>45996.711805555547</v>
      </c>
      <c r="B2324" s="5" t="s">
        <v>26</v>
      </c>
      <c r="C2324" s="8">
        <v>497.62392346799538</v>
      </c>
      <c r="D2324" s="8">
        <v>497.95134749099168</v>
      </c>
      <c r="E2324" s="8">
        <v>496.97504560407913</v>
      </c>
      <c r="F2324" s="8">
        <v>497.73851795134539</v>
      </c>
      <c r="G2324" s="7">
        <v>46404</v>
      </c>
      <c r="H2324" s="9">
        <v>23097058.18701423</v>
      </c>
      <c r="I2324" s="5" t="s">
        <v>3453</v>
      </c>
    </row>
    <row r="2325" spans="1:9" x14ac:dyDescent="0.25">
      <c r="A2325" s="6">
        <v>45996.715277777781</v>
      </c>
      <c r="B2325" s="5" t="s">
        <v>26</v>
      </c>
      <c r="C2325" s="8">
        <v>498.18890927388048</v>
      </c>
      <c r="D2325" s="8">
        <v>498.33757423920088</v>
      </c>
      <c r="E2325" s="8">
        <v>497.91157259540512</v>
      </c>
      <c r="F2325" s="8">
        <v>497.96540943480687</v>
      </c>
      <c r="G2325" s="7">
        <v>58363</v>
      </c>
      <c r="H2325" s="9">
        <v>29062755.190843631</v>
      </c>
      <c r="I2325" s="5" t="s">
        <v>3454</v>
      </c>
    </row>
    <row r="2326" spans="1:9" x14ac:dyDescent="0.25">
      <c r="A2326" s="6">
        <v>45996.71875</v>
      </c>
      <c r="B2326" s="5" t="s">
        <v>26</v>
      </c>
      <c r="C2326" s="8">
        <v>497.92672261045641</v>
      </c>
      <c r="D2326" s="8">
        <v>498.08251721236542</v>
      </c>
      <c r="E2326" s="8">
        <v>497.76020590711391</v>
      </c>
      <c r="F2326" s="8">
        <v>498.05010943480949</v>
      </c>
      <c r="G2326" s="7">
        <v>46265</v>
      </c>
      <c r="H2326" s="9">
        <v>23042288.313001469</v>
      </c>
      <c r="I2326" s="5" t="s">
        <v>3455</v>
      </c>
    </row>
    <row r="2327" spans="1:9" x14ac:dyDescent="0.25">
      <c r="A2327" s="6">
        <v>45996.722222222219</v>
      </c>
      <c r="B2327" s="5" t="s">
        <v>26</v>
      </c>
      <c r="C2327" s="8">
        <v>498.47620736075362</v>
      </c>
      <c r="D2327" s="8">
        <v>498.98251920564451</v>
      </c>
      <c r="E2327" s="8">
        <v>498.41185609709839</v>
      </c>
      <c r="F2327" s="8">
        <v>498.70183307903358</v>
      </c>
      <c r="G2327" s="7">
        <v>58050</v>
      </c>
      <c r="H2327" s="9">
        <v>28949641.410237901</v>
      </c>
      <c r="I2327" s="5" t="s">
        <v>3456</v>
      </c>
    </row>
    <row r="2328" spans="1:9" x14ac:dyDescent="0.25">
      <c r="A2328" s="6">
        <v>45996.725694444453</v>
      </c>
      <c r="B2328" s="5" t="s">
        <v>26</v>
      </c>
      <c r="C2328" s="8">
        <v>498.41973055208848</v>
      </c>
      <c r="D2328" s="8">
        <v>498.59084656199701</v>
      </c>
      <c r="E2328" s="8">
        <v>498.07880165389889</v>
      </c>
      <c r="F2328" s="8">
        <v>498.40235602611818</v>
      </c>
      <c r="G2328" s="7">
        <v>72251</v>
      </c>
      <c r="H2328" s="9">
        <v>36010068.625243068</v>
      </c>
      <c r="I2328" s="5" t="s">
        <v>3457</v>
      </c>
    </row>
    <row r="2329" spans="1:9" x14ac:dyDescent="0.25">
      <c r="A2329" s="6">
        <v>45996.729166666657</v>
      </c>
      <c r="B2329" s="5" t="s">
        <v>26</v>
      </c>
      <c r="C2329" s="8">
        <v>497.32088121444201</v>
      </c>
      <c r="D2329" s="8">
        <v>497.85664206626387</v>
      </c>
      <c r="E2329" s="8">
        <v>497.2250733504676</v>
      </c>
      <c r="F2329" s="8">
        <v>497.4522603930165</v>
      </c>
      <c r="G2329" s="7">
        <v>73333</v>
      </c>
      <c r="H2329" s="9">
        <v>36479666.611401081</v>
      </c>
      <c r="I2329" s="5" t="s">
        <v>3458</v>
      </c>
    </row>
    <row r="2330" spans="1:9" x14ac:dyDescent="0.25">
      <c r="A2330" s="6">
        <v>45996.732638888891</v>
      </c>
      <c r="B2330" s="5" t="s">
        <v>26</v>
      </c>
      <c r="C2330" s="8">
        <v>497.13725714959332</v>
      </c>
      <c r="D2330" s="8">
        <v>497.20088395838798</v>
      </c>
      <c r="E2330" s="8">
        <v>496.73813918833412</v>
      </c>
      <c r="F2330" s="8">
        <v>497.10303936412618</v>
      </c>
      <c r="G2330" s="7">
        <v>31160</v>
      </c>
      <c r="H2330" s="9">
        <v>15489730.706586169</v>
      </c>
      <c r="I2330" s="5" t="s">
        <v>3459</v>
      </c>
    </row>
    <row r="2331" spans="1:9" x14ac:dyDescent="0.25">
      <c r="A2331" s="6">
        <v>45996.736111111109</v>
      </c>
      <c r="B2331" s="5" t="s">
        <v>26</v>
      </c>
      <c r="C2331" s="8">
        <v>496.25200155245477</v>
      </c>
      <c r="D2331" s="8">
        <v>496.90212179975731</v>
      </c>
      <c r="E2331" s="8">
        <v>496.23293378906448</v>
      </c>
      <c r="F2331" s="8">
        <v>496.30195506481562</v>
      </c>
      <c r="G2331" s="7">
        <v>62163</v>
      </c>
      <c r="H2331" s="9">
        <v>30851618.43269413</v>
      </c>
      <c r="I2331" s="5" t="s">
        <v>3460</v>
      </c>
    </row>
    <row r="2332" spans="1:9" x14ac:dyDescent="0.25">
      <c r="A2332" s="6">
        <v>45996.739583333343</v>
      </c>
      <c r="B2332" s="5" t="s">
        <v>26</v>
      </c>
      <c r="C2332" s="8">
        <v>495.72759703393541</v>
      </c>
      <c r="D2332" s="8">
        <v>495.91177478713593</v>
      </c>
      <c r="E2332" s="8">
        <v>495.62939168675081</v>
      </c>
      <c r="F2332" s="8">
        <v>495.85923230653378</v>
      </c>
      <c r="G2332" s="7">
        <v>53586</v>
      </c>
      <c r="H2332" s="9">
        <v>26571112.82237792</v>
      </c>
      <c r="I2332" s="5" t="s">
        <v>3461</v>
      </c>
    </row>
    <row r="2333" spans="1:9" x14ac:dyDescent="0.25">
      <c r="A2333" s="6">
        <v>45996.743055555547</v>
      </c>
      <c r="B2333" s="5" t="s">
        <v>26</v>
      </c>
      <c r="C2333" s="8">
        <v>495.97854256593462</v>
      </c>
      <c r="D2333" s="8">
        <v>496.13879213840562</v>
      </c>
      <c r="E2333" s="8">
        <v>495.67227143587411</v>
      </c>
      <c r="F2333" s="8">
        <v>496.08843225510418</v>
      </c>
      <c r="G2333" s="7">
        <v>82972</v>
      </c>
      <c r="H2333" s="9">
        <v>41161449.401070513</v>
      </c>
      <c r="I2333" s="5" t="s">
        <v>3462</v>
      </c>
    </row>
    <row r="2334" spans="1:9" x14ac:dyDescent="0.25">
      <c r="A2334" s="6">
        <v>45996.746527777781</v>
      </c>
      <c r="B2334" s="5" t="s">
        <v>26</v>
      </c>
      <c r="C2334" s="8">
        <v>495.49100277652008</v>
      </c>
      <c r="D2334" s="8">
        <v>495.8829094758396</v>
      </c>
      <c r="E2334" s="8">
        <v>495.45116113306551</v>
      </c>
      <c r="F2334" s="8">
        <v>495.62190229642857</v>
      </c>
      <c r="G2334" s="7">
        <v>68217</v>
      </c>
      <c r="H2334" s="9">
        <v>33809839.308955468</v>
      </c>
      <c r="I2334" s="5" t="s">
        <v>3463</v>
      </c>
    </row>
    <row r="2335" spans="1:9" x14ac:dyDescent="0.25">
      <c r="A2335" s="6">
        <v>45996.75</v>
      </c>
      <c r="B2335" s="5" t="s">
        <v>26</v>
      </c>
      <c r="C2335" s="8">
        <v>494.85982346315518</v>
      </c>
      <c r="D2335" s="8">
        <v>495.08091282886278</v>
      </c>
      <c r="E2335" s="8">
        <v>494.14238365115978</v>
      </c>
      <c r="F2335" s="8">
        <v>495.04872596787402</v>
      </c>
      <c r="G2335" s="7">
        <v>80607</v>
      </c>
      <c r="H2335" s="9">
        <v>39904392.654092424</v>
      </c>
      <c r="I2335" s="5" t="s">
        <v>3464</v>
      </c>
    </row>
    <row r="2336" spans="1:9" x14ac:dyDescent="0.25">
      <c r="A2336" s="6">
        <v>45996.753472222219</v>
      </c>
      <c r="B2336" s="5" t="s">
        <v>26</v>
      </c>
      <c r="C2336" s="8">
        <v>494.85879567523602</v>
      </c>
      <c r="D2336" s="8">
        <v>495.26167868596099</v>
      </c>
      <c r="E2336" s="8">
        <v>494.82759578062678</v>
      </c>
      <c r="F2336" s="8">
        <v>494.99455632585813</v>
      </c>
      <c r="G2336" s="7">
        <v>46220</v>
      </c>
      <c r="H2336" s="9">
        <v>22878648.39338116</v>
      </c>
      <c r="I2336" s="5" t="s">
        <v>3465</v>
      </c>
    </row>
    <row r="2337" spans="1:9" x14ac:dyDescent="0.25">
      <c r="A2337" s="6">
        <v>45996.756944444453</v>
      </c>
      <c r="B2337" s="5" t="s">
        <v>26</v>
      </c>
      <c r="C2337" s="8">
        <v>495.93153486761838</v>
      </c>
      <c r="D2337" s="8">
        <v>495.94983177150749</v>
      </c>
      <c r="E2337" s="8">
        <v>495.85206782427542</v>
      </c>
      <c r="F2337" s="8">
        <v>495.94505246975149</v>
      </c>
      <c r="G2337" s="7">
        <v>56388</v>
      </c>
      <c r="H2337" s="9">
        <v>27965349.61866435</v>
      </c>
      <c r="I2337" s="5" t="s">
        <v>3466</v>
      </c>
    </row>
    <row r="2338" spans="1:9" x14ac:dyDescent="0.25">
      <c r="A2338" s="6">
        <v>45996.760416666657</v>
      </c>
      <c r="B2338" s="5" t="s">
        <v>26</v>
      </c>
      <c r="C2338" s="8">
        <v>496.08368643824213</v>
      </c>
      <c r="D2338" s="8">
        <v>496.40418666170473</v>
      </c>
      <c r="E2338" s="8">
        <v>496.04407325514097</v>
      </c>
      <c r="F2338" s="8">
        <v>496.16358336022768</v>
      </c>
      <c r="G2338" s="7">
        <v>61595</v>
      </c>
      <c r="H2338" s="9">
        <v>30561195.91707322</v>
      </c>
      <c r="I2338" s="5" t="s">
        <v>3467</v>
      </c>
    </row>
    <row r="2339" spans="1:9" x14ac:dyDescent="0.25">
      <c r="A2339" s="6">
        <v>45996.763888888891</v>
      </c>
      <c r="B2339" s="5" t="s">
        <v>26</v>
      </c>
      <c r="C2339" s="8">
        <v>496.4104975958021</v>
      </c>
      <c r="D2339" s="8">
        <v>496.60340327080729</v>
      </c>
      <c r="E2339" s="8">
        <v>496.22894575637332</v>
      </c>
      <c r="F2339" s="8">
        <v>496.58879421307068</v>
      </c>
      <c r="G2339" s="7">
        <v>82573</v>
      </c>
      <c r="H2339" s="9">
        <v>41004826.504555888</v>
      </c>
      <c r="I2339" s="5" t="s">
        <v>3468</v>
      </c>
    </row>
    <row r="2340" spans="1:9" x14ac:dyDescent="0.25">
      <c r="A2340" s="6">
        <v>45996.767361111109</v>
      </c>
      <c r="B2340" s="5" t="s">
        <v>26</v>
      </c>
      <c r="C2340" s="8">
        <v>496.37041472521219</v>
      </c>
      <c r="D2340" s="8">
        <v>496.71410850791779</v>
      </c>
      <c r="E2340" s="8">
        <v>495.82890266627999</v>
      </c>
      <c r="F2340" s="8">
        <v>496.46724117907149</v>
      </c>
      <c r="G2340" s="7">
        <v>85990</v>
      </c>
      <c r="H2340" s="9">
        <v>42691218.06898836</v>
      </c>
      <c r="I2340" s="5" t="s">
        <v>3469</v>
      </c>
    </row>
    <row r="2341" spans="1:9" x14ac:dyDescent="0.25">
      <c r="A2341" s="6">
        <v>45996.770833333343</v>
      </c>
      <c r="B2341" s="5" t="s">
        <v>26</v>
      </c>
      <c r="C2341" s="8">
        <v>495.50657810321673</v>
      </c>
      <c r="D2341" s="8">
        <v>495.93061489882899</v>
      </c>
      <c r="E2341" s="8">
        <v>495.4774556060845</v>
      </c>
      <c r="F2341" s="8">
        <v>495.6647555295412</v>
      </c>
      <c r="G2341" s="7">
        <v>43139</v>
      </c>
      <c r="H2341" s="9">
        <v>21382481.888788879</v>
      </c>
      <c r="I2341" s="5" t="s">
        <v>3470</v>
      </c>
    </row>
    <row r="2342" spans="1:9" x14ac:dyDescent="0.25">
      <c r="A2342" s="6">
        <v>45996.774305555547</v>
      </c>
      <c r="B2342" s="5" t="s">
        <v>26</v>
      </c>
      <c r="C2342" s="8">
        <v>496.23007852704478</v>
      </c>
      <c r="D2342" s="8">
        <v>496.41058715995558</v>
      </c>
      <c r="E2342" s="8">
        <v>496.02651989449919</v>
      </c>
      <c r="F2342" s="8">
        <v>496.18894798467147</v>
      </c>
      <c r="G2342" s="7">
        <v>67284</v>
      </c>
      <c r="H2342" s="9">
        <v>33385577.176200639</v>
      </c>
      <c r="I2342" s="5" t="s">
        <v>3471</v>
      </c>
    </row>
    <row r="2343" spans="1:9" x14ac:dyDescent="0.25">
      <c r="A2343" s="6">
        <v>45996.777777777781</v>
      </c>
      <c r="B2343" s="5" t="s">
        <v>26</v>
      </c>
      <c r="C2343" s="8">
        <v>496.18335394013729</v>
      </c>
      <c r="D2343" s="8">
        <v>496.31829121064823</v>
      </c>
      <c r="E2343" s="8">
        <v>495.65869368630189</v>
      </c>
      <c r="F2343" s="8">
        <v>496.07696918065238</v>
      </c>
      <c r="G2343" s="7">
        <v>64081</v>
      </c>
      <c r="H2343" s="9">
        <v>31789108.262065388</v>
      </c>
      <c r="I2343" s="5" t="s">
        <v>3472</v>
      </c>
    </row>
    <row r="2344" spans="1:9" x14ac:dyDescent="0.25">
      <c r="A2344" s="6">
        <v>45996.78125</v>
      </c>
      <c r="B2344" s="5" t="s">
        <v>26</v>
      </c>
      <c r="C2344" s="8">
        <v>496.26489377311037</v>
      </c>
      <c r="D2344" s="8">
        <v>496.53729682360108</v>
      </c>
      <c r="E2344" s="8">
        <v>495.91628288284761</v>
      </c>
      <c r="F2344" s="8">
        <v>496.19735691852281</v>
      </c>
      <c r="G2344" s="7">
        <v>35209</v>
      </c>
      <c r="H2344" s="9">
        <v>17470612.739744268</v>
      </c>
      <c r="I2344" s="5" t="s">
        <v>3473</v>
      </c>
    </row>
    <row r="2345" spans="1:9" x14ac:dyDescent="0.25">
      <c r="A2345" s="6">
        <v>45996.784722222219</v>
      </c>
      <c r="B2345" s="5" t="s">
        <v>26</v>
      </c>
      <c r="C2345" s="8">
        <v>495.92010583888379</v>
      </c>
      <c r="D2345" s="8">
        <v>495.97907178203678</v>
      </c>
      <c r="E2345" s="8">
        <v>495.85562666730561</v>
      </c>
      <c r="F2345" s="8">
        <v>495.96999007884762</v>
      </c>
      <c r="G2345" s="7">
        <v>63391</v>
      </c>
      <c r="H2345" s="9">
        <v>31440033.641088221</v>
      </c>
      <c r="I2345" s="5" t="s">
        <v>3474</v>
      </c>
    </row>
    <row r="2346" spans="1:9" x14ac:dyDescent="0.25">
      <c r="A2346" s="6">
        <v>45996.788194444453</v>
      </c>
      <c r="B2346" s="5" t="s">
        <v>26</v>
      </c>
      <c r="C2346" s="8">
        <v>496.47482254390258</v>
      </c>
      <c r="D2346" s="8">
        <v>496.59294781806261</v>
      </c>
      <c r="E2346" s="8">
        <v>495.99932111366149</v>
      </c>
      <c r="F2346" s="8">
        <v>496.18859963193461</v>
      </c>
      <c r="G2346" s="7">
        <v>54897</v>
      </c>
      <c r="H2346" s="9">
        <v>27239265.553994309</v>
      </c>
      <c r="I2346" s="5" t="s">
        <v>3475</v>
      </c>
    </row>
    <row r="2347" spans="1:9" x14ac:dyDescent="0.25">
      <c r="A2347" s="6">
        <v>45996.791666666657</v>
      </c>
      <c r="B2347" s="5" t="s">
        <v>26</v>
      </c>
      <c r="C2347" s="8">
        <v>496.04309359929471</v>
      </c>
      <c r="D2347" s="8">
        <v>496.30291910266789</v>
      </c>
      <c r="E2347" s="8">
        <v>495.6609601075063</v>
      </c>
      <c r="F2347" s="8">
        <v>496.16053979570222</v>
      </c>
      <c r="G2347" s="7">
        <v>58184</v>
      </c>
      <c r="H2347" s="9">
        <v>28868604.84747313</v>
      </c>
      <c r="I2347" s="5" t="s">
        <v>3476</v>
      </c>
    </row>
    <row r="2348" spans="1:9" x14ac:dyDescent="0.25">
      <c r="A2348" s="6">
        <v>45996.795138888891</v>
      </c>
      <c r="B2348" s="5" t="s">
        <v>26</v>
      </c>
      <c r="C2348" s="8">
        <v>496.10538495927369</v>
      </c>
      <c r="D2348" s="8">
        <v>496.43839940916808</v>
      </c>
      <c r="E2348" s="8">
        <v>495.95906186212892</v>
      </c>
      <c r="F2348" s="8">
        <v>496.28652869581538</v>
      </c>
      <c r="G2348" s="7">
        <v>67987</v>
      </c>
      <c r="H2348" s="9">
        <v>33741032.226442397</v>
      </c>
      <c r="I2348" s="5" t="s">
        <v>3477</v>
      </c>
    </row>
    <row r="2349" spans="1:9" x14ac:dyDescent="0.25">
      <c r="A2349" s="6">
        <v>45996.798611111109</v>
      </c>
      <c r="B2349" s="5" t="s">
        <v>26</v>
      </c>
      <c r="C2349" s="8">
        <v>496.76743805402549</v>
      </c>
      <c r="D2349" s="8">
        <v>496.94166139477022</v>
      </c>
      <c r="E2349" s="8">
        <v>496.62339195711428</v>
      </c>
      <c r="F2349" s="8">
        <v>496.76398119456991</v>
      </c>
      <c r="G2349" s="7">
        <v>69567</v>
      </c>
      <c r="H2349" s="9">
        <v>34558379.879762642</v>
      </c>
      <c r="I2349" s="5" t="s">
        <v>3478</v>
      </c>
    </row>
    <row r="2350" spans="1:9" x14ac:dyDescent="0.25">
      <c r="A2350" s="6">
        <v>45996.802083333343</v>
      </c>
      <c r="B2350" s="5" t="s">
        <v>26</v>
      </c>
      <c r="C2350" s="8">
        <v>497.48006972828449</v>
      </c>
      <c r="D2350" s="8">
        <v>497.57921273462091</v>
      </c>
      <c r="E2350" s="8">
        <v>497.07642693370292</v>
      </c>
      <c r="F2350" s="8">
        <v>497.53835673476249</v>
      </c>
      <c r="G2350" s="7">
        <v>58035</v>
      </c>
      <c r="H2350" s="9">
        <v>28874638.53310195</v>
      </c>
      <c r="I2350" s="5" t="s">
        <v>3479</v>
      </c>
    </row>
    <row r="2351" spans="1:9" x14ac:dyDescent="0.25">
      <c r="A2351" s="6">
        <v>45996.805555555547</v>
      </c>
      <c r="B2351" s="5" t="s">
        <v>26</v>
      </c>
      <c r="C2351" s="8">
        <v>498.88268877886492</v>
      </c>
      <c r="D2351" s="8">
        <v>498.91952920208922</v>
      </c>
      <c r="E2351" s="8">
        <v>498.33465657301548</v>
      </c>
      <c r="F2351" s="8">
        <v>498.55317686053093</v>
      </c>
      <c r="G2351" s="7">
        <v>84212</v>
      </c>
      <c r="H2351" s="9">
        <v>41984160.129779033</v>
      </c>
      <c r="I2351" s="5" t="s">
        <v>3480</v>
      </c>
    </row>
    <row r="2352" spans="1:9" x14ac:dyDescent="0.25">
      <c r="A2352" s="6">
        <v>45996.809027777781</v>
      </c>
      <c r="B2352" s="5" t="s">
        <v>26</v>
      </c>
      <c r="C2352" s="8">
        <v>498.17848519638108</v>
      </c>
      <c r="D2352" s="8">
        <v>498.66667649872608</v>
      </c>
      <c r="E2352" s="8">
        <v>497.88505473295652</v>
      </c>
      <c r="F2352" s="8">
        <v>498.29659334259571</v>
      </c>
      <c r="G2352" s="7">
        <v>52977</v>
      </c>
      <c r="H2352" s="9">
        <v>26398258.625510689</v>
      </c>
      <c r="I2352" s="5" t="s">
        <v>3481</v>
      </c>
    </row>
    <row r="2353" spans="1:9" x14ac:dyDescent="0.25">
      <c r="A2353" s="6">
        <v>45996.8125</v>
      </c>
      <c r="B2353" s="5" t="s">
        <v>26</v>
      </c>
      <c r="C2353" s="8">
        <v>497.86175988320548</v>
      </c>
      <c r="D2353" s="8">
        <v>498.45388661765082</v>
      </c>
      <c r="E2353" s="8">
        <v>497.59335575782347</v>
      </c>
      <c r="F2353" s="8">
        <v>498.03303582190409</v>
      </c>
      <c r="G2353" s="7">
        <v>68698</v>
      </c>
      <c r="H2353" s="9">
        <v>34213873.494893171</v>
      </c>
      <c r="I2353" s="5" t="s">
        <v>3482</v>
      </c>
    </row>
    <row r="2354" spans="1:9" x14ac:dyDescent="0.25">
      <c r="A2354" s="6">
        <v>45996.815972222219</v>
      </c>
      <c r="B2354" s="5" t="s">
        <v>26</v>
      </c>
      <c r="C2354" s="8">
        <v>497.77585399593721</v>
      </c>
      <c r="D2354" s="8">
        <v>498.22771628815912</v>
      </c>
      <c r="E2354" s="8">
        <v>497.72393148245749</v>
      </c>
      <c r="F2354" s="8">
        <v>497.98148309341809</v>
      </c>
      <c r="G2354" s="7">
        <v>38935</v>
      </c>
      <c r="H2354" s="9">
        <v>19388909.044242229</v>
      </c>
      <c r="I2354" s="5" t="s">
        <v>3483</v>
      </c>
    </row>
    <row r="2355" spans="1:9" x14ac:dyDescent="0.25">
      <c r="A2355" s="6">
        <v>45996.819444444453</v>
      </c>
      <c r="B2355" s="5" t="s">
        <v>26</v>
      </c>
      <c r="C2355" s="8">
        <v>497.92820633786027</v>
      </c>
      <c r="D2355" s="8">
        <v>498.75960511597168</v>
      </c>
      <c r="E2355" s="8">
        <v>497.7774348423157</v>
      </c>
      <c r="F2355" s="8">
        <v>498.01354231129409</v>
      </c>
      <c r="G2355" s="7">
        <v>46079</v>
      </c>
      <c r="H2355" s="9">
        <v>22947966.01616212</v>
      </c>
      <c r="I2355" s="5" t="s">
        <v>3484</v>
      </c>
    </row>
    <row r="2356" spans="1:9" x14ac:dyDescent="0.25">
      <c r="A2356" s="6">
        <v>45996.822916666657</v>
      </c>
      <c r="B2356" s="5" t="s">
        <v>26</v>
      </c>
      <c r="C2356" s="8">
        <v>497.02524544215629</v>
      </c>
      <c r="D2356" s="8">
        <v>497.51607891556228</v>
      </c>
      <c r="E2356" s="8">
        <v>496.78360827876043</v>
      </c>
      <c r="F2356" s="8">
        <v>497.06931116326592</v>
      </c>
      <c r="G2356" s="7">
        <v>51075</v>
      </c>
      <c r="H2356" s="9">
        <v>25387815.067663811</v>
      </c>
      <c r="I2356" s="5" t="s">
        <v>3485</v>
      </c>
    </row>
    <row r="2357" spans="1:9" x14ac:dyDescent="0.25">
      <c r="A2357" s="6">
        <v>45996.826388888891</v>
      </c>
      <c r="B2357" s="5" t="s">
        <v>26</v>
      </c>
      <c r="C2357" s="8">
        <v>497.13666920727042</v>
      </c>
      <c r="D2357" s="8">
        <v>497.66411856237681</v>
      </c>
      <c r="E2357" s="8">
        <v>496.96435087246658</v>
      </c>
      <c r="F2357" s="8">
        <v>496.98973586176652</v>
      </c>
      <c r="G2357" s="7">
        <v>82291</v>
      </c>
      <c r="H2357" s="9">
        <v>40897782.353800632</v>
      </c>
      <c r="I2357" s="5" t="s">
        <v>3486</v>
      </c>
    </row>
    <row r="2358" spans="1:9" x14ac:dyDescent="0.25">
      <c r="A2358" s="6">
        <v>45996.829861111109</v>
      </c>
      <c r="B2358" s="5" t="s">
        <v>26</v>
      </c>
      <c r="C2358" s="8">
        <v>497.05352801638952</v>
      </c>
      <c r="D2358" s="8">
        <v>497.31076693566422</v>
      </c>
      <c r="E2358" s="8">
        <v>496.55659093647392</v>
      </c>
      <c r="F2358" s="8">
        <v>497.20734518949263</v>
      </c>
      <c r="G2358" s="7">
        <v>43064</v>
      </c>
      <c r="H2358" s="9">
        <v>21411737.113240309</v>
      </c>
      <c r="I2358" s="5" t="s">
        <v>3487</v>
      </c>
    </row>
    <row r="2359" spans="1:9" x14ac:dyDescent="0.25">
      <c r="A2359" s="6">
        <v>45996.833333333343</v>
      </c>
      <c r="B2359" s="5" t="s">
        <v>26</v>
      </c>
      <c r="C2359" s="8">
        <v>497.03730605865547</v>
      </c>
      <c r="D2359" s="8">
        <v>497.04749488155858</v>
      </c>
      <c r="E2359" s="8">
        <v>496.87847147188251</v>
      </c>
      <c r="F2359" s="8">
        <v>496.94673916580842</v>
      </c>
      <c r="G2359" s="7">
        <v>108059</v>
      </c>
      <c r="H2359" s="9">
        <v>53699567.68751809</v>
      </c>
      <c r="I2359" s="5" t="s">
        <v>3488</v>
      </c>
    </row>
    <row r="2360" spans="1:9" x14ac:dyDescent="0.25">
      <c r="A2360" s="6">
        <v>45996.836805555547</v>
      </c>
      <c r="B2360" s="5" t="s">
        <v>26</v>
      </c>
      <c r="C2360" s="8">
        <v>496.76305513335961</v>
      </c>
      <c r="D2360" s="8">
        <v>497.14141256221558</v>
      </c>
      <c r="E2360" s="8">
        <v>495.77555480053252</v>
      </c>
      <c r="F2360" s="8">
        <v>496.63462084798567</v>
      </c>
      <c r="G2360" s="7">
        <v>58299</v>
      </c>
      <c r="H2360" s="9">
        <v>28953301.760816719</v>
      </c>
      <c r="I2360" s="5" t="s">
        <v>3489</v>
      </c>
    </row>
    <row r="2361" spans="1:9" x14ac:dyDescent="0.25">
      <c r="A2361" s="6">
        <v>45996.840277777781</v>
      </c>
      <c r="B2361" s="5" t="s">
        <v>26</v>
      </c>
      <c r="C2361" s="8">
        <v>496.88682438580878</v>
      </c>
      <c r="D2361" s="8">
        <v>497.44558753158321</v>
      </c>
      <c r="E2361" s="8">
        <v>496.87942132398422</v>
      </c>
      <c r="F2361" s="8">
        <v>496.95660531052431</v>
      </c>
      <c r="G2361" s="7">
        <v>73592</v>
      </c>
      <c r="H2361" s="9">
        <v>36572030.498012103</v>
      </c>
      <c r="I2361" s="5" t="s">
        <v>3490</v>
      </c>
    </row>
    <row r="2362" spans="1:9" x14ac:dyDescent="0.25">
      <c r="A2362" s="6">
        <v>45996.84375</v>
      </c>
      <c r="B2362" s="5" t="s">
        <v>26</v>
      </c>
      <c r="C2362" s="8">
        <v>496.92546748438281</v>
      </c>
      <c r="D2362" s="8">
        <v>497.4462604379608</v>
      </c>
      <c r="E2362" s="8">
        <v>496.50799574706912</v>
      </c>
      <c r="F2362" s="8">
        <v>497.08196675264901</v>
      </c>
      <c r="G2362" s="7">
        <v>96355</v>
      </c>
      <c r="H2362" s="9">
        <v>47896332.906451494</v>
      </c>
      <c r="I2362" s="5" t="s">
        <v>3491</v>
      </c>
    </row>
    <row r="2363" spans="1:9" x14ac:dyDescent="0.25">
      <c r="A2363" s="6">
        <v>45996.847222222219</v>
      </c>
      <c r="B2363" s="5" t="s">
        <v>26</v>
      </c>
      <c r="C2363" s="8">
        <v>497.82017394842802</v>
      </c>
      <c r="D2363" s="8">
        <v>498.09037556790997</v>
      </c>
      <c r="E2363" s="8">
        <v>497.24694819336952</v>
      </c>
      <c r="F2363" s="8">
        <v>497.62574836408891</v>
      </c>
      <c r="G2363" s="7">
        <v>67026</v>
      </c>
      <c r="H2363" s="9">
        <v>33353863.409851421</v>
      </c>
      <c r="I2363" s="5" t="s">
        <v>3492</v>
      </c>
    </row>
    <row r="2364" spans="1:9" x14ac:dyDescent="0.25">
      <c r="A2364" s="6">
        <v>45996.850694444453</v>
      </c>
      <c r="B2364" s="5" t="s">
        <v>26</v>
      </c>
      <c r="C2364" s="8">
        <v>497.38478993205172</v>
      </c>
      <c r="D2364" s="8">
        <v>497.67181696944658</v>
      </c>
      <c r="E2364" s="8">
        <v>497.09097414684578</v>
      </c>
      <c r="F2364" s="8">
        <v>497.309894528435</v>
      </c>
      <c r="G2364" s="7">
        <v>59296</v>
      </c>
      <c r="H2364" s="9">
        <v>29488487.50595808</v>
      </c>
      <c r="I2364" s="5" t="s">
        <v>3493</v>
      </c>
    </row>
    <row r="2365" spans="1:9" x14ac:dyDescent="0.25">
      <c r="A2365" s="6">
        <v>45996.854166666657</v>
      </c>
      <c r="B2365" s="5" t="s">
        <v>26</v>
      </c>
      <c r="C2365" s="8">
        <v>497.767336578087</v>
      </c>
      <c r="D2365" s="8">
        <v>498.59383573220498</v>
      </c>
      <c r="E2365" s="8">
        <v>497.57731728871943</v>
      </c>
      <c r="F2365" s="8">
        <v>497.82023757604537</v>
      </c>
      <c r="G2365" s="7">
        <v>95132</v>
      </c>
      <c r="H2365" s="9">
        <v>47358634.841084354</v>
      </c>
      <c r="I2365" s="5" t="s">
        <v>3494</v>
      </c>
    </row>
    <row r="2366" spans="1:9" x14ac:dyDescent="0.25">
      <c r="A2366" s="6">
        <v>45996.857638888891</v>
      </c>
      <c r="B2366" s="5" t="s">
        <v>26</v>
      </c>
      <c r="C2366" s="8">
        <v>498.40865983353132</v>
      </c>
      <c r="D2366" s="8">
        <v>498.48112208524111</v>
      </c>
      <c r="E2366" s="8">
        <v>498.03587618216551</v>
      </c>
      <c r="F2366" s="8">
        <v>498.23514214661247</v>
      </c>
      <c r="G2366" s="7">
        <v>38225</v>
      </c>
      <c r="H2366" s="9">
        <v>19045038.308554269</v>
      </c>
      <c r="I2366" s="5" t="s">
        <v>3495</v>
      </c>
    </row>
    <row r="2367" spans="1:9" x14ac:dyDescent="0.25">
      <c r="A2367" s="6">
        <v>45996.861111111109</v>
      </c>
      <c r="B2367" s="5" t="s">
        <v>26</v>
      </c>
      <c r="C2367" s="8">
        <v>497.45091759496421</v>
      </c>
      <c r="D2367" s="8">
        <v>498.12568410326492</v>
      </c>
      <c r="E2367" s="8">
        <v>497.36389194824909</v>
      </c>
      <c r="F2367" s="8">
        <v>497.57024926028811</v>
      </c>
      <c r="G2367" s="7">
        <v>42492</v>
      </c>
      <c r="H2367" s="9">
        <v>21142755.031568158</v>
      </c>
      <c r="I2367" s="5" t="s">
        <v>3496</v>
      </c>
    </row>
    <row r="2368" spans="1:9" x14ac:dyDescent="0.25">
      <c r="A2368" s="6">
        <v>45996.864583333343</v>
      </c>
      <c r="B2368" s="5" t="s">
        <v>26</v>
      </c>
      <c r="C2368" s="8">
        <v>497.15565785859962</v>
      </c>
      <c r="D2368" s="8">
        <v>497.50537388825398</v>
      </c>
      <c r="E2368" s="8">
        <v>496.96186746560039</v>
      </c>
      <c r="F2368" s="8">
        <v>497.277485242007</v>
      </c>
      <c r="G2368" s="7">
        <v>45358</v>
      </c>
      <c r="H2368" s="9">
        <v>22555512.175606951</v>
      </c>
      <c r="I2368" s="5" t="s">
        <v>3497</v>
      </c>
    </row>
    <row r="2369" spans="1:9" x14ac:dyDescent="0.25">
      <c r="A2369" s="6">
        <v>45996.868055555547</v>
      </c>
      <c r="B2369" s="5" t="s">
        <v>26</v>
      </c>
      <c r="C2369" s="8">
        <v>497.94979391489568</v>
      </c>
      <c r="D2369" s="8">
        <v>498.42582483427321</v>
      </c>
      <c r="E2369" s="8">
        <v>497.82454444982938</v>
      </c>
      <c r="F2369" s="8">
        <v>497.99827710660009</v>
      </c>
      <c r="G2369" s="7">
        <v>56130</v>
      </c>
      <c r="H2369" s="9">
        <v>27952643.293993469</v>
      </c>
      <c r="I2369" s="5" t="s">
        <v>3498</v>
      </c>
    </row>
    <row r="2370" spans="1:9" x14ac:dyDescent="0.25">
      <c r="A2370" s="6">
        <v>45996.871527777781</v>
      </c>
      <c r="B2370" s="5" t="s">
        <v>26</v>
      </c>
      <c r="C2370" s="8">
        <v>497.9003433730382</v>
      </c>
      <c r="D2370" s="8">
        <v>498.56215135695101</v>
      </c>
      <c r="E2370" s="8">
        <v>497.38536921786613</v>
      </c>
      <c r="F2370" s="8">
        <v>498.10738353044712</v>
      </c>
      <c r="G2370" s="7">
        <v>51498</v>
      </c>
      <c r="H2370" s="9">
        <v>25651534.03705097</v>
      </c>
      <c r="I2370" s="5" t="s">
        <v>3499</v>
      </c>
    </row>
    <row r="2371" spans="1:9" x14ac:dyDescent="0.25">
      <c r="A2371" s="6">
        <v>45996.875</v>
      </c>
      <c r="B2371" s="5" t="s">
        <v>26</v>
      </c>
      <c r="C2371" s="8">
        <v>498.64404743408028</v>
      </c>
      <c r="D2371" s="8">
        <v>498.78215307084571</v>
      </c>
      <c r="E2371" s="8">
        <v>498.11658305896719</v>
      </c>
      <c r="F2371" s="8">
        <v>498.60555148793202</v>
      </c>
      <c r="G2371" s="7">
        <v>41953</v>
      </c>
      <c r="H2371" s="9">
        <v>20917998.701573212</v>
      </c>
      <c r="I2371" s="5" t="s">
        <v>3500</v>
      </c>
    </row>
    <row r="2372" spans="1:9" x14ac:dyDescent="0.25">
      <c r="A2372" s="6">
        <v>45992.604166666657</v>
      </c>
      <c r="B2372" s="5" t="s">
        <v>17</v>
      </c>
      <c r="C2372" s="8">
        <v>235.0604602563954</v>
      </c>
      <c r="D2372" s="8">
        <v>235.09196426715451</v>
      </c>
      <c r="E2372" s="8">
        <v>234.92585551807801</v>
      </c>
      <c r="F2372" s="8">
        <v>234.99109246195209</v>
      </c>
      <c r="G2372" s="7">
        <v>38158</v>
      </c>
      <c r="H2372" s="9">
        <v>8966790.1061631683</v>
      </c>
      <c r="I2372" s="5" t="s">
        <v>3501</v>
      </c>
    </row>
    <row r="2373" spans="1:9" x14ac:dyDescent="0.25">
      <c r="A2373" s="6">
        <v>45992.607638888891</v>
      </c>
      <c r="B2373" s="5" t="s">
        <v>17</v>
      </c>
      <c r="C2373" s="8">
        <v>234.95684321823629</v>
      </c>
      <c r="D2373" s="8">
        <v>235.13494437655129</v>
      </c>
      <c r="E2373" s="8">
        <v>234.83155188440199</v>
      </c>
      <c r="F2373" s="8">
        <v>234.94908944813719</v>
      </c>
      <c r="G2373" s="7">
        <v>47908</v>
      </c>
      <c r="H2373" s="9">
        <v>11255940.97728136</v>
      </c>
      <c r="I2373" s="5" t="s">
        <v>3502</v>
      </c>
    </row>
    <row r="2374" spans="1:9" x14ac:dyDescent="0.25">
      <c r="A2374" s="6">
        <v>45992.611111111109</v>
      </c>
      <c r="B2374" s="5" t="s">
        <v>17</v>
      </c>
      <c r="C2374" s="8">
        <v>234.9065901426265</v>
      </c>
      <c r="D2374" s="8">
        <v>234.95366273423659</v>
      </c>
      <c r="E2374" s="8">
        <v>234.66134491809851</v>
      </c>
      <c r="F2374" s="8">
        <v>234.8922949891878</v>
      </c>
      <c r="G2374" s="7">
        <v>60871</v>
      </c>
      <c r="H2374" s="9">
        <v>14298128.888286849</v>
      </c>
      <c r="I2374" s="5" t="s">
        <v>3503</v>
      </c>
    </row>
    <row r="2375" spans="1:9" x14ac:dyDescent="0.25">
      <c r="A2375" s="6">
        <v>45992.614583333343</v>
      </c>
      <c r="B2375" s="5" t="s">
        <v>17</v>
      </c>
      <c r="C2375" s="8">
        <v>235.16782519877751</v>
      </c>
      <c r="D2375" s="8">
        <v>235.22232616379489</v>
      </c>
      <c r="E2375" s="8">
        <v>235.16448073401301</v>
      </c>
      <c r="F2375" s="8">
        <v>235.16697384285041</v>
      </c>
      <c r="G2375" s="7">
        <v>73990</v>
      </c>
      <c r="H2375" s="9">
        <v>17400004.3946325</v>
      </c>
      <c r="I2375" s="5" t="s">
        <v>3504</v>
      </c>
    </row>
    <row r="2376" spans="1:9" x14ac:dyDescent="0.25">
      <c r="A2376" s="6">
        <v>45992.618055555547</v>
      </c>
      <c r="B2376" s="5" t="s">
        <v>17</v>
      </c>
      <c r="C2376" s="8">
        <v>234.98859777243911</v>
      </c>
      <c r="D2376" s="8">
        <v>235.0306801497</v>
      </c>
      <c r="E2376" s="8">
        <v>234.60906064524971</v>
      </c>
      <c r="F2376" s="8">
        <v>234.87710479892689</v>
      </c>
      <c r="G2376" s="7">
        <v>47191</v>
      </c>
      <c r="H2376" s="9">
        <v>11084085.45256616</v>
      </c>
      <c r="I2376" s="5" t="s">
        <v>3505</v>
      </c>
    </row>
    <row r="2377" spans="1:9" x14ac:dyDescent="0.25">
      <c r="A2377" s="6">
        <v>45992.621527777781</v>
      </c>
      <c r="B2377" s="5" t="s">
        <v>17</v>
      </c>
      <c r="C2377" s="8">
        <v>234.68285439881561</v>
      </c>
      <c r="D2377" s="8">
        <v>234.82237436025181</v>
      </c>
      <c r="E2377" s="8">
        <v>234.59921228429991</v>
      </c>
      <c r="F2377" s="8">
        <v>234.66873438775141</v>
      </c>
      <c r="G2377" s="7">
        <v>64395</v>
      </c>
      <c r="H2377" s="9">
        <v>15111493.15089925</v>
      </c>
      <c r="I2377" s="5" t="s">
        <v>3506</v>
      </c>
    </row>
    <row r="2378" spans="1:9" x14ac:dyDescent="0.25">
      <c r="A2378" s="6">
        <v>45992.625</v>
      </c>
      <c r="B2378" s="5" t="s">
        <v>17</v>
      </c>
      <c r="C2378" s="8">
        <v>234.751004286517</v>
      </c>
      <c r="D2378" s="8">
        <v>234.9071549913599</v>
      </c>
      <c r="E2378" s="8">
        <v>234.72995287672299</v>
      </c>
      <c r="F2378" s="8">
        <v>234.73529974843129</v>
      </c>
      <c r="G2378" s="7">
        <v>76410</v>
      </c>
      <c r="H2378" s="9">
        <v>17936124.253777631</v>
      </c>
      <c r="I2378" s="5" t="s">
        <v>3507</v>
      </c>
    </row>
    <row r="2379" spans="1:9" x14ac:dyDescent="0.25">
      <c r="A2379" s="6">
        <v>45992.628472222219</v>
      </c>
      <c r="B2379" s="5" t="s">
        <v>17</v>
      </c>
      <c r="C2379" s="8">
        <v>234.6113279090778</v>
      </c>
      <c r="D2379" s="8">
        <v>234.72459445948641</v>
      </c>
      <c r="E2379" s="8">
        <v>234.57455692998971</v>
      </c>
      <c r="F2379" s="8">
        <v>234.621486733372</v>
      </c>
      <c r="G2379" s="7">
        <v>50353</v>
      </c>
      <c r="H2379" s="9">
        <v>11813895.721485481</v>
      </c>
      <c r="I2379" s="5" t="s">
        <v>3508</v>
      </c>
    </row>
    <row r="2380" spans="1:9" x14ac:dyDescent="0.25">
      <c r="A2380" s="6">
        <v>45992.631944444453</v>
      </c>
      <c r="B2380" s="5" t="s">
        <v>17</v>
      </c>
      <c r="C2380" s="8">
        <v>234.37975360559111</v>
      </c>
      <c r="D2380" s="8">
        <v>234.43562323002729</v>
      </c>
      <c r="E2380" s="8">
        <v>234.22858216227661</v>
      </c>
      <c r="F2380" s="8">
        <v>234.30947351983389</v>
      </c>
      <c r="G2380" s="7">
        <v>134068</v>
      </c>
      <c r="H2380" s="9">
        <v>31413402.49585709</v>
      </c>
      <c r="I2380" s="5" t="s">
        <v>3509</v>
      </c>
    </row>
    <row r="2381" spans="1:9" x14ac:dyDescent="0.25">
      <c r="A2381" s="6">
        <v>45992.635416666657</v>
      </c>
      <c r="B2381" s="5" t="s">
        <v>17</v>
      </c>
      <c r="C2381" s="8">
        <v>233.9151742639352</v>
      </c>
      <c r="D2381" s="8">
        <v>233.9374726789253</v>
      </c>
      <c r="E2381" s="8">
        <v>233.72655500974611</v>
      </c>
      <c r="F2381" s="8">
        <v>233.88475759872699</v>
      </c>
      <c r="G2381" s="7">
        <v>49235</v>
      </c>
      <c r="H2381" s="9">
        <v>11515316.040373329</v>
      </c>
      <c r="I2381" s="5" t="s">
        <v>3510</v>
      </c>
    </row>
    <row r="2382" spans="1:9" x14ac:dyDescent="0.25">
      <c r="A2382" s="6">
        <v>45992.638888888891</v>
      </c>
      <c r="B2382" s="5" t="s">
        <v>17</v>
      </c>
      <c r="C2382" s="8">
        <v>233.713063005278</v>
      </c>
      <c r="D2382" s="8">
        <v>233.88764907940899</v>
      </c>
      <c r="E2382" s="8">
        <v>233.4466491667506</v>
      </c>
      <c r="F2382" s="8">
        <v>233.78714968548621</v>
      </c>
      <c r="G2382" s="7">
        <v>46353</v>
      </c>
      <c r="H2382" s="9">
        <v>10836735.74937134</v>
      </c>
      <c r="I2382" s="5" t="s">
        <v>3511</v>
      </c>
    </row>
    <row r="2383" spans="1:9" x14ac:dyDescent="0.25">
      <c r="A2383" s="6">
        <v>45992.642361111109</v>
      </c>
      <c r="B2383" s="5" t="s">
        <v>17</v>
      </c>
      <c r="C2383" s="8">
        <v>233.8434547476871</v>
      </c>
      <c r="D2383" s="8">
        <v>233.93154276445341</v>
      </c>
      <c r="E2383" s="8">
        <v>233.55303897945521</v>
      </c>
      <c r="F2383" s="8">
        <v>233.8239643065703</v>
      </c>
      <c r="G2383" s="7">
        <v>82414</v>
      </c>
      <c r="H2383" s="9">
        <v>19270368.19436169</v>
      </c>
      <c r="I2383" s="5" t="s">
        <v>3512</v>
      </c>
    </row>
    <row r="2384" spans="1:9" x14ac:dyDescent="0.25">
      <c r="A2384" s="6">
        <v>45992.645833333343</v>
      </c>
      <c r="B2384" s="5" t="s">
        <v>17</v>
      </c>
      <c r="C2384" s="8">
        <v>233.5526656501869</v>
      </c>
      <c r="D2384" s="8">
        <v>233.7340347866938</v>
      </c>
      <c r="E2384" s="8">
        <v>233.33984392223459</v>
      </c>
      <c r="F2384" s="8">
        <v>233.47568284221509</v>
      </c>
      <c r="G2384" s="7">
        <v>94571</v>
      </c>
      <c r="H2384" s="9">
        <v>22080028.802071132</v>
      </c>
      <c r="I2384" s="5" t="s">
        <v>3513</v>
      </c>
    </row>
    <row r="2385" spans="1:9" x14ac:dyDescent="0.25">
      <c r="A2385" s="6">
        <v>45992.649305555547</v>
      </c>
      <c r="B2385" s="5" t="s">
        <v>17</v>
      </c>
      <c r="C2385" s="8">
        <v>233.29239501177889</v>
      </c>
      <c r="D2385" s="8">
        <v>233.3940258893918</v>
      </c>
      <c r="E2385" s="8">
        <v>233.29005888926159</v>
      </c>
      <c r="F2385" s="8">
        <v>233.3725118941488</v>
      </c>
      <c r="G2385" s="7">
        <v>39693</v>
      </c>
      <c r="H2385" s="9">
        <v>9263255.1146144494</v>
      </c>
      <c r="I2385" s="5" t="s">
        <v>3514</v>
      </c>
    </row>
    <row r="2386" spans="1:9" x14ac:dyDescent="0.25">
      <c r="A2386" s="6">
        <v>45992.652777777781</v>
      </c>
      <c r="B2386" s="5" t="s">
        <v>17</v>
      </c>
      <c r="C2386" s="8">
        <v>233.37178036469439</v>
      </c>
      <c r="D2386" s="8">
        <v>233.45626445918151</v>
      </c>
      <c r="E2386" s="8">
        <v>233.14601203657571</v>
      </c>
      <c r="F2386" s="8">
        <v>233.3097333014303</v>
      </c>
      <c r="G2386" s="7">
        <v>35632</v>
      </c>
      <c r="H2386" s="9">
        <v>8313292.4169965638</v>
      </c>
      <c r="I2386" s="5" t="s">
        <v>3515</v>
      </c>
    </row>
    <row r="2387" spans="1:9" x14ac:dyDescent="0.25">
      <c r="A2387" s="6">
        <v>45992.65625</v>
      </c>
      <c r="B2387" s="5" t="s">
        <v>17</v>
      </c>
      <c r="C2387" s="8">
        <v>233.11795083968801</v>
      </c>
      <c r="D2387" s="8">
        <v>233.14846457421271</v>
      </c>
      <c r="E2387" s="8">
        <v>232.9999716683991</v>
      </c>
      <c r="F2387" s="8">
        <v>233.12637888917061</v>
      </c>
      <c r="G2387" s="7">
        <v>38384</v>
      </c>
      <c r="H2387" s="9">
        <v>8948322.9272819255</v>
      </c>
      <c r="I2387" s="5" t="s">
        <v>3516</v>
      </c>
    </row>
    <row r="2388" spans="1:9" x14ac:dyDescent="0.25">
      <c r="A2388" s="6">
        <v>45992.659722222219</v>
      </c>
      <c r="B2388" s="5" t="s">
        <v>17</v>
      </c>
      <c r="C2388" s="8">
        <v>233.5262830313703</v>
      </c>
      <c r="D2388" s="8">
        <v>233.62779591655541</v>
      </c>
      <c r="E2388" s="8">
        <v>233.40407056224299</v>
      </c>
      <c r="F2388" s="8">
        <v>233.4504818187647</v>
      </c>
      <c r="G2388" s="7">
        <v>34572</v>
      </c>
      <c r="H2388" s="9">
        <v>8070850.0574383326</v>
      </c>
      <c r="I2388" s="5" t="s">
        <v>3517</v>
      </c>
    </row>
    <row r="2389" spans="1:9" x14ac:dyDescent="0.25">
      <c r="A2389" s="6">
        <v>45992.663194444453</v>
      </c>
      <c r="B2389" s="5" t="s">
        <v>17</v>
      </c>
      <c r="C2389" s="8">
        <v>233.21705896372981</v>
      </c>
      <c r="D2389" s="8">
        <v>233.24287239783749</v>
      </c>
      <c r="E2389" s="8">
        <v>232.9042057276445</v>
      </c>
      <c r="F2389" s="8">
        <v>233.15389756284759</v>
      </c>
      <c r="G2389" s="7">
        <v>65946</v>
      </c>
      <c r="H2389" s="9">
        <v>15375566.92867955</v>
      </c>
      <c r="I2389" s="5" t="s">
        <v>3518</v>
      </c>
    </row>
    <row r="2390" spans="1:9" x14ac:dyDescent="0.25">
      <c r="A2390" s="6">
        <v>45992.666666666657</v>
      </c>
      <c r="B2390" s="5" t="s">
        <v>17</v>
      </c>
      <c r="C2390" s="8">
        <v>232.9464820728528</v>
      </c>
      <c r="D2390" s="8">
        <v>232.9816769332802</v>
      </c>
      <c r="E2390" s="8">
        <v>232.85525568002811</v>
      </c>
      <c r="F2390" s="8">
        <v>232.8659494816672</v>
      </c>
      <c r="G2390" s="7">
        <v>75471</v>
      </c>
      <c r="H2390" s="9">
        <v>17574626.073330909</v>
      </c>
      <c r="I2390" s="5" t="s">
        <v>3519</v>
      </c>
    </row>
    <row r="2391" spans="1:9" x14ac:dyDescent="0.25">
      <c r="A2391" s="6">
        <v>45992.670138888891</v>
      </c>
      <c r="B2391" s="5" t="s">
        <v>17</v>
      </c>
      <c r="C2391" s="8">
        <v>232.4818146335206</v>
      </c>
      <c r="D2391" s="8">
        <v>232.76040027273419</v>
      </c>
      <c r="E2391" s="8">
        <v>232.2812018157237</v>
      </c>
      <c r="F2391" s="8">
        <v>232.5646195532687</v>
      </c>
      <c r="G2391" s="7">
        <v>39388</v>
      </c>
      <c r="H2391" s="9">
        <v>9160255.2349641472</v>
      </c>
      <c r="I2391" s="5" t="s">
        <v>3520</v>
      </c>
    </row>
    <row r="2392" spans="1:9" x14ac:dyDescent="0.25">
      <c r="A2392" s="6">
        <v>45992.673611111109</v>
      </c>
      <c r="B2392" s="5" t="s">
        <v>17</v>
      </c>
      <c r="C2392" s="8">
        <v>232.19564231820161</v>
      </c>
      <c r="D2392" s="8">
        <v>232.35207302496809</v>
      </c>
      <c r="E2392" s="8">
        <v>232.11767861144841</v>
      </c>
      <c r="F2392" s="8">
        <v>232.2854199161701</v>
      </c>
      <c r="G2392" s="7">
        <v>40380</v>
      </c>
      <c r="H2392" s="9">
        <v>9379685.2562149502</v>
      </c>
      <c r="I2392" s="5" t="s">
        <v>3521</v>
      </c>
    </row>
    <row r="2393" spans="1:9" x14ac:dyDescent="0.25">
      <c r="A2393" s="6">
        <v>45992.677083333343</v>
      </c>
      <c r="B2393" s="5" t="s">
        <v>17</v>
      </c>
      <c r="C2393" s="8">
        <v>232.17244920675779</v>
      </c>
      <c r="D2393" s="8">
        <v>232.4773306555154</v>
      </c>
      <c r="E2393" s="8">
        <v>232.08597879320371</v>
      </c>
      <c r="F2393" s="8">
        <v>232.15331892452559</v>
      </c>
      <c r="G2393" s="7">
        <v>54689</v>
      </c>
      <c r="H2393" s="9">
        <v>12696232.85866338</v>
      </c>
      <c r="I2393" s="5" t="s">
        <v>3522</v>
      </c>
    </row>
    <row r="2394" spans="1:9" x14ac:dyDescent="0.25">
      <c r="A2394" s="6">
        <v>45992.680555555547</v>
      </c>
      <c r="B2394" s="5" t="s">
        <v>17</v>
      </c>
      <c r="C2394" s="8">
        <v>231.84973301172391</v>
      </c>
      <c r="D2394" s="8">
        <v>231.86391587635731</v>
      </c>
      <c r="E2394" s="8">
        <v>231.7409081423242</v>
      </c>
      <c r="F2394" s="8">
        <v>231.77250821329309</v>
      </c>
      <c r="G2394" s="7">
        <v>70690</v>
      </c>
      <c r="H2394" s="9">
        <v>16383998.60559769</v>
      </c>
      <c r="I2394" s="5" t="s">
        <v>3523</v>
      </c>
    </row>
    <row r="2395" spans="1:9" x14ac:dyDescent="0.25">
      <c r="A2395" s="6">
        <v>45992.684027777781</v>
      </c>
      <c r="B2395" s="5" t="s">
        <v>17</v>
      </c>
      <c r="C2395" s="8">
        <v>231.802504938325</v>
      </c>
      <c r="D2395" s="8">
        <v>231.8733702760411</v>
      </c>
      <c r="E2395" s="8">
        <v>231.62707439567231</v>
      </c>
      <c r="F2395" s="8">
        <v>231.8262075474828</v>
      </c>
      <c r="G2395" s="7">
        <v>67170</v>
      </c>
      <c r="H2395" s="9">
        <v>15571766.360964419</v>
      </c>
      <c r="I2395" s="5" t="s">
        <v>3524</v>
      </c>
    </row>
    <row r="2396" spans="1:9" x14ac:dyDescent="0.25">
      <c r="A2396" s="6">
        <v>45992.6875</v>
      </c>
      <c r="B2396" s="5" t="s">
        <v>17</v>
      </c>
      <c r="C2396" s="8">
        <v>231.77325252037701</v>
      </c>
      <c r="D2396" s="8">
        <v>231.92681123581701</v>
      </c>
      <c r="E2396" s="8">
        <v>231.57453333275089</v>
      </c>
      <c r="F2396" s="8">
        <v>231.850123736049</v>
      </c>
      <c r="G2396" s="7">
        <v>37537</v>
      </c>
      <c r="H2396" s="9">
        <v>8702958.0946800727</v>
      </c>
      <c r="I2396" s="5" t="s">
        <v>3525</v>
      </c>
    </row>
    <row r="2397" spans="1:9" x14ac:dyDescent="0.25">
      <c r="A2397" s="6">
        <v>45992.690972222219</v>
      </c>
      <c r="B2397" s="5" t="s">
        <v>17</v>
      </c>
      <c r="C2397" s="8">
        <v>232.2934984355357</v>
      </c>
      <c r="D2397" s="8">
        <v>232.42942923185021</v>
      </c>
      <c r="E2397" s="8">
        <v>232.18614695074351</v>
      </c>
      <c r="F2397" s="8">
        <v>232.21262815639179</v>
      </c>
      <c r="G2397" s="7">
        <v>107656</v>
      </c>
      <c r="H2397" s="9">
        <v>24999082.69680452</v>
      </c>
      <c r="I2397" s="5" t="s">
        <v>3526</v>
      </c>
    </row>
    <row r="2398" spans="1:9" x14ac:dyDescent="0.25">
      <c r="A2398" s="6">
        <v>45992.694444444453</v>
      </c>
      <c r="B2398" s="5" t="s">
        <v>17</v>
      </c>
      <c r="C2398" s="8">
        <v>232.1902820850402</v>
      </c>
      <c r="D2398" s="8">
        <v>232.27004728525779</v>
      </c>
      <c r="E2398" s="8">
        <v>231.96790513037709</v>
      </c>
      <c r="F2398" s="8">
        <v>232.1497162284106</v>
      </c>
      <c r="G2398" s="7">
        <v>73956</v>
      </c>
      <c r="H2398" s="9">
        <v>17168864.41338833</v>
      </c>
      <c r="I2398" s="5" t="s">
        <v>3527</v>
      </c>
    </row>
    <row r="2399" spans="1:9" x14ac:dyDescent="0.25">
      <c r="A2399" s="6">
        <v>45992.697916666657</v>
      </c>
      <c r="B2399" s="5" t="s">
        <v>17</v>
      </c>
      <c r="C2399" s="8">
        <v>232.33737025691281</v>
      </c>
      <c r="D2399" s="8">
        <v>232.4399618377299</v>
      </c>
      <c r="E2399" s="8">
        <v>232.24039127204679</v>
      </c>
      <c r="F2399" s="8">
        <v>232.43040894284169</v>
      </c>
      <c r="G2399" s="7">
        <v>42332</v>
      </c>
      <c r="H2399" s="9">
        <v>9839244.0713683739</v>
      </c>
      <c r="I2399" s="5" t="s">
        <v>3528</v>
      </c>
    </row>
    <row r="2400" spans="1:9" x14ac:dyDescent="0.25">
      <c r="A2400" s="6">
        <v>45992.701388888891</v>
      </c>
      <c r="B2400" s="5" t="s">
        <v>17</v>
      </c>
      <c r="C2400" s="8">
        <v>232.41125652604089</v>
      </c>
      <c r="D2400" s="8">
        <v>232.60896648775261</v>
      </c>
      <c r="E2400" s="8">
        <v>232.28105256345569</v>
      </c>
      <c r="F2400" s="8">
        <v>232.3433229683279</v>
      </c>
      <c r="G2400" s="7">
        <v>61796</v>
      </c>
      <c r="H2400" s="9">
        <v>14357887.98615079</v>
      </c>
      <c r="I2400" s="5" t="s">
        <v>3529</v>
      </c>
    </row>
    <row r="2401" spans="1:9" x14ac:dyDescent="0.25">
      <c r="A2401" s="6">
        <v>45992.704861111109</v>
      </c>
      <c r="B2401" s="5" t="s">
        <v>17</v>
      </c>
      <c r="C2401" s="8">
        <v>232.42415984254779</v>
      </c>
      <c r="D2401" s="8">
        <v>232.51404609170569</v>
      </c>
      <c r="E2401" s="8">
        <v>232.35026939041279</v>
      </c>
      <c r="F2401" s="8">
        <v>232.4883748733335</v>
      </c>
      <c r="G2401" s="7">
        <v>64954</v>
      </c>
      <c r="H2401" s="9">
        <v>15101049.90152251</v>
      </c>
      <c r="I2401" s="5" t="s">
        <v>3530</v>
      </c>
    </row>
    <row r="2402" spans="1:9" x14ac:dyDescent="0.25">
      <c r="A2402" s="6">
        <v>45992.708333333343</v>
      </c>
      <c r="B2402" s="5" t="s">
        <v>17</v>
      </c>
      <c r="C2402" s="8">
        <v>232.16214646024059</v>
      </c>
      <c r="D2402" s="8">
        <v>232.2014682078283</v>
      </c>
      <c r="E2402" s="8">
        <v>232.10228191557101</v>
      </c>
      <c r="F2402" s="8">
        <v>232.12924388079361</v>
      </c>
      <c r="G2402" s="7">
        <v>64714</v>
      </c>
      <c r="H2402" s="9">
        <v>15022011.88850168</v>
      </c>
      <c r="I2402" s="5" t="s">
        <v>3531</v>
      </c>
    </row>
    <row r="2403" spans="1:9" x14ac:dyDescent="0.25">
      <c r="A2403" s="6">
        <v>45992.711805555547</v>
      </c>
      <c r="B2403" s="5" t="s">
        <v>17</v>
      </c>
      <c r="C2403" s="8">
        <v>232.3951245931095</v>
      </c>
      <c r="D2403" s="8">
        <v>232.63655784538039</v>
      </c>
      <c r="E2403" s="8">
        <v>232.25074797368271</v>
      </c>
      <c r="F2403" s="8">
        <v>232.41709997441461</v>
      </c>
      <c r="G2403" s="7">
        <v>80540</v>
      </c>
      <c r="H2403" s="9">
        <v>18718873.231939349</v>
      </c>
      <c r="I2403" s="5" t="s">
        <v>3532</v>
      </c>
    </row>
    <row r="2404" spans="1:9" x14ac:dyDescent="0.25">
      <c r="A2404" s="6">
        <v>45992.715277777781</v>
      </c>
      <c r="B2404" s="5" t="s">
        <v>17</v>
      </c>
      <c r="C2404" s="8">
        <v>232.3752380250429</v>
      </c>
      <c r="D2404" s="8">
        <v>232.52195832646049</v>
      </c>
      <c r="E2404" s="8">
        <v>232.1365176168037</v>
      </c>
      <c r="F2404" s="8">
        <v>232.30227697151591</v>
      </c>
      <c r="G2404" s="7">
        <v>43341</v>
      </c>
      <c r="H2404" s="9">
        <v>10068212.98622247</v>
      </c>
      <c r="I2404" s="5" t="s">
        <v>3533</v>
      </c>
    </row>
    <row r="2405" spans="1:9" x14ac:dyDescent="0.25">
      <c r="A2405" s="6">
        <v>45992.71875</v>
      </c>
      <c r="B2405" s="5" t="s">
        <v>17</v>
      </c>
      <c r="C2405" s="8">
        <v>232.1520274974381</v>
      </c>
      <c r="D2405" s="8">
        <v>232.4049660657673</v>
      </c>
      <c r="E2405" s="8">
        <v>231.90218075095919</v>
      </c>
      <c r="F2405" s="8">
        <v>232.04207729823909</v>
      </c>
      <c r="G2405" s="7">
        <v>67716</v>
      </c>
      <c r="H2405" s="9">
        <v>15712961.306327561</v>
      </c>
      <c r="I2405" s="5" t="s">
        <v>3534</v>
      </c>
    </row>
    <row r="2406" spans="1:9" x14ac:dyDescent="0.25">
      <c r="A2406" s="6">
        <v>45992.722222222219</v>
      </c>
      <c r="B2406" s="5" t="s">
        <v>17</v>
      </c>
      <c r="C2406" s="8">
        <v>232.3553343512323</v>
      </c>
      <c r="D2406" s="8">
        <v>232.40699257961629</v>
      </c>
      <c r="E2406" s="8">
        <v>232.18889514344141</v>
      </c>
      <c r="F2406" s="8">
        <v>232.2781676789316</v>
      </c>
      <c r="G2406" s="7">
        <v>87659</v>
      </c>
      <c r="H2406" s="9">
        <v>20361271.900567468</v>
      </c>
      <c r="I2406" s="5" t="s">
        <v>3535</v>
      </c>
    </row>
    <row r="2407" spans="1:9" x14ac:dyDescent="0.25">
      <c r="A2407" s="6">
        <v>45992.725694444453</v>
      </c>
      <c r="B2407" s="5" t="s">
        <v>17</v>
      </c>
      <c r="C2407" s="8">
        <v>232.3566911656801</v>
      </c>
      <c r="D2407" s="8">
        <v>232.4053737045397</v>
      </c>
      <c r="E2407" s="8">
        <v>232.2751636450993</v>
      </c>
      <c r="F2407" s="8">
        <v>232.37235484921561</v>
      </c>
      <c r="G2407" s="7">
        <v>74682</v>
      </c>
      <c r="H2407" s="9">
        <v>17354032.20484912</v>
      </c>
      <c r="I2407" s="5" t="s">
        <v>3536</v>
      </c>
    </row>
    <row r="2408" spans="1:9" x14ac:dyDescent="0.25">
      <c r="A2408" s="6">
        <v>45992.729166666657</v>
      </c>
      <c r="B2408" s="5" t="s">
        <v>17</v>
      </c>
      <c r="C2408" s="8">
        <v>232.35733053029651</v>
      </c>
      <c r="D2408" s="8">
        <v>232.4280494400806</v>
      </c>
      <c r="E2408" s="8">
        <v>232.26783173741691</v>
      </c>
      <c r="F2408" s="8">
        <v>232.41621618108201</v>
      </c>
      <c r="G2408" s="7">
        <v>40920</v>
      </c>
      <c r="H2408" s="9">
        <v>9510471.5661298763</v>
      </c>
      <c r="I2408" s="5" t="s">
        <v>3537</v>
      </c>
    </row>
    <row r="2409" spans="1:9" x14ac:dyDescent="0.25">
      <c r="A2409" s="6">
        <v>45992.732638888891</v>
      </c>
      <c r="B2409" s="5" t="s">
        <v>17</v>
      </c>
      <c r="C2409" s="8">
        <v>232.29285832333511</v>
      </c>
      <c r="D2409" s="8">
        <v>232.38496605137649</v>
      </c>
      <c r="E2409" s="8">
        <v>232.23153614617561</v>
      </c>
      <c r="F2409" s="8">
        <v>232.2627098170596</v>
      </c>
      <c r="G2409" s="7">
        <v>55230</v>
      </c>
      <c r="H2409" s="9">
        <v>12827869.463196199</v>
      </c>
      <c r="I2409" s="5" t="s">
        <v>3538</v>
      </c>
    </row>
    <row r="2410" spans="1:9" x14ac:dyDescent="0.25">
      <c r="A2410" s="6">
        <v>45992.736111111109</v>
      </c>
      <c r="B2410" s="5" t="s">
        <v>17</v>
      </c>
      <c r="C2410" s="8">
        <v>232.24928893239371</v>
      </c>
      <c r="D2410" s="8">
        <v>232.34635815087921</v>
      </c>
      <c r="E2410" s="8">
        <v>231.99990807730649</v>
      </c>
      <c r="F2410" s="8">
        <v>232.27968772194421</v>
      </c>
      <c r="G2410" s="7">
        <v>55190</v>
      </c>
      <c r="H2410" s="9">
        <v>12819515.965374099</v>
      </c>
      <c r="I2410" s="5" t="s">
        <v>3539</v>
      </c>
    </row>
    <row r="2411" spans="1:9" x14ac:dyDescent="0.25">
      <c r="A2411" s="6">
        <v>45992.739583333343</v>
      </c>
      <c r="B2411" s="5" t="s">
        <v>17</v>
      </c>
      <c r="C2411" s="8">
        <v>232.5734019455964</v>
      </c>
      <c r="D2411" s="8">
        <v>232.70278628010121</v>
      </c>
      <c r="E2411" s="8">
        <v>232.50732976274469</v>
      </c>
      <c r="F2411" s="8">
        <v>232.62134408801131</v>
      </c>
      <c r="G2411" s="7">
        <v>77915</v>
      </c>
      <c r="H2411" s="9">
        <v>18124692.0246174</v>
      </c>
      <c r="I2411" s="5" t="s">
        <v>3540</v>
      </c>
    </row>
    <row r="2412" spans="1:9" x14ac:dyDescent="0.25">
      <c r="A2412" s="6">
        <v>45992.743055555547</v>
      </c>
      <c r="B2412" s="5" t="s">
        <v>17</v>
      </c>
      <c r="C2412" s="8">
        <v>233.05681067510241</v>
      </c>
      <c r="D2412" s="8">
        <v>233.15807916785971</v>
      </c>
      <c r="E2412" s="8">
        <v>232.9115256310086</v>
      </c>
      <c r="F2412" s="8">
        <v>233.08876460666701</v>
      </c>
      <c r="G2412" s="7">
        <v>44667</v>
      </c>
      <c r="H2412" s="9">
        <v>10411375.848685989</v>
      </c>
      <c r="I2412" s="5" t="s">
        <v>3541</v>
      </c>
    </row>
    <row r="2413" spans="1:9" x14ac:dyDescent="0.25">
      <c r="A2413" s="6">
        <v>45992.746527777781</v>
      </c>
      <c r="B2413" s="5" t="s">
        <v>17</v>
      </c>
      <c r="C2413" s="8">
        <v>232.93888182179489</v>
      </c>
      <c r="D2413" s="8">
        <v>233.01223307634839</v>
      </c>
      <c r="E2413" s="8">
        <v>232.90213281616539</v>
      </c>
      <c r="F2413" s="8">
        <v>232.94456583428351</v>
      </c>
      <c r="G2413" s="7">
        <v>44647</v>
      </c>
      <c r="H2413" s="9">
        <v>10400276.030803259</v>
      </c>
      <c r="I2413" s="5" t="s">
        <v>3542</v>
      </c>
    </row>
    <row r="2414" spans="1:9" x14ac:dyDescent="0.25">
      <c r="A2414" s="6">
        <v>45992.75</v>
      </c>
      <c r="B2414" s="5" t="s">
        <v>17</v>
      </c>
      <c r="C2414" s="8">
        <v>232.8669092837911</v>
      </c>
      <c r="D2414" s="8">
        <v>233.02906399290299</v>
      </c>
      <c r="E2414" s="8">
        <v>232.70384234340921</v>
      </c>
      <c r="F2414" s="8">
        <v>232.9465292345638</v>
      </c>
      <c r="G2414" s="7">
        <v>54591</v>
      </c>
      <c r="H2414" s="9">
        <v>12716783.977444069</v>
      </c>
      <c r="I2414" s="5" t="s">
        <v>3543</v>
      </c>
    </row>
    <row r="2415" spans="1:9" x14ac:dyDescent="0.25">
      <c r="A2415" s="6">
        <v>45992.753472222219</v>
      </c>
      <c r="B2415" s="5" t="s">
        <v>17</v>
      </c>
      <c r="C2415" s="8">
        <v>233.16551923566729</v>
      </c>
      <c r="D2415" s="8">
        <v>233.26552017086291</v>
      </c>
      <c r="E2415" s="8">
        <v>232.93999855347371</v>
      </c>
      <c r="F2415" s="8">
        <v>233.0171553776897</v>
      </c>
      <c r="G2415" s="7">
        <v>65425</v>
      </c>
      <c r="H2415" s="9">
        <v>15245147.39058535</v>
      </c>
      <c r="I2415" s="5" t="s">
        <v>3544</v>
      </c>
    </row>
    <row r="2416" spans="1:9" x14ac:dyDescent="0.25">
      <c r="A2416" s="6">
        <v>45992.756944444453</v>
      </c>
      <c r="B2416" s="5" t="s">
        <v>17</v>
      </c>
      <c r="C2416" s="8">
        <v>232.90691868285089</v>
      </c>
      <c r="D2416" s="8">
        <v>233.1097593782055</v>
      </c>
      <c r="E2416" s="8">
        <v>232.8870926246334</v>
      </c>
      <c r="F2416" s="8">
        <v>232.95261757763751</v>
      </c>
      <c r="G2416" s="7">
        <v>47379</v>
      </c>
      <c r="H2416" s="9">
        <v>11037062.068210891</v>
      </c>
      <c r="I2416" s="5" t="s">
        <v>3545</v>
      </c>
    </row>
    <row r="2417" spans="1:9" x14ac:dyDescent="0.25">
      <c r="A2417" s="6">
        <v>45992.760416666657</v>
      </c>
      <c r="B2417" s="5" t="s">
        <v>17</v>
      </c>
      <c r="C2417" s="8">
        <v>233.0024850195795</v>
      </c>
      <c r="D2417" s="8">
        <v>233.22100574983239</v>
      </c>
      <c r="E2417" s="8">
        <v>232.74079697907581</v>
      </c>
      <c r="F2417" s="8">
        <v>232.9402258769978</v>
      </c>
      <c r="G2417" s="7">
        <v>46767</v>
      </c>
      <c r="H2417" s="9">
        <v>10893915.54358956</v>
      </c>
      <c r="I2417" s="5" t="s">
        <v>3546</v>
      </c>
    </row>
    <row r="2418" spans="1:9" x14ac:dyDescent="0.25">
      <c r="A2418" s="6">
        <v>45992.763888888891</v>
      </c>
      <c r="B2418" s="5" t="s">
        <v>17</v>
      </c>
      <c r="C2418" s="8">
        <v>233.091092507013</v>
      </c>
      <c r="D2418" s="8">
        <v>233.11529659527889</v>
      </c>
      <c r="E2418" s="8">
        <v>233.00173376153791</v>
      </c>
      <c r="F2418" s="8">
        <v>233.06463128352081</v>
      </c>
      <c r="G2418" s="7">
        <v>94555</v>
      </c>
      <c r="H2418" s="9">
        <v>22037426.21101331</v>
      </c>
      <c r="I2418" s="5" t="s">
        <v>3547</v>
      </c>
    </row>
    <row r="2419" spans="1:9" x14ac:dyDescent="0.25">
      <c r="A2419" s="6">
        <v>45992.767361111109</v>
      </c>
      <c r="B2419" s="5" t="s">
        <v>17</v>
      </c>
      <c r="C2419" s="8">
        <v>233.14874880627019</v>
      </c>
      <c r="D2419" s="8">
        <v>233.4169325850182</v>
      </c>
      <c r="E2419" s="8">
        <v>233.05893434303931</v>
      </c>
      <c r="F2419" s="8">
        <v>233.07476521273929</v>
      </c>
      <c r="G2419" s="7">
        <v>44935</v>
      </c>
      <c r="H2419" s="9">
        <v>10473214.57483444</v>
      </c>
      <c r="I2419" s="5" t="s">
        <v>3548</v>
      </c>
    </row>
    <row r="2420" spans="1:9" x14ac:dyDescent="0.25">
      <c r="A2420" s="6">
        <v>45992.770833333343</v>
      </c>
      <c r="B2420" s="5" t="s">
        <v>17</v>
      </c>
      <c r="C2420" s="8">
        <v>233.01840906191029</v>
      </c>
      <c r="D2420" s="8">
        <v>233.1520183723139</v>
      </c>
      <c r="E2420" s="8">
        <v>232.73066446271031</v>
      </c>
      <c r="F2420" s="8">
        <v>232.99274282104449</v>
      </c>
      <c r="G2420" s="7">
        <v>56262</v>
      </c>
      <c r="H2420" s="9">
        <v>13108637.69659761</v>
      </c>
      <c r="I2420" s="5" t="s">
        <v>3549</v>
      </c>
    </row>
    <row r="2421" spans="1:9" x14ac:dyDescent="0.25">
      <c r="A2421" s="6">
        <v>45992.774305555547</v>
      </c>
      <c r="B2421" s="5" t="s">
        <v>17</v>
      </c>
      <c r="C2421" s="8">
        <v>232.98567450925259</v>
      </c>
      <c r="D2421" s="8">
        <v>233.1166934039249</v>
      </c>
      <c r="E2421" s="8">
        <v>232.78624457011941</v>
      </c>
      <c r="F2421" s="8">
        <v>232.86754562598111</v>
      </c>
      <c r="G2421" s="7">
        <v>61483</v>
      </c>
      <c r="H2421" s="9">
        <v>14317395.3077222</v>
      </c>
      <c r="I2421" s="5" t="s">
        <v>3550</v>
      </c>
    </row>
    <row r="2422" spans="1:9" x14ac:dyDescent="0.25">
      <c r="A2422" s="6">
        <v>45992.777777777781</v>
      </c>
      <c r="B2422" s="5" t="s">
        <v>17</v>
      </c>
      <c r="C2422" s="8">
        <v>233.1718265044193</v>
      </c>
      <c r="D2422" s="8">
        <v>233.2101387563533</v>
      </c>
      <c r="E2422" s="8">
        <v>232.87079694648401</v>
      </c>
      <c r="F2422" s="8">
        <v>233.05179049716759</v>
      </c>
      <c r="G2422" s="7">
        <v>96108</v>
      </c>
      <c r="H2422" s="9">
        <v>22398141.481101781</v>
      </c>
      <c r="I2422" s="5" t="s">
        <v>3551</v>
      </c>
    </row>
    <row r="2423" spans="1:9" x14ac:dyDescent="0.25">
      <c r="A2423" s="6">
        <v>45992.78125</v>
      </c>
      <c r="B2423" s="5" t="s">
        <v>17</v>
      </c>
      <c r="C2423" s="8">
        <v>232.91800706621049</v>
      </c>
      <c r="D2423" s="8">
        <v>233.01334220661781</v>
      </c>
      <c r="E2423" s="8">
        <v>232.6978175360436</v>
      </c>
      <c r="F2423" s="8">
        <v>232.90742549312179</v>
      </c>
      <c r="G2423" s="7">
        <v>48882</v>
      </c>
      <c r="H2423" s="9">
        <v>11384980.772954781</v>
      </c>
      <c r="I2423" s="5" t="s">
        <v>3552</v>
      </c>
    </row>
    <row r="2424" spans="1:9" x14ac:dyDescent="0.25">
      <c r="A2424" s="6">
        <v>45992.784722222219</v>
      </c>
      <c r="B2424" s="5" t="s">
        <v>17</v>
      </c>
      <c r="C2424" s="8">
        <v>232.91033533083299</v>
      </c>
      <c r="D2424" s="8">
        <v>233.20552787422201</v>
      </c>
      <c r="E2424" s="8">
        <v>232.72686184719021</v>
      </c>
      <c r="F2424" s="8">
        <v>232.9541062733845</v>
      </c>
      <c r="G2424" s="7">
        <v>79677</v>
      </c>
      <c r="H2424" s="9">
        <v>18561084.325544462</v>
      </c>
      <c r="I2424" s="5" t="s">
        <v>3553</v>
      </c>
    </row>
    <row r="2425" spans="1:9" x14ac:dyDescent="0.25">
      <c r="A2425" s="6">
        <v>45992.788194444453</v>
      </c>
      <c r="B2425" s="5" t="s">
        <v>17</v>
      </c>
      <c r="C2425" s="8">
        <v>232.8361353785468</v>
      </c>
      <c r="D2425" s="8">
        <v>232.9376132371969</v>
      </c>
      <c r="E2425" s="8">
        <v>232.76490040128081</v>
      </c>
      <c r="F2425" s="8">
        <v>232.831182845043</v>
      </c>
      <c r="G2425" s="7">
        <v>88105</v>
      </c>
      <c r="H2425" s="9">
        <v>20513591.364562519</v>
      </c>
      <c r="I2425" s="5" t="s">
        <v>3554</v>
      </c>
    </row>
    <row r="2426" spans="1:9" x14ac:dyDescent="0.25">
      <c r="A2426" s="6">
        <v>45992.791666666657</v>
      </c>
      <c r="B2426" s="5" t="s">
        <v>17</v>
      </c>
      <c r="C2426" s="8">
        <v>232.93307818571941</v>
      </c>
      <c r="D2426" s="8">
        <v>233.25454441097651</v>
      </c>
      <c r="E2426" s="8">
        <v>232.90305017590839</v>
      </c>
      <c r="F2426" s="8">
        <v>232.94023208400549</v>
      </c>
      <c r="G2426" s="7">
        <v>29839</v>
      </c>
      <c r="H2426" s="9">
        <v>6950703.5851546386</v>
      </c>
      <c r="I2426" s="5" t="s">
        <v>3555</v>
      </c>
    </row>
    <row r="2427" spans="1:9" x14ac:dyDescent="0.25">
      <c r="A2427" s="6">
        <v>45992.795138888891</v>
      </c>
      <c r="B2427" s="5" t="s">
        <v>17</v>
      </c>
      <c r="C2427" s="8">
        <v>233.06741621311849</v>
      </c>
      <c r="D2427" s="8">
        <v>233.402532454762</v>
      </c>
      <c r="E2427" s="8">
        <v>232.84340074388669</v>
      </c>
      <c r="F2427" s="8">
        <v>233.14370295935069</v>
      </c>
      <c r="G2427" s="7">
        <v>59705</v>
      </c>
      <c r="H2427" s="9">
        <v>13919844.78518803</v>
      </c>
      <c r="I2427" s="5" t="s">
        <v>3556</v>
      </c>
    </row>
    <row r="2428" spans="1:9" x14ac:dyDescent="0.25">
      <c r="A2428" s="6">
        <v>45992.798611111109</v>
      </c>
      <c r="B2428" s="5" t="s">
        <v>17</v>
      </c>
      <c r="C2428" s="8">
        <v>232.9662235748759</v>
      </c>
      <c r="D2428" s="8">
        <v>233.14666182190231</v>
      </c>
      <c r="E2428" s="8">
        <v>232.8636581554191</v>
      </c>
      <c r="F2428" s="8">
        <v>232.96298532365321</v>
      </c>
      <c r="G2428" s="7">
        <v>100273</v>
      </c>
      <c r="H2428" s="9">
        <v>23359897.427358679</v>
      </c>
      <c r="I2428" s="5" t="s">
        <v>3557</v>
      </c>
    </row>
    <row r="2429" spans="1:9" x14ac:dyDescent="0.25">
      <c r="A2429" s="6">
        <v>45992.802083333343</v>
      </c>
      <c r="B2429" s="5" t="s">
        <v>17</v>
      </c>
      <c r="C2429" s="8">
        <v>232.89824745950531</v>
      </c>
      <c r="D2429" s="8">
        <v>233.15962768713661</v>
      </c>
      <c r="E2429" s="8">
        <v>232.78033345240601</v>
      </c>
      <c r="F2429" s="8">
        <v>232.97112741678609</v>
      </c>
      <c r="G2429" s="7">
        <v>85789</v>
      </c>
      <c r="H2429" s="9">
        <v>19986360.049958661</v>
      </c>
      <c r="I2429" s="5" t="s">
        <v>3558</v>
      </c>
    </row>
    <row r="2430" spans="1:9" x14ac:dyDescent="0.25">
      <c r="A2430" s="6">
        <v>45992.805555555547</v>
      </c>
      <c r="B2430" s="5" t="s">
        <v>17</v>
      </c>
      <c r="C2430" s="8">
        <v>232.71439587042809</v>
      </c>
      <c r="D2430" s="8">
        <v>233.18419684325761</v>
      </c>
      <c r="E2430" s="8">
        <v>232.49848414973371</v>
      </c>
      <c r="F2430" s="8">
        <v>232.82652313961319</v>
      </c>
      <c r="G2430" s="7">
        <v>98845</v>
      </c>
      <c r="H2430" s="9">
        <v>23013737.679735061</v>
      </c>
      <c r="I2430" s="5" t="s">
        <v>3559</v>
      </c>
    </row>
    <row r="2431" spans="1:9" x14ac:dyDescent="0.25">
      <c r="A2431" s="6">
        <v>45992.809027777781</v>
      </c>
      <c r="B2431" s="5" t="s">
        <v>17</v>
      </c>
      <c r="C2431" s="8">
        <v>232.72958059706491</v>
      </c>
      <c r="D2431" s="8">
        <v>232.8632121538439</v>
      </c>
      <c r="E2431" s="8">
        <v>232.60369704431011</v>
      </c>
      <c r="F2431" s="8">
        <v>232.67775607440501</v>
      </c>
      <c r="G2431" s="7">
        <v>73110</v>
      </c>
      <c r="H2431" s="9">
        <v>17011070.746599749</v>
      </c>
      <c r="I2431" s="5" t="s">
        <v>3560</v>
      </c>
    </row>
    <row r="2432" spans="1:9" x14ac:dyDescent="0.25">
      <c r="A2432" s="6">
        <v>45992.8125</v>
      </c>
      <c r="B2432" s="5" t="s">
        <v>17</v>
      </c>
      <c r="C2432" s="8">
        <v>232.4248870145627</v>
      </c>
      <c r="D2432" s="8">
        <v>232.6191257036852</v>
      </c>
      <c r="E2432" s="8">
        <v>232.30865445270891</v>
      </c>
      <c r="F2432" s="8">
        <v>232.42948427194401</v>
      </c>
      <c r="G2432" s="7">
        <v>51114</v>
      </c>
      <c r="H2432" s="9">
        <v>11880400.659076151</v>
      </c>
      <c r="I2432" s="5" t="s">
        <v>3561</v>
      </c>
    </row>
    <row r="2433" spans="1:9" x14ac:dyDescent="0.25">
      <c r="A2433" s="6">
        <v>45992.815972222219</v>
      </c>
      <c r="B2433" s="5" t="s">
        <v>17</v>
      </c>
      <c r="C2433" s="8">
        <v>232.46110793081539</v>
      </c>
      <c r="D2433" s="8">
        <v>232.58697676815331</v>
      </c>
      <c r="E2433" s="8">
        <v>232.35653230090321</v>
      </c>
      <c r="F2433" s="8">
        <v>232.44932983122661</v>
      </c>
      <c r="G2433" s="7">
        <v>44161</v>
      </c>
      <c r="H2433" s="9">
        <v>10265194.8546768</v>
      </c>
      <c r="I2433" s="5" t="s">
        <v>3562</v>
      </c>
    </row>
    <row r="2434" spans="1:9" x14ac:dyDescent="0.25">
      <c r="A2434" s="6">
        <v>45992.819444444453</v>
      </c>
      <c r="B2434" s="5" t="s">
        <v>17</v>
      </c>
      <c r="C2434" s="8">
        <v>231.92351099397749</v>
      </c>
      <c r="D2434" s="8">
        <v>232.03851370369071</v>
      </c>
      <c r="E2434" s="8">
        <v>231.77197348490949</v>
      </c>
      <c r="F2434" s="8">
        <v>231.91567895499509</v>
      </c>
      <c r="G2434" s="7">
        <v>57321</v>
      </c>
      <c r="H2434" s="9">
        <v>13293638.633379269</v>
      </c>
      <c r="I2434" s="5" t="s">
        <v>3563</v>
      </c>
    </row>
    <row r="2435" spans="1:9" x14ac:dyDescent="0.25">
      <c r="A2435" s="6">
        <v>45992.822916666657</v>
      </c>
      <c r="B2435" s="5" t="s">
        <v>17</v>
      </c>
      <c r="C2435" s="8">
        <v>232.00781500196541</v>
      </c>
      <c r="D2435" s="8">
        <v>232.11906306377961</v>
      </c>
      <c r="E2435" s="8">
        <v>231.72863366822631</v>
      </c>
      <c r="F2435" s="8">
        <v>232.0753770753762</v>
      </c>
      <c r="G2435" s="7">
        <v>47034</v>
      </c>
      <c r="H2435" s="9">
        <v>10915433.285363249</v>
      </c>
      <c r="I2435" s="5" t="s">
        <v>3564</v>
      </c>
    </row>
    <row r="2436" spans="1:9" x14ac:dyDescent="0.25">
      <c r="A2436" s="6">
        <v>45992.826388888891</v>
      </c>
      <c r="B2436" s="5" t="s">
        <v>17</v>
      </c>
      <c r="C2436" s="8">
        <v>232.048641511927</v>
      </c>
      <c r="D2436" s="8">
        <v>232.1794593778275</v>
      </c>
      <c r="E2436" s="8">
        <v>231.7275166781366</v>
      </c>
      <c r="F2436" s="8">
        <v>232.15942775954289</v>
      </c>
      <c r="G2436" s="7">
        <v>79838</v>
      </c>
      <c r="H2436" s="9">
        <v>18535144.393466379</v>
      </c>
      <c r="I2436" s="5" t="s">
        <v>3565</v>
      </c>
    </row>
    <row r="2437" spans="1:9" x14ac:dyDescent="0.25">
      <c r="A2437" s="6">
        <v>45992.829861111109</v>
      </c>
      <c r="B2437" s="5" t="s">
        <v>17</v>
      </c>
      <c r="C2437" s="8">
        <v>232.26144386343739</v>
      </c>
      <c r="D2437" s="8">
        <v>232.36254084475911</v>
      </c>
      <c r="E2437" s="8">
        <v>232.09908044181481</v>
      </c>
      <c r="F2437" s="8">
        <v>232.17405469998999</v>
      </c>
      <c r="G2437" s="7">
        <v>166186</v>
      </c>
      <c r="H2437" s="9">
        <v>38584077.45437254</v>
      </c>
      <c r="I2437" s="5" t="s">
        <v>3566</v>
      </c>
    </row>
    <row r="2438" spans="1:9" x14ac:dyDescent="0.25">
      <c r="A2438" s="6">
        <v>45992.833333333343</v>
      </c>
      <c r="B2438" s="5" t="s">
        <v>17</v>
      </c>
      <c r="C2438" s="8">
        <v>232.44532459134049</v>
      </c>
      <c r="D2438" s="8">
        <v>232.59553330185551</v>
      </c>
      <c r="E2438" s="8">
        <v>232.25875053101811</v>
      </c>
      <c r="F2438" s="8">
        <v>232.3776831863394</v>
      </c>
      <c r="G2438" s="7">
        <v>56614</v>
      </c>
      <c r="H2438" s="9">
        <v>13155830.15591142</v>
      </c>
      <c r="I2438" s="5" t="s">
        <v>3567</v>
      </c>
    </row>
    <row r="2439" spans="1:9" x14ac:dyDescent="0.25">
      <c r="A2439" s="6">
        <v>45992.836805555547</v>
      </c>
      <c r="B2439" s="5" t="s">
        <v>17</v>
      </c>
      <c r="C2439" s="8">
        <v>232.51891946685259</v>
      </c>
      <c r="D2439" s="8">
        <v>232.54719329387069</v>
      </c>
      <c r="E2439" s="8">
        <v>232.44948839038861</v>
      </c>
      <c r="F2439" s="8">
        <v>232.5420380400825</v>
      </c>
      <c r="G2439" s="7">
        <v>50095</v>
      </c>
      <c r="H2439" s="9">
        <v>11649193.39561793</v>
      </c>
      <c r="I2439" s="5" t="s">
        <v>3568</v>
      </c>
    </row>
    <row r="2440" spans="1:9" x14ac:dyDescent="0.25">
      <c r="A2440" s="6">
        <v>45992.840277777781</v>
      </c>
      <c r="B2440" s="5" t="s">
        <v>17</v>
      </c>
      <c r="C2440" s="8">
        <v>232.76067074863721</v>
      </c>
      <c r="D2440" s="8">
        <v>232.98780078763119</v>
      </c>
      <c r="E2440" s="8">
        <v>232.6720025545381</v>
      </c>
      <c r="F2440" s="8">
        <v>232.79064226561721</v>
      </c>
      <c r="G2440" s="7">
        <v>35242</v>
      </c>
      <c r="H2440" s="9">
        <v>8204007.8147248803</v>
      </c>
      <c r="I2440" s="5" t="s">
        <v>3569</v>
      </c>
    </row>
    <row r="2441" spans="1:9" x14ac:dyDescent="0.25">
      <c r="A2441" s="6">
        <v>45992.84375</v>
      </c>
      <c r="B2441" s="5" t="s">
        <v>17</v>
      </c>
      <c r="C2441" s="8">
        <v>232.56908426980709</v>
      </c>
      <c r="D2441" s="8">
        <v>232.81016628052299</v>
      </c>
      <c r="E2441" s="8">
        <v>232.53255060462271</v>
      </c>
      <c r="F2441" s="8">
        <v>232.61834201164049</v>
      </c>
      <c r="G2441" s="7">
        <v>80691</v>
      </c>
      <c r="H2441" s="9">
        <v>18770206.63526129</v>
      </c>
      <c r="I2441" s="5" t="s">
        <v>3570</v>
      </c>
    </row>
    <row r="2442" spans="1:9" x14ac:dyDescent="0.25">
      <c r="A2442" s="6">
        <v>45992.847222222219</v>
      </c>
      <c r="B2442" s="5" t="s">
        <v>17</v>
      </c>
      <c r="C2442" s="8">
        <v>232.90287142818249</v>
      </c>
      <c r="D2442" s="8">
        <v>233.00995962888999</v>
      </c>
      <c r="E2442" s="8">
        <v>232.8632430968342</v>
      </c>
      <c r="F2442" s="8">
        <v>232.88195690754031</v>
      </c>
      <c r="G2442" s="7">
        <v>80096</v>
      </c>
      <c r="H2442" s="9">
        <v>18652913.220466349</v>
      </c>
      <c r="I2442" s="5" t="s">
        <v>3571</v>
      </c>
    </row>
    <row r="2443" spans="1:9" x14ac:dyDescent="0.25">
      <c r="A2443" s="6">
        <v>45992.850694444453</v>
      </c>
      <c r="B2443" s="5" t="s">
        <v>17</v>
      </c>
      <c r="C2443" s="8">
        <v>232.91901086975491</v>
      </c>
      <c r="D2443" s="8">
        <v>233.01368136429761</v>
      </c>
      <c r="E2443" s="8">
        <v>232.67643558252169</v>
      </c>
      <c r="F2443" s="8">
        <v>232.86576192887981</v>
      </c>
      <c r="G2443" s="7">
        <v>50421</v>
      </c>
      <c r="H2443" s="9">
        <v>11741324.58221605</v>
      </c>
      <c r="I2443" s="5" t="s">
        <v>3572</v>
      </c>
    </row>
    <row r="2444" spans="1:9" x14ac:dyDescent="0.25">
      <c r="A2444" s="6">
        <v>45992.854166666657</v>
      </c>
      <c r="B2444" s="5" t="s">
        <v>17</v>
      </c>
      <c r="C2444" s="8">
        <v>232.80976984204969</v>
      </c>
      <c r="D2444" s="8">
        <v>232.94906282736321</v>
      </c>
      <c r="E2444" s="8">
        <v>232.7248280416398</v>
      </c>
      <c r="F2444" s="8">
        <v>232.91731481029899</v>
      </c>
      <c r="G2444" s="7">
        <v>35161</v>
      </c>
      <c r="H2444" s="9">
        <v>8189605.7060449217</v>
      </c>
      <c r="I2444" s="5" t="s">
        <v>3573</v>
      </c>
    </row>
    <row r="2445" spans="1:9" x14ac:dyDescent="0.25">
      <c r="A2445" s="6">
        <v>45992.857638888891</v>
      </c>
      <c r="B2445" s="5" t="s">
        <v>17</v>
      </c>
      <c r="C2445" s="8">
        <v>233.07309457545321</v>
      </c>
      <c r="D2445" s="8">
        <v>233.2769673680163</v>
      </c>
      <c r="E2445" s="8">
        <v>232.63506028004829</v>
      </c>
      <c r="F2445" s="8">
        <v>232.97470314402401</v>
      </c>
      <c r="G2445" s="7">
        <v>61509</v>
      </c>
      <c r="H2445" s="9">
        <v>14330041.015685771</v>
      </c>
      <c r="I2445" s="5" t="s">
        <v>3574</v>
      </c>
    </row>
    <row r="2446" spans="1:9" x14ac:dyDescent="0.25">
      <c r="A2446" s="6">
        <v>45992.861111111109</v>
      </c>
      <c r="B2446" s="5" t="s">
        <v>17</v>
      </c>
      <c r="C2446" s="8">
        <v>232.8123380086204</v>
      </c>
      <c r="D2446" s="8">
        <v>233.0752719560758</v>
      </c>
      <c r="E2446" s="8">
        <v>232.77249158972671</v>
      </c>
      <c r="F2446" s="8">
        <v>232.79278658772739</v>
      </c>
      <c r="G2446" s="7">
        <v>60370</v>
      </c>
      <c r="H2446" s="9">
        <v>14053700.526301101</v>
      </c>
      <c r="I2446" s="5" t="s">
        <v>3575</v>
      </c>
    </row>
    <row r="2447" spans="1:9" x14ac:dyDescent="0.25">
      <c r="A2447" s="6">
        <v>45992.864583333343</v>
      </c>
      <c r="B2447" s="5" t="s">
        <v>17</v>
      </c>
      <c r="C2447" s="8">
        <v>232.12310010743221</v>
      </c>
      <c r="D2447" s="8">
        <v>232.44581226282239</v>
      </c>
      <c r="E2447" s="8">
        <v>232.04750530070851</v>
      </c>
      <c r="F2447" s="8">
        <v>232.270490876363</v>
      </c>
      <c r="G2447" s="7">
        <v>63769</v>
      </c>
      <c r="H2447" s="9">
        <v>14811656.932694791</v>
      </c>
      <c r="I2447" s="5" t="s">
        <v>3576</v>
      </c>
    </row>
    <row r="2448" spans="1:9" x14ac:dyDescent="0.25">
      <c r="A2448" s="6">
        <v>45992.868055555547</v>
      </c>
      <c r="B2448" s="5" t="s">
        <v>17</v>
      </c>
      <c r="C2448" s="8">
        <v>232.1048035219853</v>
      </c>
      <c r="D2448" s="8">
        <v>232.24219117387679</v>
      </c>
      <c r="E2448" s="8">
        <v>232.06280609160541</v>
      </c>
      <c r="F2448" s="8">
        <v>232.1790534131097</v>
      </c>
      <c r="G2448" s="7">
        <v>56839</v>
      </c>
      <c r="H2448" s="9">
        <v>13196825.21694774</v>
      </c>
      <c r="I2448" s="5" t="s">
        <v>3577</v>
      </c>
    </row>
    <row r="2449" spans="1:9" x14ac:dyDescent="0.25">
      <c r="A2449" s="6">
        <v>45992.871527777781</v>
      </c>
      <c r="B2449" s="5" t="s">
        <v>17</v>
      </c>
      <c r="C2449" s="8">
        <v>231.9594084286332</v>
      </c>
      <c r="D2449" s="8">
        <v>232.09646933060861</v>
      </c>
      <c r="E2449" s="8">
        <v>231.76538688685491</v>
      </c>
      <c r="F2449" s="8">
        <v>232.05060165527451</v>
      </c>
      <c r="G2449" s="7">
        <v>68929</v>
      </c>
      <c r="H2449" s="9">
        <v>15995015.921496419</v>
      </c>
      <c r="I2449" s="5" t="s">
        <v>3578</v>
      </c>
    </row>
    <row r="2450" spans="1:9" x14ac:dyDescent="0.25">
      <c r="A2450" s="6">
        <v>45992.875</v>
      </c>
      <c r="B2450" s="5" t="s">
        <v>17</v>
      </c>
      <c r="C2450" s="8">
        <v>232.14618541560569</v>
      </c>
      <c r="D2450" s="8">
        <v>232.27449351820411</v>
      </c>
      <c r="E2450" s="8">
        <v>231.9566677169922</v>
      </c>
      <c r="F2450" s="8">
        <v>232.2564731433001</v>
      </c>
      <c r="G2450" s="7">
        <v>69313</v>
      </c>
      <c r="H2450" s="9">
        <v>16098392.92298156</v>
      </c>
      <c r="I2450" s="5" t="s">
        <v>3579</v>
      </c>
    </row>
    <row r="2451" spans="1:9" x14ac:dyDescent="0.25">
      <c r="A2451" s="6">
        <v>45993.604166666657</v>
      </c>
      <c r="B2451" s="5" t="s">
        <v>17</v>
      </c>
      <c r="C2451" s="8">
        <v>232.3273753437671</v>
      </c>
      <c r="D2451" s="8">
        <v>232.4881210520733</v>
      </c>
      <c r="E2451" s="8">
        <v>232.24165816451469</v>
      </c>
      <c r="F2451" s="8">
        <v>232.30843359188381</v>
      </c>
      <c r="G2451" s="7">
        <v>88239</v>
      </c>
      <c r="H2451" s="9">
        <v>20498663.871714242</v>
      </c>
      <c r="I2451" s="5" t="s">
        <v>3580</v>
      </c>
    </row>
    <row r="2452" spans="1:9" x14ac:dyDescent="0.25">
      <c r="A2452" s="6">
        <v>45993.607638888891</v>
      </c>
      <c r="B2452" s="5" t="s">
        <v>17</v>
      </c>
      <c r="C2452" s="8">
        <v>232.26754256062031</v>
      </c>
      <c r="D2452" s="8">
        <v>232.37073692573051</v>
      </c>
      <c r="E2452" s="8">
        <v>232.17287012117751</v>
      </c>
      <c r="F2452" s="8">
        <v>232.3182345200504</v>
      </c>
      <c r="G2452" s="7">
        <v>47618</v>
      </c>
      <c r="H2452" s="9">
        <v>11062529.69137576</v>
      </c>
      <c r="I2452" s="5" t="s">
        <v>3581</v>
      </c>
    </row>
    <row r="2453" spans="1:9" x14ac:dyDescent="0.25">
      <c r="A2453" s="6">
        <v>45993.611111111109</v>
      </c>
      <c r="B2453" s="5" t="s">
        <v>17</v>
      </c>
      <c r="C2453" s="8">
        <v>232.46315977129089</v>
      </c>
      <c r="D2453" s="8">
        <v>232.56355031288069</v>
      </c>
      <c r="E2453" s="8">
        <v>232.08279260524509</v>
      </c>
      <c r="F2453" s="8">
        <v>232.45133866308029</v>
      </c>
      <c r="G2453" s="7">
        <v>58055</v>
      </c>
      <c r="H2453" s="9">
        <v>13494962.46608513</v>
      </c>
      <c r="I2453" s="5" t="s">
        <v>3582</v>
      </c>
    </row>
    <row r="2454" spans="1:9" x14ac:dyDescent="0.25">
      <c r="A2454" s="6">
        <v>45993.614583333343</v>
      </c>
      <c r="B2454" s="5" t="s">
        <v>17</v>
      </c>
      <c r="C2454" s="8">
        <v>232.58411898293761</v>
      </c>
      <c r="D2454" s="8">
        <v>232.7249160018392</v>
      </c>
      <c r="E2454" s="8">
        <v>232.44794496234721</v>
      </c>
      <c r="F2454" s="8">
        <v>232.62598731669081</v>
      </c>
      <c r="G2454" s="7">
        <v>88072</v>
      </c>
      <c r="H2454" s="9">
        <v>20487835.954955589</v>
      </c>
      <c r="I2454" s="5" t="s">
        <v>3583</v>
      </c>
    </row>
    <row r="2455" spans="1:9" x14ac:dyDescent="0.25">
      <c r="A2455" s="6">
        <v>45993.618055555547</v>
      </c>
      <c r="B2455" s="5" t="s">
        <v>17</v>
      </c>
      <c r="C2455" s="8">
        <v>232.97566949334839</v>
      </c>
      <c r="D2455" s="8">
        <v>233.03919385895909</v>
      </c>
      <c r="E2455" s="8">
        <v>232.76794750719549</v>
      </c>
      <c r="F2455" s="8">
        <v>232.9608447097244</v>
      </c>
      <c r="G2455" s="7">
        <v>99270</v>
      </c>
      <c r="H2455" s="9">
        <v>23126023.054334339</v>
      </c>
      <c r="I2455" s="5" t="s">
        <v>3584</v>
      </c>
    </row>
    <row r="2456" spans="1:9" x14ac:dyDescent="0.25">
      <c r="A2456" s="6">
        <v>45993.621527777781</v>
      </c>
      <c r="B2456" s="5" t="s">
        <v>17</v>
      </c>
      <c r="C2456" s="8">
        <v>232.84997246150729</v>
      </c>
      <c r="D2456" s="8">
        <v>233.136842828553</v>
      </c>
      <c r="E2456" s="8">
        <v>232.75539928446949</v>
      </c>
      <c r="F2456" s="8">
        <v>232.80766685801839</v>
      </c>
      <c r="G2456" s="7">
        <v>66116</v>
      </c>
      <c r="H2456" s="9">
        <v>15392311.70198475</v>
      </c>
      <c r="I2456" s="5" t="s">
        <v>3585</v>
      </c>
    </row>
    <row r="2457" spans="1:9" x14ac:dyDescent="0.25">
      <c r="A2457" s="6">
        <v>45993.625</v>
      </c>
      <c r="B2457" s="5" t="s">
        <v>17</v>
      </c>
      <c r="C2457" s="8">
        <v>232.86471732480089</v>
      </c>
      <c r="D2457" s="8">
        <v>232.99266977203951</v>
      </c>
      <c r="E2457" s="8">
        <v>232.69666295407771</v>
      </c>
      <c r="F2457" s="8">
        <v>232.90766488035601</v>
      </c>
      <c r="G2457" s="7">
        <v>46121</v>
      </c>
      <c r="H2457" s="9">
        <v>10741934.4119469</v>
      </c>
      <c r="I2457" s="5" t="s">
        <v>3586</v>
      </c>
    </row>
    <row r="2458" spans="1:9" x14ac:dyDescent="0.25">
      <c r="A2458" s="6">
        <v>45993.628472222219</v>
      </c>
      <c r="B2458" s="5" t="s">
        <v>17</v>
      </c>
      <c r="C2458" s="8">
        <v>232.73794695046479</v>
      </c>
      <c r="D2458" s="8">
        <v>232.859106889401</v>
      </c>
      <c r="E2458" s="8">
        <v>232.5936112051281</v>
      </c>
      <c r="F2458" s="8">
        <v>232.83415555090721</v>
      </c>
      <c r="G2458" s="7">
        <v>55678</v>
      </c>
      <c r="H2458" s="9">
        <v>12963740.11276341</v>
      </c>
      <c r="I2458" s="5" t="s">
        <v>3587</v>
      </c>
    </row>
    <row r="2459" spans="1:9" x14ac:dyDescent="0.25">
      <c r="A2459" s="6">
        <v>45993.631944444453</v>
      </c>
      <c r="B2459" s="5" t="s">
        <v>17</v>
      </c>
      <c r="C2459" s="8">
        <v>232.76818934750011</v>
      </c>
      <c r="D2459" s="8">
        <v>232.87484659574179</v>
      </c>
      <c r="E2459" s="8">
        <v>232.72524429861861</v>
      </c>
      <c r="F2459" s="8">
        <v>232.77349003517639</v>
      </c>
      <c r="G2459" s="7">
        <v>88671</v>
      </c>
      <c r="H2459" s="9">
        <v>20640258.134909119</v>
      </c>
      <c r="I2459" s="5" t="s">
        <v>3588</v>
      </c>
    </row>
    <row r="2460" spans="1:9" x14ac:dyDescent="0.25">
      <c r="A2460" s="6">
        <v>45993.635416666657</v>
      </c>
      <c r="B2460" s="5" t="s">
        <v>17</v>
      </c>
      <c r="C2460" s="8">
        <v>233.00919217955061</v>
      </c>
      <c r="D2460" s="8">
        <v>233.0820994912745</v>
      </c>
      <c r="E2460" s="8">
        <v>232.73798529287799</v>
      </c>
      <c r="F2460" s="8">
        <v>232.96797885772239</v>
      </c>
      <c r="G2460" s="7">
        <v>55333</v>
      </c>
      <c r="H2460" s="9">
        <v>12890817.174134349</v>
      </c>
      <c r="I2460" s="5" t="s">
        <v>3589</v>
      </c>
    </row>
    <row r="2461" spans="1:9" x14ac:dyDescent="0.25">
      <c r="A2461" s="6">
        <v>45993.638888888891</v>
      </c>
      <c r="B2461" s="5" t="s">
        <v>17</v>
      </c>
      <c r="C2461" s="8">
        <v>233.0441713921407</v>
      </c>
      <c r="D2461" s="8">
        <v>233.12302697522091</v>
      </c>
      <c r="E2461" s="8">
        <v>232.8447220274227</v>
      </c>
      <c r="F2461" s="8">
        <v>233.0259399395861</v>
      </c>
      <c r="G2461" s="7">
        <v>69233</v>
      </c>
      <c r="H2461" s="9">
        <v>16133084.89983736</v>
      </c>
      <c r="I2461" s="5" t="s">
        <v>3590</v>
      </c>
    </row>
    <row r="2462" spans="1:9" x14ac:dyDescent="0.25">
      <c r="A2462" s="6">
        <v>45993.642361111109</v>
      </c>
      <c r="B2462" s="5" t="s">
        <v>17</v>
      </c>
      <c r="C2462" s="8">
        <v>232.9283022140666</v>
      </c>
      <c r="D2462" s="8">
        <v>233.16084154408941</v>
      </c>
      <c r="E2462" s="8">
        <v>232.83283747231809</v>
      </c>
      <c r="F2462" s="8">
        <v>232.9084682964766</v>
      </c>
      <c r="G2462" s="7">
        <v>58865</v>
      </c>
      <c r="H2462" s="9">
        <v>13710156.986272089</v>
      </c>
      <c r="I2462" s="5" t="s">
        <v>3591</v>
      </c>
    </row>
    <row r="2463" spans="1:9" x14ac:dyDescent="0.25">
      <c r="A2463" s="6">
        <v>45993.645833333343</v>
      </c>
      <c r="B2463" s="5" t="s">
        <v>17</v>
      </c>
      <c r="C2463" s="8">
        <v>232.79087601940131</v>
      </c>
      <c r="D2463" s="8">
        <v>233.0660232653853</v>
      </c>
      <c r="E2463" s="8">
        <v>232.61300392210131</v>
      </c>
      <c r="F2463" s="8">
        <v>232.72455806702931</v>
      </c>
      <c r="G2463" s="7">
        <v>25319</v>
      </c>
      <c r="H2463" s="9">
        <v>5892353.0856991149</v>
      </c>
      <c r="I2463" s="5" t="s">
        <v>3592</v>
      </c>
    </row>
    <row r="2464" spans="1:9" x14ac:dyDescent="0.25">
      <c r="A2464" s="6">
        <v>45993.649305555547</v>
      </c>
      <c r="B2464" s="5" t="s">
        <v>17</v>
      </c>
      <c r="C2464" s="8">
        <v>232.6231535828974</v>
      </c>
      <c r="D2464" s="8">
        <v>232.75989126675771</v>
      </c>
      <c r="E2464" s="8">
        <v>232.47658696634849</v>
      </c>
      <c r="F2464" s="8">
        <v>232.68065360165011</v>
      </c>
      <c r="G2464" s="7">
        <v>118110</v>
      </c>
      <c r="H2464" s="9">
        <v>27481911.996890899</v>
      </c>
      <c r="I2464" s="5" t="s">
        <v>3593</v>
      </c>
    </row>
    <row r="2465" spans="1:9" x14ac:dyDescent="0.25">
      <c r="A2465" s="6">
        <v>45993.652777777781</v>
      </c>
      <c r="B2465" s="5" t="s">
        <v>17</v>
      </c>
      <c r="C2465" s="8">
        <v>232.89155741454911</v>
      </c>
      <c r="D2465" s="8">
        <v>232.990679792554</v>
      </c>
      <c r="E2465" s="8">
        <v>232.73709802888149</v>
      </c>
      <c r="F2465" s="8">
        <v>232.84205325145859</v>
      </c>
      <c r="G2465" s="7">
        <v>58748</v>
      </c>
      <c r="H2465" s="9">
        <v>13679004.944416691</v>
      </c>
      <c r="I2465" s="5" t="s">
        <v>3594</v>
      </c>
    </row>
    <row r="2466" spans="1:9" x14ac:dyDescent="0.25">
      <c r="A2466" s="6">
        <v>45993.65625</v>
      </c>
      <c r="B2466" s="5" t="s">
        <v>17</v>
      </c>
      <c r="C2466" s="8">
        <v>232.65423007785159</v>
      </c>
      <c r="D2466" s="8">
        <v>232.77131494767079</v>
      </c>
      <c r="E2466" s="8">
        <v>232.2877027423003</v>
      </c>
      <c r="F2466" s="8">
        <v>232.7637576873544</v>
      </c>
      <c r="G2466" s="7">
        <v>45073</v>
      </c>
      <c r="H2466" s="9">
        <v>10491360.850242119</v>
      </c>
      <c r="I2466" s="5" t="s">
        <v>3595</v>
      </c>
    </row>
    <row r="2467" spans="1:9" x14ac:dyDescent="0.25">
      <c r="A2467" s="6">
        <v>45993.659722222219</v>
      </c>
      <c r="B2467" s="5" t="s">
        <v>17</v>
      </c>
      <c r="C2467" s="8">
        <v>232.30062786492391</v>
      </c>
      <c r="D2467" s="8">
        <v>232.37217812253979</v>
      </c>
      <c r="E2467" s="8">
        <v>232.1636135767373</v>
      </c>
      <c r="F2467" s="8">
        <v>232.27718562726511</v>
      </c>
      <c r="G2467" s="7">
        <v>36246</v>
      </c>
      <c r="H2467" s="9">
        <v>8419118.8702458497</v>
      </c>
      <c r="I2467" s="5" t="s">
        <v>3596</v>
      </c>
    </row>
    <row r="2468" spans="1:9" x14ac:dyDescent="0.25">
      <c r="A2468" s="6">
        <v>45993.663194444453</v>
      </c>
      <c r="B2468" s="5" t="s">
        <v>17</v>
      </c>
      <c r="C2468" s="8">
        <v>232.62033836917439</v>
      </c>
      <c r="D2468" s="8">
        <v>232.70139470319901</v>
      </c>
      <c r="E2468" s="8">
        <v>232.3514503623494</v>
      </c>
      <c r="F2468" s="8">
        <v>232.48558609526231</v>
      </c>
      <c r="G2468" s="7">
        <v>47419</v>
      </c>
      <c r="H2468" s="9">
        <v>11024234.007051241</v>
      </c>
      <c r="I2468" s="5" t="s">
        <v>3597</v>
      </c>
    </row>
    <row r="2469" spans="1:9" x14ac:dyDescent="0.25">
      <c r="A2469" s="6">
        <v>45993.666666666657</v>
      </c>
      <c r="B2469" s="5" t="s">
        <v>17</v>
      </c>
      <c r="C2469" s="8">
        <v>232.40625909142321</v>
      </c>
      <c r="D2469" s="8">
        <v>232.49697203445899</v>
      </c>
      <c r="E2469" s="8">
        <v>232.30153926885541</v>
      </c>
      <c r="F2469" s="8">
        <v>232.34933784856821</v>
      </c>
      <c r="G2469" s="7">
        <v>58179</v>
      </c>
      <c r="H2469" s="9">
        <v>13517852.12669185</v>
      </c>
      <c r="I2469" s="5" t="s">
        <v>3598</v>
      </c>
    </row>
    <row r="2470" spans="1:9" x14ac:dyDescent="0.25">
      <c r="A2470" s="6">
        <v>45993.670138888891</v>
      </c>
      <c r="B2470" s="5" t="s">
        <v>17</v>
      </c>
      <c r="C2470" s="8">
        <v>232.13649546011561</v>
      </c>
      <c r="D2470" s="8">
        <v>232.1425400096077</v>
      </c>
      <c r="E2470" s="8">
        <v>232.12525481944601</v>
      </c>
      <c r="F2470" s="8">
        <v>232.13810451041741</v>
      </c>
      <c r="G2470" s="7">
        <v>64995</v>
      </c>
      <c r="H2470" s="9">
        <v>15087816.10265458</v>
      </c>
      <c r="I2470" s="5" t="s">
        <v>3599</v>
      </c>
    </row>
    <row r="2471" spans="1:9" x14ac:dyDescent="0.25">
      <c r="A2471" s="6">
        <v>45993.673611111109</v>
      </c>
      <c r="B2471" s="5" t="s">
        <v>17</v>
      </c>
      <c r="C2471" s="8">
        <v>232.08414196888029</v>
      </c>
      <c r="D2471" s="8">
        <v>232.3343984900965</v>
      </c>
      <c r="E2471" s="8">
        <v>231.97830071812891</v>
      </c>
      <c r="F2471" s="8">
        <v>232.05947089347231</v>
      </c>
      <c r="G2471" s="7">
        <v>91669</v>
      </c>
      <c r="H2471" s="9">
        <v>21272659.63733371</v>
      </c>
      <c r="I2471" s="5" t="s">
        <v>3600</v>
      </c>
    </row>
    <row r="2472" spans="1:9" x14ac:dyDescent="0.25">
      <c r="A2472" s="6">
        <v>45993.677083333343</v>
      </c>
      <c r="B2472" s="5" t="s">
        <v>17</v>
      </c>
      <c r="C2472" s="8">
        <v>232.0869778773372</v>
      </c>
      <c r="D2472" s="8">
        <v>232.22920718610959</v>
      </c>
      <c r="E2472" s="8">
        <v>231.99086367351001</v>
      </c>
      <c r="F2472" s="8">
        <v>232.11201490480181</v>
      </c>
      <c r="G2472" s="7">
        <v>55501</v>
      </c>
      <c r="H2472" s="9">
        <v>12882448.939231399</v>
      </c>
      <c r="I2472" s="5" t="s">
        <v>3601</v>
      </c>
    </row>
    <row r="2473" spans="1:9" x14ac:dyDescent="0.25">
      <c r="A2473" s="6">
        <v>45993.680555555547</v>
      </c>
      <c r="B2473" s="5" t="s">
        <v>17</v>
      </c>
      <c r="C2473" s="8">
        <v>231.6827094347085</v>
      </c>
      <c r="D2473" s="8">
        <v>231.75341461906581</v>
      </c>
      <c r="E2473" s="8">
        <v>231.3740954646284</v>
      </c>
      <c r="F2473" s="8">
        <v>231.7135270172416</v>
      </c>
      <c r="G2473" s="7">
        <v>31574</v>
      </c>
      <c r="H2473" s="9">
        <v>7316122.9020423852</v>
      </c>
      <c r="I2473" s="5" t="s">
        <v>3602</v>
      </c>
    </row>
    <row r="2474" spans="1:9" x14ac:dyDescent="0.25">
      <c r="A2474" s="6">
        <v>45993.684027777781</v>
      </c>
      <c r="B2474" s="5" t="s">
        <v>17</v>
      </c>
      <c r="C2474" s="8">
        <v>231.6417848989434</v>
      </c>
      <c r="D2474" s="8">
        <v>231.9138919713223</v>
      </c>
      <c r="E2474" s="8">
        <v>231.37141660668479</v>
      </c>
      <c r="F2474" s="8">
        <v>231.67069837363951</v>
      </c>
      <c r="G2474" s="7">
        <v>20487</v>
      </c>
      <c r="H2474" s="9">
        <v>4746237.5975807523</v>
      </c>
      <c r="I2474" s="5" t="s">
        <v>3603</v>
      </c>
    </row>
    <row r="2475" spans="1:9" x14ac:dyDescent="0.25">
      <c r="A2475" s="6">
        <v>45993.6875</v>
      </c>
      <c r="B2475" s="5" t="s">
        <v>17</v>
      </c>
      <c r="C2475" s="8">
        <v>231.58590192896739</v>
      </c>
      <c r="D2475" s="8">
        <v>231.6226885111011</v>
      </c>
      <c r="E2475" s="8">
        <v>231.32096159327131</v>
      </c>
      <c r="F2475" s="8">
        <v>231.5091310249812</v>
      </c>
      <c r="G2475" s="7">
        <v>90163</v>
      </c>
      <c r="H2475" s="9">
        <v>20873557.780605379</v>
      </c>
      <c r="I2475" s="5" t="s">
        <v>3604</v>
      </c>
    </row>
    <row r="2476" spans="1:9" x14ac:dyDescent="0.25">
      <c r="A2476" s="6">
        <v>45993.690972222219</v>
      </c>
      <c r="B2476" s="5" t="s">
        <v>17</v>
      </c>
      <c r="C2476" s="8">
        <v>231.54248887310581</v>
      </c>
      <c r="D2476" s="8">
        <v>231.56088685169809</v>
      </c>
      <c r="E2476" s="8">
        <v>231.28684520850311</v>
      </c>
      <c r="F2476" s="8">
        <v>231.46869388832681</v>
      </c>
      <c r="G2476" s="7">
        <v>61581</v>
      </c>
      <c r="H2476" s="9">
        <v>14254073.63833705</v>
      </c>
      <c r="I2476" s="5" t="s">
        <v>3605</v>
      </c>
    </row>
    <row r="2477" spans="1:9" x14ac:dyDescent="0.25">
      <c r="A2477" s="6">
        <v>45993.694444444453</v>
      </c>
      <c r="B2477" s="5" t="s">
        <v>17</v>
      </c>
      <c r="C2477" s="8">
        <v>231.7801680444237</v>
      </c>
      <c r="D2477" s="8">
        <v>231.8411580113997</v>
      </c>
      <c r="E2477" s="8">
        <v>231.53232219318809</v>
      </c>
      <c r="F2477" s="8">
        <v>231.72563989997161</v>
      </c>
      <c r="G2477" s="7">
        <v>94205</v>
      </c>
      <c r="H2477" s="9">
        <v>21829713.906776819</v>
      </c>
      <c r="I2477" s="5" t="s">
        <v>3606</v>
      </c>
    </row>
    <row r="2478" spans="1:9" x14ac:dyDescent="0.25">
      <c r="A2478" s="6">
        <v>45993.697916666657</v>
      </c>
      <c r="B2478" s="5" t="s">
        <v>17</v>
      </c>
      <c r="C2478" s="8">
        <v>231.86499658491999</v>
      </c>
      <c r="D2478" s="8">
        <v>232.12191906446819</v>
      </c>
      <c r="E2478" s="8">
        <v>231.7724469722508</v>
      </c>
      <c r="F2478" s="8">
        <v>231.99955453194951</v>
      </c>
      <c r="G2478" s="7">
        <v>46146</v>
      </c>
      <c r="H2478" s="9">
        <v>10705851.44343134</v>
      </c>
      <c r="I2478" s="5" t="s">
        <v>3607</v>
      </c>
    </row>
    <row r="2479" spans="1:9" x14ac:dyDescent="0.25">
      <c r="A2479" s="6">
        <v>45993.701388888891</v>
      </c>
      <c r="B2479" s="5" t="s">
        <v>17</v>
      </c>
      <c r="C2479" s="8">
        <v>231.5079488008634</v>
      </c>
      <c r="D2479" s="8">
        <v>231.70217773969489</v>
      </c>
      <c r="E2479" s="8">
        <v>231.3597678617318</v>
      </c>
      <c r="F2479" s="8">
        <v>231.55134900696859</v>
      </c>
      <c r="G2479" s="7">
        <v>125443</v>
      </c>
      <c r="H2479" s="9">
        <v>29046495.873481169</v>
      </c>
      <c r="I2479" s="5" t="s">
        <v>3608</v>
      </c>
    </row>
    <row r="2480" spans="1:9" x14ac:dyDescent="0.25">
      <c r="A2480" s="6">
        <v>45993.704861111109</v>
      </c>
      <c r="B2480" s="5" t="s">
        <v>17</v>
      </c>
      <c r="C2480" s="8">
        <v>231.3553105907591</v>
      </c>
      <c r="D2480" s="8">
        <v>231.39149234720679</v>
      </c>
      <c r="E2480" s="8">
        <v>231.15625354273189</v>
      </c>
      <c r="F2480" s="8">
        <v>231.33180557418589</v>
      </c>
      <c r="G2480" s="7">
        <v>63982</v>
      </c>
      <c r="H2480" s="9">
        <v>14801071.584247559</v>
      </c>
      <c r="I2480" s="5" t="s">
        <v>3609</v>
      </c>
    </row>
    <row r="2481" spans="1:9" x14ac:dyDescent="0.25">
      <c r="A2481" s="6">
        <v>45993.708333333343</v>
      </c>
      <c r="B2481" s="5" t="s">
        <v>17</v>
      </c>
      <c r="C2481" s="8">
        <v>231.34413576577339</v>
      </c>
      <c r="D2481" s="8">
        <v>231.51267878861361</v>
      </c>
      <c r="E2481" s="8">
        <v>231.24267684485821</v>
      </c>
      <c r="F2481" s="8">
        <v>231.3538066558155</v>
      </c>
      <c r="G2481" s="7">
        <v>34213</v>
      </c>
      <c r="H2481" s="9">
        <v>7915307.7871154156</v>
      </c>
      <c r="I2481" s="5" t="s">
        <v>3610</v>
      </c>
    </row>
    <row r="2482" spans="1:9" x14ac:dyDescent="0.25">
      <c r="A2482" s="6">
        <v>45993.711805555547</v>
      </c>
      <c r="B2482" s="5" t="s">
        <v>17</v>
      </c>
      <c r="C2482" s="8">
        <v>231.5512883813436</v>
      </c>
      <c r="D2482" s="8">
        <v>231.88722006758701</v>
      </c>
      <c r="E2482" s="8">
        <v>231.44284821149131</v>
      </c>
      <c r="F2482" s="8">
        <v>231.61730703328021</v>
      </c>
      <c r="G2482" s="7">
        <v>87755</v>
      </c>
      <c r="H2482" s="9">
        <v>20325576.7787055</v>
      </c>
      <c r="I2482" s="5" t="s">
        <v>3611</v>
      </c>
    </row>
    <row r="2483" spans="1:9" x14ac:dyDescent="0.25">
      <c r="A2483" s="6">
        <v>45993.715277777781</v>
      </c>
      <c r="B2483" s="5" t="s">
        <v>17</v>
      </c>
      <c r="C2483" s="8">
        <v>231.4215930036442</v>
      </c>
      <c r="D2483" s="8">
        <v>231.5253958468569</v>
      </c>
      <c r="E2483" s="8">
        <v>231.34104355508339</v>
      </c>
      <c r="F2483" s="8">
        <v>231.42166174652951</v>
      </c>
      <c r="G2483" s="7">
        <v>49615</v>
      </c>
      <c r="H2483" s="9">
        <v>11481985.74755406</v>
      </c>
      <c r="I2483" s="5" t="s">
        <v>3612</v>
      </c>
    </row>
    <row r="2484" spans="1:9" x14ac:dyDescent="0.25">
      <c r="A2484" s="6">
        <v>45993.71875</v>
      </c>
      <c r="B2484" s="5" t="s">
        <v>17</v>
      </c>
      <c r="C2484" s="8">
        <v>231.37450418515621</v>
      </c>
      <c r="D2484" s="8">
        <v>231.5361703073329</v>
      </c>
      <c r="E2484" s="8">
        <v>231.37339780111341</v>
      </c>
      <c r="F2484" s="8">
        <v>231.46452330637609</v>
      </c>
      <c r="G2484" s="7">
        <v>144829</v>
      </c>
      <c r="H2484" s="9">
        <v>33522775.44593915</v>
      </c>
      <c r="I2484" s="5" t="s">
        <v>3613</v>
      </c>
    </row>
    <row r="2485" spans="1:9" x14ac:dyDescent="0.25">
      <c r="A2485" s="6">
        <v>45993.722222222219</v>
      </c>
      <c r="B2485" s="5" t="s">
        <v>17</v>
      </c>
      <c r="C2485" s="8">
        <v>231.6928631035718</v>
      </c>
      <c r="D2485" s="8">
        <v>231.91629637005011</v>
      </c>
      <c r="E2485" s="8">
        <v>231.59907706577101</v>
      </c>
      <c r="F2485" s="8">
        <v>231.7347423463751</v>
      </c>
      <c r="G2485" s="7">
        <v>43619</v>
      </c>
      <c r="H2485" s="9">
        <v>10108037.726406541</v>
      </c>
      <c r="I2485" s="5" t="s">
        <v>3614</v>
      </c>
    </row>
    <row r="2486" spans="1:9" x14ac:dyDescent="0.25">
      <c r="A2486" s="6">
        <v>45993.725694444453</v>
      </c>
      <c r="B2486" s="5" t="s">
        <v>17</v>
      </c>
      <c r="C2486" s="8">
        <v>231.95339681785089</v>
      </c>
      <c r="D2486" s="8">
        <v>232.1566547083838</v>
      </c>
      <c r="E2486" s="8">
        <v>231.67817873495241</v>
      </c>
      <c r="F2486" s="8">
        <v>231.88290292361901</v>
      </c>
      <c r="G2486" s="7">
        <v>90358</v>
      </c>
      <c r="H2486" s="9">
        <v>20952475.342372369</v>
      </c>
      <c r="I2486" s="5" t="s">
        <v>3615</v>
      </c>
    </row>
    <row r="2487" spans="1:9" x14ac:dyDescent="0.25">
      <c r="A2487" s="6">
        <v>45993.729166666657</v>
      </c>
      <c r="B2487" s="5" t="s">
        <v>17</v>
      </c>
      <c r="C2487" s="8">
        <v>231.8671718687643</v>
      </c>
      <c r="D2487" s="8">
        <v>231.89513766592651</v>
      </c>
      <c r="E2487" s="8">
        <v>231.6473486920126</v>
      </c>
      <c r="F2487" s="8">
        <v>231.87263145259871</v>
      </c>
      <c r="G2487" s="7">
        <v>51963</v>
      </c>
      <c r="H2487" s="9">
        <v>12048797.54817139</v>
      </c>
      <c r="I2487" s="5" t="s">
        <v>3616</v>
      </c>
    </row>
    <row r="2488" spans="1:9" x14ac:dyDescent="0.25">
      <c r="A2488" s="6">
        <v>45993.732638888891</v>
      </c>
      <c r="B2488" s="5" t="s">
        <v>17</v>
      </c>
      <c r="C2488" s="8">
        <v>231.9240493685991</v>
      </c>
      <c r="D2488" s="8">
        <v>232.09706353178601</v>
      </c>
      <c r="E2488" s="8">
        <v>231.80916201677661</v>
      </c>
      <c r="F2488" s="8">
        <v>231.8672369972453</v>
      </c>
      <c r="G2488" s="7">
        <v>59932</v>
      </c>
      <c r="H2488" s="9">
        <v>13896267.2477189</v>
      </c>
      <c r="I2488" s="5" t="s">
        <v>3617</v>
      </c>
    </row>
    <row r="2489" spans="1:9" x14ac:dyDescent="0.25">
      <c r="A2489" s="6">
        <v>45993.736111111109</v>
      </c>
      <c r="B2489" s="5" t="s">
        <v>17</v>
      </c>
      <c r="C2489" s="8">
        <v>231.73512606079279</v>
      </c>
      <c r="D2489" s="8">
        <v>231.82497010913511</v>
      </c>
      <c r="E2489" s="8">
        <v>231.59908675679421</v>
      </c>
      <c r="F2489" s="8">
        <v>231.77501163906459</v>
      </c>
      <c r="G2489" s="7">
        <v>71517</v>
      </c>
      <c r="H2489" s="9">
        <v>16575853.50739098</v>
      </c>
      <c r="I2489" s="5" t="s">
        <v>3618</v>
      </c>
    </row>
    <row r="2490" spans="1:9" x14ac:dyDescent="0.25">
      <c r="A2490" s="6">
        <v>45993.739583333343</v>
      </c>
      <c r="B2490" s="5" t="s">
        <v>17</v>
      </c>
      <c r="C2490" s="8">
        <v>231.5879327995267</v>
      </c>
      <c r="D2490" s="8">
        <v>232.0939267234246</v>
      </c>
      <c r="E2490" s="8">
        <v>231.43641659212511</v>
      </c>
      <c r="F2490" s="8">
        <v>231.70139161284641</v>
      </c>
      <c r="G2490" s="7">
        <v>68725</v>
      </c>
      <c r="H2490" s="9">
        <v>15923678.138592871</v>
      </c>
      <c r="I2490" s="5" t="s">
        <v>3619</v>
      </c>
    </row>
    <row r="2491" spans="1:9" x14ac:dyDescent="0.25">
      <c r="A2491" s="6">
        <v>45993.743055555547</v>
      </c>
      <c r="B2491" s="5" t="s">
        <v>17</v>
      </c>
      <c r="C2491" s="8">
        <v>231.6040996689851</v>
      </c>
      <c r="D2491" s="8">
        <v>231.66696444368421</v>
      </c>
      <c r="E2491" s="8">
        <v>231.56075563920541</v>
      </c>
      <c r="F2491" s="8">
        <v>231.64866142592069</v>
      </c>
      <c r="G2491" s="7">
        <v>53374</v>
      </c>
      <c r="H2491" s="9">
        <v>12364015.654947091</v>
      </c>
      <c r="I2491" s="5" t="s">
        <v>3620</v>
      </c>
    </row>
    <row r="2492" spans="1:9" x14ac:dyDescent="0.25">
      <c r="A2492" s="6">
        <v>45993.746527777781</v>
      </c>
      <c r="B2492" s="5" t="s">
        <v>17</v>
      </c>
      <c r="C2492" s="8">
        <v>231.51341898866079</v>
      </c>
      <c r="D2492" s="8">
        <v>231.52932471584111</v>
      </c>
      <c r="E2492" s="8">
        <v>231.3721170963357</v>
      </c>
      <c r="F2492" s="8">
        <v>231.42585467218339</v>
      </c>
      <c r="G2492" s="7">
        <v>47078</v>
      </c>
      <c r="H2492" s="9">
        <v>10895066.386257051</v>
      </c>
      <c r="I2492" s="5" t="s">
        <v>3621</v>
      </c>
    </row>
    <row r="2493" spans="1:9" x14ac:dyDescent="0.25">
      <c r="A2493" s="6">
        <v>45993.75</v>
      </c>
      <c r="B2493" s="5" t="s">
        <v>17</v>
      </c>
      <c r="C2493" s="8">
        <v>231.51350196140041</v>
      </c>
      <c r="D2493" s="8">
        <v>231.6478950080575</v>
      </c>
      <c r="E2493" s="8">
        <v>231.4092357654558</v>
      </c>
      <c r="F2493" s="8">
        <v>231.4463804960057</v>
      </c>
      <c r="G2493" s="7">
        <v>51937</v>
      </c>
      <c r="H2493" s="9">
        <v>12020630.663821051</v>
      </c>
      <c r="I2493" s="5" t="s">
        <v>3622</v>
      </c>
    </row>
    <row r="2494" spans="1:9" x14ac:dyDescent="0.25">
      <c r="A2494" s="6">
        <v>45993.753472222219</v>
      </c>
      <c r="B2494" s="5" t="s">
        <v>17</v>
      </c>
      <c r="C2494" s="8">
        <v>231.30789772446991</v>
      </c>
      <c r="D2494" s="8">
        <v>231.48100674741221</v>
      </c>
      <c r="E2494" s="8">
        <v>231.13461147593549</v>
      </c>
      <c r="F2494" s="8">
        <v>231.1945126582776</v>
      </c>
      <c r="G2494" s="7">
        <v>45446</v>
      </c>
      <c r="H2494" s="9">
        <v>10506865.822268089</v>
      </c>
      <c r="I2494" s="5" t="s">
        <v>3623</v>
      </c>
    </row>
    <row r="2495" spans="1:9" x14ac:dyDescent="0.25">
      <c r="A2495" s="6">
        <v>45993.756944444453</v>
      </c>
      <c r="B2495" s="5" t="s">
        <v>17</v>
      </c>
      <c r="C2495" s="8">
        <v>231.107245138232</v>
      </c>
      <c r="D2495" s="8">
        <v>231.2478158386422</v>
      </c>
      <c r="E2495" s="8">
        <v>231.08688866792099</v>
      </c>
      <c r="F2495" s="8">
        <v>231.1460573740481</v>
      </c>
      <c r="G2495" s="7">
        <v>25912</v>
      </c>
      <c r="H2495" s="9">
        <v>5989456.6386763342</v>
      </c>
      <c r="I2495" s="5" t="s">
        <v>3624</v>
      </c>
    </row>
    <row r="2496" spans="1:9" x14ac:dyDescent="0.25">
      <c r="A2496" s="6">
        <v>45993.760416666657</v>
      </c>
      <c r="B2496" s="5" t="s">
        <v>17</v>
      </c>
      <c r="C2496" s="8">
        <v>230.9463023641558</v>
      </c>
      <c r="D2496" s="8">
        <v>231.15768799671071</v>
      </c>
      <c r="E2496" s="8">
        <v>230.9269481566605</v>
      </c>
      <c r="F2496" s="8">
        <v>230.93951744827839</v>
      </c>
      <c r="G2496" s="7">
        <v>42207</v>
      </c>
      <c r="H2496" s="9">
        <v>9747264.2129394859</v>
      </c>
      <c r="I2496" s="5" t="s">
        <v>3625</v>
      </c>
    </row>
    <row r="2497" spans="1:9" x14ac:dyDescent="0.25">
      <c r="A2497" s="6">
        <v>45993.763888888891</v>
      </c>
      <c r="B2497" s="5" t="s">
        <v>17</v>
      </c>
      <c r="C2497" s="8">
        <v>231.1260431716357</v>
      </c>
      <c r="D2497" s="8">
        <v>231.2984721633525</v>
      </c>
      <c r="E2497" s="8">
        <v>230.9857995956136</v>
      </c>
      <c r="F2497" s="8">
        <v>231.102726673722</v>
      </c>
      <c r="G2497" s="7">
        <v>37542</v>
      </c>
      <c r="H2497" s="9">
        <v>8676058.5647848696</v>
      </c>
      <c r="I2497" s="5" t="s">
        <v>3626</v>
      </c>
    </row>
    <row r="2498" spans="1:9" x14ac:dyDescent="0.25">
      <c r="A2498" s="6">
        <v>45993.767361111109</v>
      </c>
      <c r="B2498" s="5" t="s">
        <v>17</v>
      </c>
      <c r="C2498" s="8">
        <v>231.21806931848519</v>
      </c>
      <c r="D2498" s="8">
        <v>231.48780026184571</v>
      </c>
      <c r="E2498" s="8">
        <v>231.2144884464667</v>
      </c>
      <c r="F2498" s="8">
        <v>231.30481337123121</v>
      </c>
      <c r="G2498" s="7">
        <v>79513</v>
      </c>
      <c r="H2498" s="9">
        <v>18391739.6255867</v>
      </c>
      <c r="I2498" s="5" t="s">
        <v>3627</v>
      </c>
    </row>
    <row r="2499" spans="1:9" x14ac:dyDescent="0.25">
      <c r="A2499" s="6">
        <v>45993.770833333343</v>
      </c>
      <c r="B2499" s="5" t="s">
        <v>17</v>
      </c>
      <c r="C2499" s="8">
        <v>231.1879244913346</v>
      </c>
      <c r="D2499" s="8">
        <v>231.3940022540371</v>
      </c>
      <c r="E2499" s="8">
        <v>231.0660508869104</v>
      </c>
      <c r="F2499" s="8">
        <v>231.1479479637438</v>
      </c>
      <c r="G2499" s="7">
        <v>60161</v>
      </c>
      <c r="H2499" s="9">
        <v>13906091.69744679</v>
      </c>
      <c r="I2499" s="5" t="s">
        <v>3628</v>
      </c>
    </row>
    <row r="2500" spans="1:9" x14ac:dyDescent="0.25">
      <c r="A2500" s="6">
        <v>45993.774305555547</v>
      </c>
      <c r="B2500" s="5" t="s">
        <v>17</v>
      </c>
      <c r="C2500" s="8">
        <v>230.96269526632631</v>
      </c>
      <c r="D2500" s="8">
        <v>231.23484735006841</v>
      </c>
      <c r="E2500" s="8">
        <v>230.9440512767014</v>
      </c>
      <c r="F2500" s="8">
        <v>231.12315387628411</v>
      </c>
      <c r="G2500" s="7">
        <v>60371</v>
      </c>
      <c r="H2500" s="9">
        <v>13953135.922665151</v>
      </c>
      <c r="I2500" s="5" t="s">
        <v>3629</v>
      </c>
    </row>
    <row r="2501" spans="1:9" x14ac:dyDescent="0.25">
      <c r="A2501" s="6">
        <v>45993.777777777781</v>
      </c>
      <c r="B2501" s="5" t="s">
        <v>17</v>
      </c>
      <c r="C2501" s="8">
        <v>230.95160899122999</v>
      </c>
      <c r="D2501" s="8">
        <v>231.0332012081787</v>
      </c>
      <c r="E2501" s="8">
        <v>230.83267364114749</v>
      </c>
      <c r="F2501" s="8">
        <v>230.86582070875829</v>
      </c>
      <c r="G2501" s="7">
        <v>53747</v>
      </c>
      <c r="H2501" s="9">
        <v>12408345.26563363</v>
      </c>
      <c r="I2501" s="5" t="s">
        <v>3630</v>
      </c>
    </row>
    <row r="2502" spans="1:9" x14ac:dyDescent="0.25">
      <c r="A2502" s="6">
        <v>45993.78125</v>
      </c>
      <c r="B2502" s="5" t="s">
        <v>17</v>
      </c>
      <c r="C2502" s="8">
        <v>230.80875516201769</v>
      </c>
      <c r="D2502" s="8">
        <v>230.85680518347431</v>
      </c>
      <c r="E2502" s="8">
        <v>230.61651744756671</v>
      </c>
      <c r="F2502" s="8">
        <v>230.77380094781699</v>
      </c>
      <c r="G2502" s="7">
        <v>47581</v>
      </c>
      <c r="H2502" s="9">
        <v>10980448.222898079</v>
      </c>
      <c r="I2502" s="5" t="s">
        <v>3631</v>
      </c>
    </row>
    <row r="2503" spans="1:9" x14ac:dyDescent="0.25">
      <c r="A2503" s="6">
        <v>45993.784722222219</v>
      </c>
      <c r="B2503" s="5" t="s">
        <v>17</v>
      </c>
      <c r="C2503" s="8">
        <v>230.83533578145679</v>
      </c>
      <c r="D2503" s="8">
        <v>230.91595868763989</v>
      </c>
      <c r="E2503" s="8">
        <v>230.58709705116991</v>
      </c>
      <c r="F2503" s="8">
        <v>230.9108031497193</v>
      </c>
      <c r="G2503" s="7">
        <v>57439</v>
      </c>
      <c r="H2503" s="9">
        <v>13263285.62211673</v>
      </c>
      <c r="I2503" s="5" t="s">
        <v>3632</v>
      </c>
    </row>
    <row r="2504" spans="1:9" x14ac:dyDescent="0.25">
      <c r="A2504" s="6">
        <v>45993.788194444453</v>
      </c>
      <c r="B2504" s="5" t="s">
        <v>17</v>
      </c>
      <c r="C2504" s="8">
        <v>230.79218604207139</v>
      </c>
      <c r="D2504" s="8">
        <v>230.9601214717317</v>
      </c>
      <c r="E2504" s="8">
        <v>230.74940481151489</v>
      </c>
      <c r="F2504" s="8">
        <v>230.84844751620469</v>
      </c>
      <c r="G2504" s="7">
        <v>85338</v>
      </c>
      <c r="H2504" s="9">
        <v>19700144.81413788</v>
      </c>
      <c r="I2504" s="5" t="s">
        <v>3633</v>
      </c>
    </row>
    <row r="2505" spans="1:9" x14ac:dyDescent="0.25">
      <c r="A2505" s="6">
        <v>45993.791666666657</v>
      </c>
      <c r="B2505" s="5" t="s">
        <v>17</v>
      </c>
      <c r="C2505" s="8">
        <v>230.79942258355649</v>
      </c>
      <c r="D2505" s="8">
        <v>230.84527604254819</v>
      </c>
      <c r="E2505" s="8">
        <v>230.62514966706851</v>
      </c>
      <c r="F2505" s="8">
        <v>230.80314527844541</v>
      </c>
      <c r="G2505" s="7">
        <v>84924</v>
      </c>
      <c r="H2505" s="9">
        <v>19600726.309626691</v>
      </c>
      <c r="I2505" s="5" t="s">
        <v>3634</v>
      </c>
    </row>
    <row r="2506" spans="1:9" x14ac:dyDescent="0.25">
      <c r="A2506" s="6">
        <v>45993.795138888891</v>
      </c>
      <c r="B2506" s="5" t="s">
        <v>17</v>
      </c>
      <c r="C2506" s="8">
        <v>230.77060431020399</v>
      </c>
      <c r="D2506" s="8">
        <v>230.96852720376069</v>
      </c>
      <c r="E2506" s="8">
        <v>230.6740814752516</v>
      </c>
      <c r="F2506" s="8">
        <v>230.8933535451711</v>
      </c>
      <c r="G2506" s="7">
        <v>68365</v>
      </c>
      <c r="H2506" s="9">
        <v>15785024.11511562</v>
      </c>
      <c r="I2506" s="5" t="s">
        <v>3635</v>
      </c>
    </row>
    <row r="2507" spans="1:9" x14ac:dyDescent="0.25">
      <c r="A2507" s="6">
        <v>45993.798611111109</v>
      </c>
      <c r="B2507" s="5" t="s">
        <v>17</v>
      </c>
      <c r="C2507" s="8">
        <v>230.75406598122811</v>
      </c>
      <c r="D2507" s="8">
        <v>230.81917561808339</v>
      </c>
      <c r="E2507" s="8">
        <v>230.64939649048719</v>
      </c>
      <c r="F2507" s="8">
        <v>230.72024285838219</v>
      </c>
      <c r="G2507" s="7">
        <v>63057</v>
      </c>
      <c r="H2507" s="9">
        <v>14548526.353921</v>
      </c>
      <c r="I2507" s="5" t="s">
        <v>3636</v>
      </c>
    </row>
    <row r="2508" spans="1:9" x14ac:dyDescent="0.25">
      <c r="A2508" s="6">
        <v>45993.802083333343</v>
      </c>
      <c r="B2508" s="5" t="s">
        <v>17</v>
      </c>
      <c r="C2508" s="8">
        <v>230.48641101886491</v>
      </c>
      <c r="D2508" s="8">
        <v>230.49955365181631</v>
      </c>
      <c r="E2508" s="8">
        <v>230.38388309522239</v>
      </c>
      <c r="F2508" s="8">
        <v>230.41208183086519</v>
      </c>
      <c r="G2508" s="7">
        <v>42417</v>
      </c>
      <c r="H2508" s="9">
        <v>9773389.2750198096</v>
      </c>
      <c r="I2508" s="5" t="s">
        <v>3637</v>
      </c>
    </row>
    <row r="2509" spans="1:9" x14ac:dyDescent="0.25">
      <c r="A2509" s="6">
        <v>45993.805555555547</v>
      </c>
      <c r="B2509" s="5" t="s">
        <v>17</v>
      </c>
      <c r="C2509" s="8">
        <v>230.45813827749981</v>
      </c>
      <c r="D2509" s="8">
        <v>230.67585909704721</v>
      </c>
      <c r="E2509" s="8">
        <v>230.3318944725381</v>
      </c>
      <c r="F2509" s="8">
        <v>230.53652110387571</v>
      </c>
      <c r="G2509" s="7">
        <v>59702</v>
      </c>
      <c r="H2509" s="9">
        <v>13763491.382943589</v>
      </c>
      <c r="I2509" s="5" t="s">
        <v>3638</v>
      </c>
    </row>
    <row r="2510" spans="1:9" x14ac:dyDescent="0.25">
      <c r="A2510" s="6">
        <v>45993.809027777781</v>
      </c>
      <c r="B2510" s="5" t="s">
        <v>17</v>
      </c>
      <c r="C2510" s="8">
        <v>230.36618219681301</v>
      </c>
      <c r="D2510" s="8">
        <v>230.4671127879574</v>
      </c>
      <c r="E2510" s="8">
        <v>230.27121224560989</v>
      </c>
      <c r="F2510" s="8">
        <v>230.36828641976339</v>
      </c>
      <c r="G2510" s="7">
        <v>38804</v>
      </c>
      <c r="H2510" s="9">
        <v>8939210.9862325005</v>
      </c>
      <c r="I2510" s="5" t="s">
        <v>3639</v>
      </c>
    </row>
    <row r="2511" spans="1:9" x14ac:dyDescent="0.25">
      <c r="A2511" s="6">
        <v>45993.8125</v>
      </c>
      <c r="B2511" s="5" t="s">
        <v>17</v>
      </c>
      <c r="C2511" s="8">
        <v>230.24352163455151</v>
      </c>
      <c r="D2511" s="8">
        <v>230.32226165665779</v>
      </c>
      <c r="E2511" s="8">
        <v>230.06433090407069</v>
      </c>
      <c r="F2511" s="8">
        <v>230.3042120526699</v>
      </c>
      <c r="G2511" s="7">
        <v>48138</v>
      </c>
      <c r="H2511" s="9">
        <v>11086384.159791419</v>
      </c>
      <c r="I2511" s="5" t="s">
        <v>3640</v>
      </c>
    </row>
    <row r="2512" spans="1:9" x14ac:dyDescent="0.25">
      <c r="A2512" s="6">
        <v>45993.815972222219</v>
      </c>
      <c r="B2512" s="5" t="s">
        <v>17</v>
      </c>
      <c r="C2512" s="8">
        <v>230.44404591741011</v>
      </c>
      <c r="D2512" s="8">
        <v>230.59743468473269</v>
      </c>
      <c r="E2512" s="8">
        <v>230.38375397516461</v>
      </c>
      <c r="F2512" s="8">
        <v>230.4395051533572</v>
      </c>
      <c r="G2512" s="7">
        <v>62106</v>
      </c>
      <c r="H2512" s="9">
        <v>14311675.9070544</v>
      </c>
      <c r="I2512" s="5" t="s">
        <v>3641</v>
      </c>
    </row>
    <row r="2513" spans="1:9" x14ac:dyDescent="0.25">
      <c r="A2513" s="6">
        <v>45993.819444444453</v>
      </c>
      <c r="B2513" s="5" t="s">
        <v>17</v>
      </c>
      <c r="C2513" s="8">
        <v>230.50391964261229</v>
      </c>
      <c r="D2513" s="8">
        <v>230.58366839394759</v>
      </c>
      <c r="E2513" s="8">
        <v>230.3645260708561</v>
      </c>
      <c r="F2513" s="8">
        <v>230.5757132255402</v>
      </c>
      <c r="G2513" s="7">
        <v>33495</v>
      </c>
      <c r="H2513" s="9">
        <v>7723133.5144894691</v>
      </c>
      <c r="I2513" s="5" t="s">
        <v>3642</v>
      </c>
    </row>
    <row r="2514" spans="1:9" x14ac:dyDescent="0.25">
      <c r="A2514" s="6">
        <v>45993.822916666657</v>
      </c>
      <c r="B2514" s="5" t="s">
        <v>17</v>
      </c>
      <c r="C2514" s="8">
        <v>230.80374836778449</v>
      </c>
      <c r="D2514" s="8">
        <v>230.8849867705932</v>
      </c>
      <c r="E2514" s="8">
        <v>230.655027553092</v>
      </c>
      <c r="F2514" s="8">
        <v>230.76747482569809</v>
      </c>
      <c r="G2514" s="7">
        <v>53392</v>
      </c>
      <c r="H2514" s="9">
        <v>12321137.01589367</v>
      </c>
      <c r="I2514" s="5" t="s">
        <v>3643</v>
      </c>
    </row>
    <row r="2515" spans="1:9" x14ac:dyDescent="0.25">
      <c r="A2515" s="6">
        <v>45993.826388888891</v>
      </c>
      <c r="B2515" s="5" t="s">
        <v>17</v>
      </c>
      <c r="C2515" s="8">
        <v>231.07593458708661</v>
      </c>
      <c r="D2515" s="8">
        <v>231.1851366629966</v>
      </c>
      <c r="E2515" s="8">
        <v>230.95320944645121</v>
      </c>
      <c r="F2515" s="8">
        <v>231.02167103783901</v>
      </c>
      <c r="G2515" s="7">
        <v>33306</v>
      </c>
      <c r="H2515" s="9">
        <v>7694407.7755862651</v>
      </c>
      <c r="I2515" s="5" t="s">
        <v>3644</v>
      </c>
    </row>
    <row r="2516" spans="1:9" x14ac:dyDescent="0.25">
      <c r="A2516" s="6">
        <v>45993.829861111109</v>
      </c>
      <c r="B2516" s="5" t="s">
        <v>17</v>
      </c>
      <c r="C2516" s="8">
        <v>230.6336488744044</v>
      </c>
      <c r="D2516" s="8">
        <v>230.70218041357791</v>
      </c>
      <c r="E2516" s="8">
        <v>230.46920684632099</v>
      </c>
      <c r="F2516" s="8">
        <v>230.59317070255199</v>
      </c>
      <c r="G2516" s="7">
        <v>72315</v>
      </c>
      <c r="H2516" s="9">
        <v>16675345.13935505</v>
      </c>
      <c r="I2516" s="5" t="s">
        <v>3645</v>
      </c>
    </row>
    <row r="2517" spans="1:9" x14ac:dyDescent="0.25">
      <c r="A2517" s="6">
        <v>45993.833333333343</v>
      </c>
      <c r="B2517" s="5" t="s">
        <v>17</v>
      </c>
      <c r="C2517" s="8">
        <v>230.46698961972501</v>
      </c>
      <c r="D2517" s="8">
        <v>230.64181154104239</v>
      </c>
      <c r="E2517" s="8">
        <v>230.40755297263769</v>
      </c>
      <c r="F2517" s="8">
        <v>230.5724681713231</v>
      </c>
      <c r="G2517" s="7">
        <v>70863</v>
      </c>
      <c r="H2517" s="9">
        <v>16339056.81202447</v>
      </c>
      <c r="I2517" s="5" t="s">
        <v>3646</v>
      </c>
    </row>
    <row r="2518" spans="1:9" x14ac:dyDescent="0.25">
      <c r="A2518" s="6">
        <v>45993.836805555547</v>
      </c>
      <c r="B2518" s="5" t="s">
        <v>17</v>
      </c>
      <c r="C2518" s="8">
        <v>230.30195191875501</v>
      </c>
      <c r="D2518" s="8">
        <v>230.44779863899959</v>
      </c>
      <c r="E2518" s="8">
        <v>230.15637322895259</v>
      </c>
      <c r="F2518" s="8">
        <v>230.40505428266749</v>
      </c>
      <c r="G2518" s="7">
        <v>188770</v>
      </c>
      <c r="H2518" s="9">
        <v>43493562.096939147</v>
      </c>
      <c r="I2518" s="5" t="s">
        <v>3647</v>
      </c>
    </row>
    <row r="2519" spans="1:9" x14ac:dyDescent="0.25">
      <c r="A2519" s="6">
        <v>45993.840277777781</v>
      </c>
      <c r="B2519" s="5" t="s">
        <v>17</v>
      </c>
      <c r="C2519" s="8">
        <v>229.93861364820739</v>
      </c>
      <c r="D2519" s="8">
        <v>230.09725322216451</v>
      </c>
      <c r="E2519" s="8">
        <v>229.86536559216219</v>
      </c>
      <c r="F2519" s="8">
        <v>229.97304254827989</v>
      </c>
      <c r="G2519" s="7">
        <v>85378</v>
      </c>
      <c r="H2519" s="9">
        <v>19634638.426687051</v>
      </c>
      <c r="I2519" s="5" t="s">
        <v>3648</v>
      </c>
    </row>
    <row r="2520" spans="1:9" x14ac:dyDescent="0.25">
      <c r="A2520" s="6">
        <v>45993.84375</v>
      </c>
      <c r="B2520" s="5" t="s">
        <v>17</v>
      </c>
      <c r="C2520" s="8">
        <v>229.60814739994939</v>
      </c>
      <c r="D2520" s="8">
        <v>229.78322924338829</v>
      </c>
      <c r="E2520" s="8">
        <v>229.31722642995311</v>
      </c>
      <c r="F2520" s="8">
        <v>229.69626587306931</v>
      </c>
      <c r="G2520" s="7">
        <v>49060</v>
      </c>
      <c r="H2520" s="9">
        <v>11268898.803732781</v>
      </c>
      <c r="I2520" s="5" t="s">
        <v>3649</v>
      </c>
    </row>
    <row r="2521" spans="1:9" x14ac:dyDescent="0.25">
      <c r="A2521" s="6">
        <v>45993.847222222219</v>
      </c>
      <c r="B2521" s="5" t="s">
        <v>17</v>
      </c>
      <c r="C2521" s="8">
        <v>229.36036026411051</v>
      </c>
      <c r="D2521" s="8">
        <v>229.40299043849899</v>
      </c>
      <c r="E2521" s="8">
        <v>229.15539961129161</v>
      </c>
      <c r="F2521" s="8">
        <v>229.3548814477974</v>
      </c>
      <c r="G2521" s="7">
        <v>53448</v>
      </c>
      <c r="H2521" s="9">
        <v>12258559.703621879</v>
      </c>
      <c r="I2521" s="5" t="s">
        <v>3650</v>
      </c>
    </row>
    <row r="2522" spans="1:9" x14ac:dyDescent="0.25">
      <c r="A2522" s="6">
        <v>45993.850694444453</v>
      </c>
      <c r="B2522" s="5" t="s">
        <v>17</v>
      </c>
      <c r="C2522" s="8">
        <v>229.64281260928129</v>
      </c>
      <c r="D2522" s="8">
        <v>229.69705220667129</v>
      </c>
      <c r="E2522" s="8">
        <v>229.4165967698018</v>
      </c>
      <c r="F2522" s="8">
        <v>229.62444529863151</v>
      </c>
      <c r="G2522" s="7">
        <v>72075</v>
      </c>
      <c r="H2522" s="9">
        <v>16550181.89489886</v>
      </c>
      <c r="I2522" s="5" t="s">
        <v>3651</v>
      </c>
    </row>
    <row r="2523" spans="1:9" x14ac:dyDescent="0.25">
      <c r="A2523" s="6">
        <v>45993.854166666657</v>
      </c>
      <c r="B2523" s="5" t="s">
        <v>17</v>
      </c>
      <c r="C2523" s="8">
        <v>229.61097754437921</v>
      </c>
      <c r="D2523" s="8">
        <v>229.63020398687209</v>
      </c>
      <c r="E2523" s="8">
        <v>229.42288851171719</v>
      </c>
      <c r="F2523" s="8">
        <v>229.4910009165998</v>
      </c>
      <c r="G2523" s="7">
        <v>74995</v>
      </c>
      <c r="H2523" s="9">
        <v>17210677.613740399</v>
      </c>
      <c r="I2523" s="5" t="s">
        <v>3652</v>
      </c>
    </row>
    <row r="2524" spans="1:9" x14ac:dyDescent="0.25">
      <c r="A2524" s="6">
        <v>45993.857638888891</v>
      </c>
      <c r="B2524" s="5" t="s">
        <v>17</v>
      </c>
      <c r="C2524" s="8">
        <v>228.91486068081261</v>
      </c>
      <c r="D2524" s="8">
        <v>228.98097868502231</v>
      </c>
      <c r="E2524" s="8">
        <v>228.85347740397009</v>
      </c>
      <c r="F2524" s="8">
        <v>228.96207043801451</v>
      </c>
      <c r="G2524" s="7">
        <v>57754</v>
      </c>
      <c r="H2524" s="9">
        <v>13223475.41607709</v>
      </c>
      <c r="I2524" s="5" t="s">
        <v>3653</v>
      </c>
    </row>
    <row r="2525" spans="1:9" x14ac:dyDescent="0.25">
      <c r="A2525" s="6">
        <v>45993.861111111109</v>
      </c>
      <c r="B2525" s="5" t="s">
        <v>17</v>
      </c>
      <c r="C2525" s="8">
        <v>229.3274275657007</v>
      </c>
      <c r="D2525" s="8">
        <v>229.45056880142499</v>
      </c>
      <c r="E2525" s="8">
        <v>229.08532416871191</v>
      </c>
      <c r="F2525" s="8">
        <v>229.26167665758399</v>
      </c>
      <c r="G2525" s="7">
        <v>36340</v>
      </c>
      <c r="H2525" s="9">
        <v>8331369.3297366044</v>
      </c>
      <c r="I2525" s="5" t="s">
        <v>3654</v>
      </c>
    </row>
    <row r="2526" spans="1:9" x14ac:dyDescent="0.25">
      <c r="A2526" s="6">
        <v>45993.864583333343</v>
      </c>
      <c r="B2526" s="5" t="s">
        <v>17</v>
      </c>
      <c r="C2526" s="8">
        <v>229.44490347846619</v>
      </c>
      <c r="D2526" s="8">
        <v>229.65464981271589</v>
      </c>
      <c r="E2526" s="8">
        <v>229.34057263113499</v>
      </c>
      <c r="F2526" s="8">
        <v>229.4572211596379</v>
      </c>
      <c r="G2526" s="7">
        <v>98221</v>
      </c>
      <c r="H2526" s="9">
        <v>22537517.719520789</v>
      </c>
      <c r="I2526" s="5" t="s">
        <v>3655</v>
      </c>
    </row>
    <row r="2527" spans="1:9" x14ac:dyDescent="0.25">
      <c r="A2527" s="6">
        <v>45993.868055555547</v>
      </c>
      <c r="B2527" s="5" t="s">
        <v>17</v>
      </c>
      <c r="C2527" s="8">
        <v>229.7052344092815</v>
      </c>
      <c r="D2527" s="8">
        <v>229.7585924696335</v>
      </c>
      <c r="E2527" s="8">
        <v>229.39110124877891</v>
      </c>
      <c r="F2527" s="8">
        <v>229.66247811080831</v>
      </c>
      <c r="G2527" s="7">
        <v>74453</v>
      </c>
      <c r="H2527" s="9">
        <v>17099060.48278401</v>
      </c>
      <c r="I2527" s="5" t="s">
        <v>3656</v>
      </c>
    </row>
    <row r="2528" spans="1:9" x14ac:dyDescent="0.25">
      <c r="A2528" s="6">
        <v>45993.871527777781</v>
      </c>
      <c r="B2528" s="5" t="s">
        <v>17</v>
      </c>
      <c r="C2528" s="8">
        <v>229.51497791552731</v>
      </c>
      <c r="D2528" s="8">
        <v>229.593361946909</v>
      </c>
      <c r="E2528" s="8">
        <v>229.28562177564359</v>
      </c>
      <c r="F2528" s="8">
        <v>229.58720559966039</v>
      </c>
      <c r="G2528" s="7">
        <v>83701</v>
      </c>
      <c r="H2528" s="9">
        <v>19216678.695897169</v>
      </c>
      <c r="I2528" s="5" t="s">
        <v>3657</v>
      </c>
    </row>
    <row r="2529" spans="1:9" x14ac:dyDescent="0.25">
      <c r="A2529" s="6">
        <v>45993.875</v>
      </c>
      <c r="B2529" s="5" t="s">
        <v>17</v>
      </c>
      <c r="C2529" s="8">
        <v>229.77787300021731</v>
      </c>
      <c r="D2529" s="8">
        <v>230.00536189128309</v>
      </c>
      <c r="E2529" s="8">
        <v>229.68494784073681</v>
      </c>
      <c r="F2529" s="8">
        <v>229.79807677799849</v>
      </c>
      <c r="G2529" s="7">
        <v>110348</v>
      </c>
      <c r="H2529" s="9">
        <v>25357758.176298581</v>
      </c>
      <c r="I2529" s="5" t="s">
        <v>3658</v>
      </c>
    </row>
    <row r="2530" spans="1:9" x14ac:dyDescent="0.25">
      <c r="A2530" s="6">
        <v>45994.604166666657</v>
      </c>
      <c r="B2530" s="5" t="s">
        <v>17</v>
      </c>
      <c r="C2530" s="8">
        <v>230.17803729504951</v>
      </c>
      <c r="D2530" s="8">
        <v>230.4023115586636</v>
      </c>
      <c r="E2530" s="8">
        <v>229.9941195859472</v>
      </c>
      <c r="F2530" s="8">
        <v>230.13228358111209</v>
      </c>
      <c r="G2530" s="7">
        <v>51207</v>
      </c>
      <c r="H2530" s="9">
        <v>11784383.845338009</v>
      </c>
      <c r="I2530" s="5" t="s">
        <v>3659</v>
      </c>
    </row>
    <row r="2531" spans="1:9" x14ac:dyDescent="0.25">
      <c r="A2531" s="6">
        <v>45994.607638888891</v>
      </c>
      <c r="B2531" s="5" t="s">
        <v>17</v>
      </c>
      <c r="C2531" s="8">
        <v>230.04031379330709</v>
      </c>
      <c r="D2531" s="8">
        <v>230.2035258818145</v>
      </c>
      <c r="E2531" s="8">
        <v>229.69911871250821</v>
      </c>
      <c r="F2531" s="8">
        <v>229.9909469448437</v>
      </c>
      <c r="G2531" s="7">
        <v>60681</v>
      </c>
      <c r="H2531" s="9">
        <v>13956080.651560061</v>
      </c>
      <c r="I2531" s="5" t="s">
        <v>3660</v>
      </c>
    </row>
    <row r="2532" spans="1:9" x14ac:dyDescent="0.25">
      <c r="A2532" s="6">
        <v>45994.611111111109</v>
      </c>
      <c r="B2532" s="5" t="s">
        <v>17</v>
      </c>
      <c r="C2532" s="8">
        <v>229.65998128880949</v>
      </c>
      <c r="D2532" s="8">
        <v>229.87514322449451</v>
      </c>
      <c r="E2532" s="8">
        <v>229.6511428198402</v>
      </c>
      <c r="F2532" s="8">
        <v>229.78612734388599</v>
      </c>
      <c r="G2532" s="7">
        <v>66468</v>
      </c>
      <c r="H2532" s="9">
        <v>15273424.31229342</v>
      </c>
      <c r="I2532" s="5" t="s">
        <v>3661</v>
      </c>
    </row>
    <row r="2533" spans="1:9" x14ac:dyDescent="0.25">
      <c r="A2533" s="6">
        <v>45994.614583333343</v>
      </c>
      <c r="B2533" s="5" t="s">
        <v>17</v>
      </c>
      <c r="C2533" s="8">
        <v>229.86573107075631</v>
      </c>
      <c r="D2533" s="8">
        <v>229.9167614101672</v>
      </c>
      <c r="E2533" s="8">
        <v>229.67029037459011</v>
      </c>
      <c r="F2533" s="8">
        <v>229.8215544335817</v>
      </c>
      <c r="G2533" s="7">
        <v>123985</v>
      </c>
      <c r="H2533" s="9">
        <v>28494425.426447619</v>
      </c>
      <c r="I2533" s="5" t="s">
        <v>3662</v>
      </c>
    </row>
    <row r="2534" spans="1:9" x14ac:dyDescent="0.25">
      <c r="A2534" s="6">
        <v>45994.618055555547</v>
      </c>
      <c r="B2534" s="5" t="s">
        <v>17</v>
      </c>
      <c r="C2534" s="8">
        <v>230.19029227068521</v>
      </c>
      <c r="D2534" s="8">
        <v>230.40934490173859</v>
      </c>
      <c r="E2534" s="8">
        <v>230.01669036492351</v>
      </c>
      <c r="F2534" s="8">
        <v>230.27193302485409</v>
      </c>
      <c r="G2534" s="7">
        <v>61751</v>
      </c>
      <c r="H2534" s="9">
        <v>14219522.136217769</v>
      </c>
      <c r="I2534" s="5" t="s">
        <v>3663</v>
      </c>
    </row>
    <row r="2535" spans="1:9" x14ac:dyDescent="0.25">
      <c r="A2535" s="6">
        <v>45994.621527777781</v>
      </c>
      <c r="B2535" s="5" t="s">
        <v>17</v>
      </c>
      <c r="C2535" s="8">
        <v>230.21274823633641</v>
      </c>
      <c r="D2535" s="8">
        <v>230.29165896670631</v>
      </c>
      <c r="E2535" s="8">
        <v>230.1767993656714</v>
      </c>
      <c r="F2535" s="8">
        <v>230.2694639442563</v>
      </c>
      <c r="G2535" s="7">
        <v>71034</v>
      </c>
      <c r="H2535" s="9">
        <v>16356961.1018163</v>
      </c>
      <c r="I2535" s="5" t="s">
        <v>3664</v>
      </c>
    </row>
    <row r="2536" spans="1:9" x14ac:dyDescent="0.25">
      <c r="A2536" s="6">
        <v>45994.625</v>
      </c>
      <c r="B2536" s="5" t="s">
        <v>17</v>
      </c>
      <c r="C2536" s="8">
        <v>230.23129534522599</v>
      </c>
      <c r="D2536" s="8">
        <v>230.27207572451749</v>
      </c>
      <c r="E2536" s="8">
        <v>229.954944094072</v>
      </c>
      <c r="F2536" s="8">
        <v>230.26243626964211</v>
      </c>
      <c r="G2536" s="7">
        <v>54359</v>
      </c>
      <c r="H2536" s="9">
        <v>12516835.77318147</v>
      </c>
      <c r="I2536" s="5" t="s">
        <v>3665</v>
      </c>
    </row>
    <row r="2537" spans="1:9" x14ac:dyDescent="0.25">
      <c r="A2537" s="6">
        <v>45994.628472222219</v>
      </c>
      <c r="B2537" s="5" t="s">
        <v>17</v>
      </c>
      <c r="C2537" s="8">
        <v>229.90310019356551</v>
      </c>
      <c r="D2537" s="8">
        <v>229.96570299640689</v>
      </c>
      <c r="E2537" s="8">
        <v>229.88178112380169</v>
      </c>
      <c r="F2537" s="8">
        <v>229.88618808954101</v>
      </c>
      <c r="G2537" s="7">
        <v>54717</v>
      </c>
      <c r="H2537" s="9">
        <v>12578682.55369542</v>
      </c>
      <c r="I2537" s="5" t="s">
        <v>3666</v>
      </c>
    </row>
    <row r="2538" spans="1:9" x14ac:dyDescent="0.25">
      <c r="A2538" s="6">
        <v>45994.631944444453</v>
      </c>
      <c r="B2538" s="5" t="s">
        <v>17</v>
      </c>
      <c r="C2538" s="8">
        <v>230.38305006871269</v>
      </c>
      <c r="D2538" s="8">
        <v>230.5509957349702</v>
      </c>
      <c r="E2538" s="8">
        <v>230.26843824646491</v>
      </c>
      <c r="F2538" s="8">
        <v>230.28476705234829</v>
      </c>
      <c r="G2538" s="7">
        <v>83418</v>
      </c>
      <c r="H2538" s="9">
        <v>19209894.697972789</v>
      </c>
      <c r="I2538" s="5" t="s">
        <v>3667</v>
      </c>
    </row>
    <row r="2539" spans="1:9" x14ac:dyDescent="0.25">
      <c r="A2539" s="6">
        <v>45994.635416666657</v>
      </c>
      <c r="B2539" s="5" t="s">
        <v>17</v>
      </c>
      <c r="C2539" s="8">
        <v>230.31603163480739</v>
      </c>
      <c r="D2539" s="8">
        <v>230.56287967093391</v>
      </c>
      <c r="E2539" s="8">
        <v>230.17394772982809</v>
      </c>
      <c r="F2539" s="8">
        <v>230.2551936633663</v>
      </c>
      <c r="G2539" s="7">
        <v>34069</v>
      </c>
      <c r="H2539" s="9">
        <v>7844564.1929172277</v>
      </c>
      <c r="I2539" s="5" t="s">
        <v>3668</v>
      </c>
    </row>
    <row r="2540" spans="1:9" x14ac:dyDescent="0.25">
      <c r="A2540" s="6">
        <v>45994.638888888891</v>
      </c>
      <c r="B2540" s="5" t="s">
        <v>17</v>
      </c>
      <c r="C2540" s="8">
        <v>230.278942002169</v>
      </c>
      <c r="D2540" s="8">
        <v>230.47757853615909</v>
      </c>
      <c r="E2540" s="8">
        <v>230.24386642060469</v>
      </c>
      <c r="F2540" s="8">
        <v>230.26006895095091</v>
      </c>
      <c r="G2540" s="7">
        <v>48367</v>
      </c>
      <c r="H2540" s="9">
        <v>11136988.754950641</v>
      </c>
      <c r="I2540" s="5" t="s">
        <v>3669</v>
      </c>
    </row>
    <row r="2541" spans="1:9" x14ac:dyDescent="0.25">
      <c r="A2541" s="6">
        <v>45994.642361111109</v>
      </c>
      <c r="B2541" s="5" t="s">
        <v>17</v>
      </c>
      <c r="C2541" s="8">
        <v>230.44128305246659</v>
      </c>
      <c r="D2541" s="8">
        <v>230.4931958349963</v>
      </c>
      <c r="E2541" s="8">
        <v>230.34104129140769</v>
      </c>
      <c r="F2541" s="8">
        <v>230.3858394072779</v>
      </c>
      <c r="G2541" s="7">
        <v>73567</v>
      </c>
      <c r="H2541" s="9">
        <v>16948795.047675211</v>
      </c>
      <c r="I2541" s="5" t="s">
        <v>3670</v>
      </c>
    </row>
    <row r="2542" spans="1:9" x14ac:dyDescent="0.25">
      <c r="A2542" s="6">
        <v>45994.645833333343</v>
      </c>
      <c r="B2542" s="5" t="s">
        <v>17</v>
      </c>
      <c r="C2542" s="8">
        <v>230.16833141257399</v>
      </c>
      <c r="D2542" s="8">
        <v>230.2510134615903</v>
      </c>
      <c r="E2542" s="8">
        <v>230.04625845801399</v>
      </c>
      <c r="F2542" s="8">
        <v>230.16345391938569</v>
      </c>
      <c r="G2542" s="7">
        <v>44807</v>
      </c>
      <c r="H2542" s="9">
        <v>10312933.87976592</v>
      </c>
      <c r="I2542" s="5" t="s">
        <v>3671</v>
      </c>
    </row>
    <row r="2543" spans="1:9" x14ac:dyDescent="0.25">
      <c r="A2543" s="6">
        <v>45994.649305555547</v>
      </c>
      <c r="B2543" s="5" t="s">
        <v>17</v>
      </c>
      <c r="C2543" s="8">
        <v>230.56068474566459</v>
      </c>
      <c r="D2543" s="8">
        <v>230.56949544655899</v>
      </c>
      <c r="E2543" s="8">
        <v>230.2733165141106</v>
      </c>
      <c r="F2543" s="8">
        <v>230.4463309069348</v>
      </c>
      <c r="G2543" s="7">
        <v>70915</v>
      </c>
      <c r="H2543" s="9">
        <v>16342101.55626528</v>
      </c>
      <c r="I2543" s="5" t="s">
        <v>3672</v>
      </c>
    </row>
    <row r="2544" spans="1:9" x14ac:dyDescent="0.25">
      <c r="A2544" s="6">
        <v>45994.652777777781</v>
      </c>
      <c r="B2544" s="5" t="s">
        <v>17</v>
      </c>
      <c r="C2544" s="8">
        <v>230.38195969692271</v>
      </c>
      <c r="D2544" s="8">
        <v>230.4576683895319</v>
      </c>
      <c r="E2544" s="8">
        <v>230.29822708086101</v>
      </c>
      <c r="F2544" s="8">
        <v>230.3730061515177</v>
      </c>
      <c r="G2544" s="7">
        <v>67520</v>
      </c>
      <c r="H2544" s="9">
        <v>15554785.37535047</v>
      </c>
      <c r="I2544" s="5" t="s">
        <v>3673</v>
      </c>
    </row>
    <row r="2545" spans="1:9" x14ac:dyDescent="0.25">
      <c r="A2545" s="6">
        <v>45994.65625</v>
      </c>
      <c r="B2545" s="5" t="s">
        <v>17</v>
      </c>
      <c r="C2545" s="8">
        <v>230.02609687321311</v>
      </c>
      <c r="D2545" s="8">
        <v>230.13480328621779</v>
      </c>
      <c r="E2545" s="8">
        <v>229.97032333959959</v>
      </c>
      <c r="F2545" s="8">
        <v>230.02262890954171</v>
      </c>
      <c r="G2545" s="7">
        <v>23216</v>
      </c>
      <c r="H2545" s="9">
        <v>5340205.3527639201</v>
      </c>
      <c r="I2545" s="5" t="s">
        <v>3674</v>
      </c>
    </row>
    <row r="2546" spans="1:9" x14ac:dyDescent="0.25">
      <c r="A2546" s="6">
        <v>45994.659722222219</v>
      </c>
      <c r="B2546" s="5" t="s">
        <v>17</v>
      </c>
      <c r="C2546" s="8">
        <v>229.7787913492225</v>
      </c>
      <c r="D2546" s="8">
        <v>230.05230510158691</v>
      </c>
      <c r="E2546" s="8">
        <v>229.74495034862349</v>
      </c>
      <c r="F2546" s="8">
        <v>229.82236567806299</v>
      </c>
      <c r="G2546" s="7">
        <v>75307</v>
      </c>
      <c r="H2546" s="9">
        <v>17307232.892117891</v>
      </c>
      <c r="I2546" s="5" t="s">
        <v>3675</v>
      </c>
    </row>
    <row r="2547" spans="1:9" x14ac:dyDescent="0.25">
      <c r="A2547" s="6">
        <v>45994.663194444453</v>
      </c>
      <c r="B2547" s="5" t="s">
        <v>17</v>
      </c>
      <c r="C2547" s="8">
        <v>229.9550359559527</v>
      </c>
      <c r="D2547" s="8">
        <v>230.0570538368205</v>
      </c>
      <c r="E2547" s="8">
        <v>229.7957056885007</v>
      </c>
      <c r="F2547" s="8">
        <v>229.97224161271129</v>
      </c>
      <c r="G2547" s="7">
        <v>47188</v>
      </c>
      <c r="H2547" s="9">
        <v>10851930.137220619</v>
      </c>
      <c r="I2547" s="5" t="s">
        <v>3676</v>
      </c>
    </row>
    <row r="2548" spans="1:9" x14ac:dyDescent="0.25">
      <c r="A2548" s="6">
        <v>45994.666666666657</v>
      </c>
      <c r="B2548" s="5" t="s">
        <v>17</v>
      </c>
      <c r="C2548" s="8">
        <v>230.37207826361009</v>
      </c>
      <c r="D2548" s="8">
        <v>230.42445429748071</v>
      </c>
      <c r="E2548" s="8">
        <v>230.12124770086049</v>
      </c>
      <c r="F2548" s="8">
        <v>230.31760951114089</v>
      </c>
      <c r="G2548" s="7">
        <v>92694</v>
      </c>
      <c r="H2548" s="9">
        <v>21349060.4960257</v>
      </c>
      <c r="I2548" s="5" t="s">
        <v>3677</v>
      </c>
    </row>
    <row r="2549" spans="1:9" x14ac:dyDescent="0.25">
      <c r="A2549" s="6">
        <v>45994.670138888891</v>
      </c>
      <c r="B2549" s="5" t="s">
        <v>17</v>
      </c>
      <c r="C2549" s="8">
        <v>229.9275552012152</v>
      </c>
      <c r="D2549" s="8">
        <v>229.96680803303471</v>
      </c>
      <c r="E2549" s="8">
        <v>229.89290397751799</v>
      </c>
      <c r="F2549" s="8">
        <v>229.91942992899709</v>
      </c>
      <c r="G2549" s="7">
        <v>113262</v>
      </c>
      <c r="H2549" s="9">
        <v>26041134.472618069</v>
      </c>
      <c r="I2549" s="5" t="s">
        <v>3678</v>
      </c>
    </row>
    <row r="2550" spans="1:9" x14ac:dyDescent="0.25">
      <c r="A2550" s="6">
        <v>45994.673611111109</v>
      </c>
      <c r="B2550" s="5" t="s">
        <v>17</v>
      </c>
      <c r="C2550" s="8">
        <v>230.34321818373269</v>
      </c>
      <c r="D2550" s="8">
        <v>230.49228176416369</v>
      </c>
      <c r="E2550" s="8">
        <v>230.17909239839381</v>
      </c>
      <c r="F2550" s="8">
        <v>230.18676367686069</v>
      </c>
      <c r="G2550" s="7">
        <v>46777</v>
      </c>
      <c r="H2550" s="9">
        <v>10767446.24451251</v>
      </c>
      <c r="I2550" s="5" t="s">
        <v>3679</v>
      </c>
    </row>
    <row r="2551" spans="1:9" x14ac:dyDescent="0.25">
      <c r="A2551" s="6">
        <v>45994.677083333343</v>
      </c>
      <c r="B2551" s="5" t="s">
        <v>17</v>
      </c>
      <c r="C2551" s="8">
        <v>230.35943115332969</v>
      </c>
      <c r="D2551" s="8">
        <v>230.37575836350709</v>
      </c>
      <c r="E2551" s="8">
        <v>230.2584437489009</v>
      </c>
      <c r="F2551" s="8">
        <v>230.30798773070001</v>
      </c>
      <c r="G2551" s="7">
        <v>81492</v>
      </c>
      <c r="H2551" s="9">
        <v>18768258.53615021</v>
      </c>
      <c r="I2551" s="5" t="s">
        <v>3680</v>
      </c>
    </row>
    <row r="2552" spans="1:9" x14ac:dyDescent="0.25">
      <c r="A2552" s="6">
        <v>45994.680555555547</v>
      </c>
      <c r="B2552" s="5" t="s">
        <v>17</v>
      </c>
      <c r="C2552" s="8">
        <v>230.48922501805311</v>
      </c>
      <c r="D2552" s="8">
        <v>230.54970926101171</v>
      </c>
      <c r="E2552" s="8">
        <v>230.24743088391261</v>
      </c>
      <c r="F2552" s="8">
        <v>230.34758308553739</v>
      </c>
      <c r="G2552" s="7">
        <v>69380</v>
      </c>
      <c r="H2552" s="9">
        <v>15981515.314474581</v>
      </c>
      <c r="I2552" s="5" t="s">
        <v>3681</v>
      </c>
    </row>
    <row r="2553" spans="1:9" x14ac:dyDescent="0.25">
      <c r="A2553" s="6">
        <v>45994.684027777781</v>
      </c>
      <c r="B2553" s="5" t="s">
        <v>17</v>
      </c>
      <c r="C2553" s="8">
        <v>230.85303938353951</v>
      </c>
      <c r="D2553" s="8">
        <v>230.92742410823189</v>
      </c>
      <c r="E2553" s="8">
        <v>230.8045544190625</v>
      </c>
      <c r="F2553" s="8">
        <v>230.8615228467238</v>
      </c>
      <c r="G2553" s="7">
        <v>56611</v>
      </c>
      <c r="H2553" s="9">
        <v>13069301.669875881</v>
      </c>
      <c r="I2553" s="5" t="s">
        <v>3682</v>
      </c>
    </row>
    <row r="2554" spans="1:9" x14ac:dyDescent="0.25">
      <c r="A2554" s="6">
        <v>45994.6875</v>
      </c>
      <c r="B2554" s="5" t="s">
        <v>17</v>
      </c>
      <c r="C2554" s="8">
        <v>231.2417718469751</v>
      </c>
      <c r="D2554" s="8">
        <v>231.3169640162341</v>
      </c>
      <c r="E2554" s="8">
        <v>231.16022653797921</v>
      </c>
      <c r="F2554" s="8">
        <v>231.17159274514131</v>
      </c>
      <c r="G2554" s="7">
        <v>27050</v>
      </c>
      <c r="H2554" s="9">
        <v>6253191.5837560734</v>
      </c>
      <c r="I2554" s="5" t="s">
        <v>3683</v>
      </c>
    </row>
    <row r="2555" spans="1:9" x14ac:dyDescent="0.25">
      <c r="A2555" s="6">
        <v>45994.690972222219</v>
      </c>
      <c r="B2555" s="5" t="s">
        <v>17</v>
      </c>
      <c r="C2555" s="8">
        <v>230.909185194061</v>
      </c>
      <c r="D2555" s="8">
        <v>231.0739883093463</v>
      </c>
      <c r="E2555" s="8">
        <v>230.79474366230389</v>
      </c>
      <c r="F2555" s="8">
        <v>230.9388286620638</v>
      </c>
      <c r="G2555" s="7">
        <v>112336</v>
      </c>
      <c r="H2555" s="9">
        <v>25942744.256581601</v>
      </c>
      <c r="I2555" s="5" t="s">
        <v>3684</v>
      </c>
    </row>
    <row r="2556" spans="1:9" x14ac:dyDescent="0.25">
      <c r="A2556" s="6">
        <v>45994.694444444453</v>
      </c>
      <c r="B2556" s="5" t="s">
        <v>17</v>
      </c>
      <c r="C2556" s="8">
        <v>230.7588323212554</v>
      </c>
      <c r="D2556" s="8">
        <v>230.8552542603002</v>
      </c>
      <c r="E2556" s="8">
        <v>230.51195744752539</v>
      </c>
      <c r="F2556" s="8">
        <v>230.82819189414721</v>
      </c>
      <c r="G2556" s="7">
        <v>56874</v>
      </c>
      <c r="H2556" s="9">
        <v>13128122.58578773</v>
      </c>
      <c r="I2556" s="5" t="s">
        <v>3685</v>
      </c>
    </row>
    <row r="2557" spans="1:9" x14ac:dyDescent="0.25">
      <c r="A2557" s="6">
        <v>45994.697916666657</v>
      </c>
      <c r="B2557" s="5" t="s">
        <v>17</v>
      </c>
      <c r="C2557" s="8">
        <v>230.70003246997021</v>
      </c>
      <c r="D2557" s="8">
        <v>230.87826719645111</v>
      </c>
      <c r="E2557" s="8">
        <v>230.52081111773629</v>
      </c>
      <c r="F2557" s="8">
        <v>230.66640636706879</v>
      </c>
      <c r="G2557" s="7">
        <v>67268</v>
      </c>
      <c r="H2557" s="9">
        <v>15516467.823499979</v>
      </c>
      <c r="I2557" s="5" t="s">
        <v>3686</v>
      </c>
    </row>
    <row r="2558" spans="1:9" x14ac:dyDescent="0.25">
      <c r="A2558" s="6">
        <v>45994.701388888891</v>
      </c>
      <c r="B2558" s="5" t="s">
        <v>17</v>
      </c>
      <c r="C2558" s="8">
        <v>230.42534874658779</v>
      </c>
      <c r="D2558" s="8">
        <v>230.45579177410471</v>
      </c>
      <c r="E2558" s="8">
        <v>230.2680458974086</v>
      </c>
      <c r="F2558" s="8">
        <v>230.42990353514051</v>
      </c>
      <c r="G2558" s="7">
        <v>73665</v>
      </c>
      <c r="H2558" s="9">
        <v>16974618.843916129</v>
      </c>
      <c r="I2558" s="5" t="s">
        <v>3687</v>
      </c>
    </row>
    <row r="2559" spans="1:9" x14ac:dyDescent="0.25">
      <c r="A2559" s="6">
        <v>45994.704861111109</v>
      </c>
      <c r="B2559" s="5" t="s">
        <v>17</v>
      </c>
      <c r="C2559" s="8">
        <v>230.90397723864189</v>
      </c>
      <c r="D2559" s="8">
        <v>231.00019198138801</v>
      </c>
      <c r="E2559" s="8">
        <v>230.80593985158291</v>
      </c>
      <c r="F2559" s="8">
        <v>230.862026491574</v>
      </c>
      <c r="G2559" s="7">
        <v>75059</v>
      </c>
      <c r="H2559" s="9">
        <v>17328272.84643105</v>
      </c>
      <c r="I2559" s="5" t="s">
        <v>3688</v>
      </c>
    </row>
    <row r="2560" spans="1:9" x14ac:dyDescent="0.25">
      <c r="A2560" s="6">
        <v>45994.708333333343</v>
      </c>
      <c r="B2560" s="5" t="s">
        <v>17</v>
      </c>
      <c r="C2560" s="8">
        <v>230.7693025253453</v>
      </c>
      <c r="D2560" s="8">
        <v>230.90157994807049</v>
      </c>
      <c r="E2560" s="8">
        <v>230.75433350793921</v>
      </c>
      <c r="F2560" s="8">
        <v>230.8035912889903</v>
      </c>
      <c r="G2560" s="7">
        <v>64781</v>
      </c>
      <c r="H2560" s="9">
        <v>14951687.44729208</v>
      </c>
      <c r="I2560" s="5" t="s">
        <v>3689</v>
      </c>
    </row>
    <row r="2561" spans="1:9" x14ac:dyDescent="0.25">
      <c r="A2561" s="6">
        <v>45994.711805555547</v>
      </c>
      <c r="B2561" s="5" t="s">
        <v>17</v>
      </c>
      <c r="C2561" s="8">
        <v>230.8026917334615</v>
      </c>
      <c r="D2561" s="8">
        <v>230.91995840841921</v>
      </c>
      <c r="E2561" s="8">
        <v>230.55422987528431</v>
      </c>
      <c r="F2561" s="8">
        <v>230.75937679293239</v>
      </c>
      <c r="G2561" s="7">
        <v>67761</v>
      </c>
      <c r="H2561" s="9">
        <v>15636486.130865891</v>
      </c>
      <c r="I2561" s="5" t="s">
        <v>3690</v>
      </c>
    </row>
    <row r="2562" spans="1:9" x14ac:dyDescent="0.25">
      <c r="A2562" s="6">
        <v>45994.715277777781</v>
      </c>
      <c r="B2562" s="5" t="s">
        <v>17</v>
      </c>
      <c r="C2562" s="8">
        <v>230.88815040991909</v>
      </c>
      <c r="D2562" s="8">
        <v>230.9319667343637</v>
      </c>
      <c r="E2562" s="8">
        <v>230.72779952508199</v>
      </c>
      <c r="F2562" s="8">
        <v>230.85177344749971</v>
      </c>
      <c r="G2562" s="7">
        <v>32170</v>
      </c>
      <c r="H2562" s="9">
        <v>7426501.5518060662</v>
      </c>
      <c r="I2562" s="5" t="s">
        <v>3691</v>
      </c>
    </row>
    <row r="2563" spans="1:9" x14ac:dyDescent="0.25">
      <c r="A2563" s="6">
        <v>45994.71875</v>
      </c>
      <c r="B2563" s="5" t="s">
        <v>17</v>
      </c>
      <c r="C2563" s="8">
        <v>230.95045529434191</v>
      </c>
      <c r="D2563" s="8">
        <v>231.022372918401</v>
      </c>
      <c r="E2563" s="8">
        <v>230.75530525562331</v>
      </c>
      <c r="F2563" s="8">
        <v>230.98457206269509</v>
      </c>
      <c r="G2563" s="7">
        <v>92587</v>
      </c>
      <c r="H2563" s="9">
        <v>21386168.57356875</v>
      </c>
      <c r="I2563" s="5" t="s">
        <v>3692</v>
      </c>
    </row>
    <row r="2564" spans="1:9" x14ac:dyDescent="0.25">
      <c r="A2564" s="6">
        <v>45994.722222222219</v>
      </c>
      <c r="B2564" s="5" t="s">
        <v>17</v>
      </c>
      <c r="C2564" s="8">
        <v>231.19657364572171</v>
      </c>
      <c r="D2564" s="8">
        <v>231.51826288955729</v>
      </c>
      <c r="E2564" s="8">
        <v>231.17404193194159</v>
      </c>
      <c r="F2564" s="8">
        <v>231.38624850510291</v>
      </c>
      <c r="G2564" s="7">
        <v>95474</v>
      </c>
      <c r="H2564" s="9">
        <v>22091370.68977619</v>
      </c>
      <c r="I2564" s="5" t="s">
        <v>3693</v>
      </c>
    </row>
    <row r="2565" spans="1:9" x14ac:dyDescent="0.25">
      <c r="A2565" s="6">
        <v>45994.725694444453</v>
      </c>
      <c r="B2565" s="5" t="s">
        <v>17</v>
      </c>
      <c r="C2565" s="8">
        <v>231.30250517815111</v>
      </c>
      <c r="D2565" s="8">
        <v>231.38933057642899</v>
      </c>
      <c r="E2565" s="8">
        <v>231.21420932849421</v>
      </c>
      <c r="F2565" s="8">
        <v>231.2624793779145</v>
      </c>
      <c r="G2565" s="7">
        <v>37247</v>
      </c>
      <c r="H2565" s="9">
        <v>8613833.5693891812</v>
      </c>
      <c r="I2565" s="5" t="s">
        <v>3694</v>
      </c>
    </row>
    <row r="2566" spans="1:9" x14ac:dyDescent="0.25">
      <c r="A2566" s="6">
        <v>45994.729166666657</v>
      </c>
      <c r="B2566" s="5" t="s">
        <v>17</v>
      </c>
      <c r="C2566" s="8">
        <v>231.2560069492624</v>
      </c>
      <c r="D2566" s="8">
        <v>231.35220747050241</v>
      </c>
      <c r="E2566" s="8">
        <v>231.00205044496269</v>
      </c>
      <c r="F2566" s="8">
        <v>231.29109332387139</v>
      </c>
      <c r="G2566" s="7">
        <v>45276</v>
      </c>
      <c r="H2566" s="9">
        <v>10471935.5413316</v>
      </c>
      <c r="I2566" s="5" t="s">
        <v>3695</v>
      </c>
    </row>
    <row r="2567" spans="1:9" x14ac:dyDescent="0.25">
      <c r="A2567" s="6">
        <v>45994.732638888891</v>
      </c>
      <c r="B2567" s="5" t="s">
        <v>17</v>
      </c>
      <c r="C2567" s="8">
        <v>231.52042985895011</v>
      </c>
      <c r="D2567" s="8">
        <v>231.56442365689421</v>
      </c>
      <c r="E2567" s="8">
        <v>231.48629839886681</v>
      </c>
      <c r="F2567" s="8">
        <v>231.53557116218269</v>
      </c>
      <c r="G2567" s="7">
        <v>52429</v>
      </c>
      <c r="H2567" s="9">
        <v>12139178.460462069</v>
      </c>
      <c r="I2567" s="5" t="s">
        <v>3696</v>
      </c>
    </row>
    <row r="2568" spans="1:9" x14ac:dyDescent="0.25">
      <c r="A2568" s="6">
        <v>45994.736111111109</v>
      </c>
      <c r="B2568" s="5" t="s">
        <v>17</v>
      </c>
      <c r="C2568" s="8">
        <v>232.0377848430677</v>
      </c>
      <c r="D2568" s="8">
        <v>232.13785345899529</v>
      </c>
      <c r="E2568" s="8">
        <v>232.0185650543084</v>
      </c>
      <c r="F2568" s="8">
        <v>232.09759122791431</v>
      </c>
      <c r="G2568" s="7">
        <v>89959</v>
      </c>
      <c r="H2568" s="9">
        <v>20879267.209271941</v>
      </c>
      <c r="I2568" s="5" t="s">
        <v>3697</v>
      </c>
    </row>
    <row r="2569" spans="1:9" x14ac:dyDescent="0.25">
      <c r="A2569" s="6">
        <v>45994.739583333343</v>
      </c>
      <c r="B2569" s="5" t="s">
        <v>17</v>
      </c>
      <c r="C2569" s="8">
        <v>232.29597937714149</v>
      </c>
      <c r="D2569" s="8">
        <v>232.33400474245011</v>
      </c>
      <c r="E2569" s="8">
        <v>232.22496374220711</v>
      </c>
      <c r="F2569" s="8">
        <v>232.25370926783779</v>
      </c>
      <c r="G2569" s="7">
        <v>94451</v>
      </c>
      <c r="H2569" s="9">
        <v>21936595.09405655</v>
      </c>
      <c r="I2569" s="5" t="s">
        <v>3698</v>
      </c>
    </row>
    <row r="2570" spans="1:9" x14ac:dyDescent="0.25">
      <c r="A2570" s="6">
        <v>45994.743055555547</v>
      </c>
      <c r="B2570" s="5" t="s">
        <v>17</v>
      </c>
      <c r="C2570" s="8">
        <v>232.50497028421941</v>
      </c>
      <c r="D2570" s="8">
        <v>232.87337799129969</v>
      </c>
      <c r="E2570" s="8">
        <v>232.34708318345869</v>
      </c>
      <c r="F2570" s="8">
        <v>232.5644708806434</v>
      </c>
      <c r="G2570" s="7">
        <v>65591</v>
      </c>
      <c r="H2570" s="9">
        <v>15254136.20953228</v>
      </c>
      <c r="I2570" s="5" t="s">
        <v>3699</v>
      </c>
    </row>
    <row r="2571" spans="1:9" x14ac:dyDescent="0.25">
      <c r="A2571" s="6">
        <v>45994.746527777781</v>
      </c>
      <c r="B2571" s="5" t="s">
        <v>17</v>
      </c>
      <c r="C2571" s="8">
        <v>232.59491509100559</v>
      </c>
      <c r="D2571" s="8">
        <v>232.72628632992109</v>
      </c>
      <c r="E2571" s="8">
        <v>232.51425774416921</v>
      </c>
      <c r="F2571" s="8">
        <v>232.66108953324189</v>
      </c>
      <c r="G2571" s="7">
        <v>102671</v>
      </c>
      <c r="H2571" s="9">
        <v>23887546.72346748</v>
      </c>
      <c r="I2571" s="5" t="s">
        <v>3700</v>
      </c>
    </row>
    <row r="2572" spans="1:9" x14ac:dyDescent="0.25">
      <c r="A2572" s="6">
        <v>45994.75</v>
      </c>
      <c r="B2572" s="5" t="s">
        <v>17</v>
      </c>
      <c r="C2572" s="8">
        <v>233.20301364715519</v>
      </c>
      <c r="D2572" s="8">
        <v>233.24867098483551</v>
      </c>
      <c r="E2572" s="8">
        <v>233.1592376033642</v>
      </c>
      <c r="F2572" s="8">
        <v>233.17900580295321</v>
      </c>
      <c r="G2572" s="7">
        <v>66871</v>
      </c>
      <c r="H2572" s="9">
        <v>15592913.29704928</v>
      </c>
      <c r="I2572" s="5" t="s">
        <v>3701</v>
      </c>
    </row>
    <row r="2573" spans="1:9" x14ac:dyDescent="0.25">
      <c r="A2573" s="6">
        <v>45994.753472222219</v>
      </c>
      <c r="B2573" s="5" t="s">
        <v>17</v>
      </c>
      <c r="C2573" s="8">
        <v>232.68883408825809</v>
      </c>
      <c r="D2573" s="8">
        <v>232.7599334307443</v>
      </c>
      <c r="E2573" s="8">
        <v>232.4352656752761</v>
      </c>
      <c r="F2573" s="8">
        <v>232.71255660919749</v>
      </c>
      <c r="G2573" s="7">
        <v>83023</v>
      </c>
      <c r="H2573" s="9">
        <v>19320494.587365411</v>
      </c>
      <c r="I2573" s="5" t="s">
        <v>3702</v>
      </c>
    </row>
    <row r="2574" spans="1:9" x14ac:dyDescent="0.25">
      <c r="A2574" s="6">
        <v>45994.756944444453</v>
      </c>
      <c r="B2574" s="5" t="s">
        <v>17</v>
      </c>
      <c r="C2574" s="8">
        <v>232.55598462675499</v>
      </c>
      <c r="D2574" s="8">
        <v>232.67991647784731</v>
      </c>
      <c r="E2574" s="8">
        <v>232.38289803462149</v>
      </c>
      <c r="F2574" s="8">
        <v>232.58841486262571</v>
      </c>
      <c r="G2574" s="7">
        <v>74819</v>
      </c>
      <c r="H2574" s="9">
        <v>17402032.611606792</v>
      </c>
      <c r="I2574" s="5" t="s">
        <v>3703</v>
      </c>
    </row>
    <row r="2575" spans="1:9" x14ac:dyDescent="0.25">
      <c r="A2575" s="6">
        <v>45994.760416666657</v>
      </c>
      <c r="B2575" s="5" t="s">
        <v>17</v>
      </c>
      <c r="C2575" s="8">
        <v>232.77013123790309</v>
      </c>
      <c r="D2575" s="8">
        <v>233.0649405679635</v>
      </c>
      <c r="E2575" s="8">
        <v>232.76387464810139</v>
      </c>
      <c r="F2575" s="8">
        <v>232.79232101401931</v>
      </c>
      <c r="G2575" s="7">
        <v>82370</v>
      </c>
      <c r="H2575" s="9">
        <v>19175103.481924769</v>
      </c>
      <c r="I2575" s="5" t="s">
        <v>3704</v>
      </c>
    </row>
    <row r="2576" spans="1:9" x14ac:dyDescent="0.25">
      <c r="A2576" s="6">
        <v>45994.763888888891</v>
      </c>
      <c r="B2576" s="5" t="s">
        <v>17</v>
      </c>
      <c r="C2576" s="8">
        <v>232.6576660274124</v>
      </c>
      <c r="D2576" s="8">
        <v>232.76700394794341</v>
      </c>
      <c r="E2576" s="8">
        <v>232.33458575226771</v>
      </c>
      <c r="F2576" s="8">
        <v>232.7406147309149</v>
      </c>
      <c r="G2576" s="7">
        <v>67676</v>
      </c>
      <c r="H2576" s="9">
        <v>15750953.842529399</v>
      </c>
      <c r="I2576" s="5" t="s">
        <v>3705</v>
      </c>
    </row>
    <row r="2577" spans="1:9" x14ac:dyDescent="0.25">
      <c r="A2577" s="6">
        <v>45994.767361111109</v>
      </c>
      <c r="B2577" s="5" t="s">
        <v>17</v>
      </c>
      <c r="C2577" s="8">
        <v>232.83638656971081</v>
      </c>
      <c r="D2577" s="8">
        <v>232.9210066538742</v>
      </c>
      <c r="E2577" s="8">
        <v>232.70000173997559</v>
      </c>
      <c r="F2577" s="8">
        <v>232.88673579156301</v>
      </c>
      <c r="G2577" s="7">
        <v>72353</v>
      </c>
      <c r="H2577" s="9">
        <v>16850053.99472696</v>
      </c>
      <c r="I2577" s="5" t="s">
        <v>3706</v>
      </c>
    </row>
    <row r="2578" spans="1:9" x14ac:dyDescent="0.25">
      <c r="A2578" s="6">
        <v>45994.770833333343</v>
      </c>
      <c r="B2578" s="5" t="s">
        <v>17</v>
      </c>
      <c r="C2578" s="8">
        <v>232.4225318265286</v>
      </c>
      <c r="D2578" s="8">
        <v>232.81169774136549</v>
      </c>
      <c r="E2578" s="8">
        <v>232.37256648621391</v>
      </c>
      <c r="F2578" s="8">
        <v>232.53275568856671</v>
      </c>
      <c r="G2578" s="7">
        <v>82895</v>
      </c>
      <c r="H2578" s="9">
        <v>19275802.782803729</v>
      </c>
      <c r="I2578" s="5" t="s">
        <v>3707</v>
      </c>
    </row>
    <row r="2579" spans="1:9" x14ac:dyDescent="0.25">
      <c r="A2579" s="6">
        <v>45994.774305555547</v>
      </c>
      <c r="B2579" s="5" t="s">
        <v>17</v>
      </c>
      <c r="C2579" s="8">
        <v>232.49284979093201</v>
      </c>
      <c r="D2579" s="8">
        <v>232.64091288711651</v>
      </c>
      <c r="E2579" s="8">
        <v>232.26896573636489</v>
      </c>
      <c r="F2579" s="8">
        <v>232.4259596632611</v>
      </c>
      <c r="G2579" s="7">
        <v>92022</v>
      </c>
      <c r="H2579" s="9">
        <v>21388301.660132609</v>
      </c>
      <c r="I2579" s="5" t="s">
        <v>3708</v>
      </c>
    </row>
    <row r="2580" spans="1:9" x14ac:dyDescent="0.25">
      <c r="A2580" s="6">
        <v>45994.777777777781</v>
      </c>
      <c r="B2580" s="5" t="s">
        <v>17</v>
      </c>
      <c r="C2580" s="8">
        <v>232.41011138575101</v>
      </c>
      <c r="D2580" s="8">
        <v>232.6811239261024</v>
      </c>
      <c r="E2580" s="8">
        <v>232.39788551790389</v>
      </c>
      <c r="F2580" s="8">
        <v>232.562036453302</v>
      </c>
      <c r="G2580" s="7">
        <v>107566</v>
      </c>
      <c r="H2580" s="9">
        <v>25015768.01313588</v>
      </c>
      <c r="I2580" s="5" t="s">
        <v>3709</v>
      </c>
    </row>
    <row r="2581" spans="1:9" x14ac:dyDescent="0.25">
      <c r="A2581" s="6">
        <v>45994.78125</v>
      </c>
      <c r="B2581" s="5" t="s">
        <v>17</v>
      </c>
      <c r="C2581" s="8">
        <v>232.61172916003721</v>
      </c>
      <c r="D2581" s="8">
        <v>232.79038327080229</v>
      </c>
      <c r="E2581" s="8">
        <v>232.4152714570854</v>
      </c>
      <c r="F2581" s="8">
        <v>232.6055633007561</v>
      </c>
      <c r="G2581" s="7">
        <v>84292</v>
      </c>
      <c r="H2581" s="9">
        <v>19606788.141747329</v>
      </c>
      <c r="I2581" s="5" t="s">
        <v>3710</v>
      </c>
    </row>
    <row r="2582" spans="1:9" x14ac:dyDescent="0.25">
      <c r="A2582" s="6">
        <v>45994.784722222219</v>
      </c>
      <c r="B2582" s="5" t="s">
        <v>17</v>
      </c>
      <c r="C2582" s="8">
        <v>232.23415662802191</v>
      </c>
      <c r="D2582" s="8">
        <v>232.62822572356609</v>
      </c>
      <c r="E2582" s="8">
        <v>232.20445691369429</v>
      </c>
      <c r="F2582" s="8">
        <v>232.2106222446771</v>
      </c>
      <c r="G2582" s="7">
        <v>44237</v>
      </c>
      <c r="H2582" s="9">
        <v>10272301.29623778</v>
      </c>
      <c r="I2582" s="5" t="s">
        <v>3711</v>
      </c>
    </row>
    <row r="2583" spans="1:9" x14ac:dyDescent="0.25">
      <c r="A2583" s="6">
        <v>45994.788194444453</v>
      </c>
      <c r="B2583" s="5" t="s">
        <v>17</v>
      </c>
      <c r="C2583" s="8">
        <v>232.1564208234729</v>
      </c>
      <c r="D2583" s="8">
        <v>232.32966750754599</v>
      </c>
      <c r="E2583" s="8">
        <v>231.97744829769729</v>
      </c>
      <c r="F2583" s="8">
        <v>232.26302009551671</v>
      </c>
      <c r="G2583" s="7">
        <v>53176</v>
      </c>
      <c r="H2583" s="9">
        <v>12350818.356599201</v>
      </c>
      <c r="I2583" s="5" t="s">
        <v>3712</v>
      </c>
    </row>
    <row r="2584" spans="1:9" x14ac:dyDescent="0.25">
      <c r="A2584" s="6">
        <v>45994.791666666657</v>
      </c>
      <c r="B2584" s="5" t="s">
        <v>17</v>
      </c>
      <c r="C2584" s="8">
        <v>232.00671953126641</v>
      </c>
      <c r="D2584" s="8">
        <v>232.24063602629349</v>
      </c>
      <c r="E2584" s="8">
        <v>231.99930947709009</v>
      </c>
      <c r="F2584" s="8">
        <v>232.07884790917359</v>
      </c>
      <c r="G2584" s="7">
        <v>93679</v>
      </c>
      <c r="H2584" s="9">
        <v>21740914.393283479</v>
      </c>
      <c r="I2584" s="5" t="s">
        <v>3713</v>
      </c>
    </row>
    <row r="2585" spans="1:9" x14ac:dyDescent="0.25">
      <c r="A2585" s="6">
        <v>45994.795138888891</v>
      </c>
      <c r="B2585" s="5" t="s">
        <v>17</v>
      </c>
      <c r="C2585" s="8">
        <v>232.072390953705</v>
      </c>
      <c r="D2585" s="8">
        <v>232.26712880513799</v>
      </c>
      <c r="E2585" s="8">
        <v>232.02399960320449</v>
      </c>
      <c r="F2585" s="8">
        <v>232.04825940977679</v>
      </c>
      <c r="G2585" s="7">
        <v>50592</v>
      </c>
      <c r="H2585" s="9">
        <v>11739785.540059431</v>
      </c>
      <c r="I2585" s="5" t="s">
        <v>3714</v>
      </c>
    </row>
    <row r="2586" spans="1:9" x14ac:dyDescent="0.25">
      <c r="A2586" s="6">
        <v>45994.798611111109</v>
      </c>
      <c r="B2586" s="5" t="s">
        <v>17</v>
      </c>
      <c r="C2586" s="8">
        <v>231.81053360597241</v>
      </c>
      <c r="D2586" s="8">
        <v>231.97136314110369</v>
      </c>
      <c r="E2586" s="8">
        <v>231.76013990584909</v>
      </c>
      <c r="F2586" s="8">
        <v>231.85054819455661</v>
      </c>
      <c r="G2586" s="7">
        <v>57854</v>
      </c>
      <c r="H2586" s="9">
        <v>13413481.615247879</v>
      </c>
      <c r="I2586" s="5" t="s">
        <v>3715</v>
      </c>
    </row>
    <row r="2587" spans="1:9" x14ac:dyDescent="0.25">
      <c r="A2587" s="6">
        <v>45994.802083333343</v>
      </c>
      <c r="B2587" s="5" t="s">
        <v>17</v>
      </c>
      <c r="C2587" s="8">
        <v>231.96646503447161</v>
      </c>
      <c r="D2587" s="8">
        <v>232.0752227356935</v>
      </c>
      <c r="E2587" s="8">
        <v>231.7761626632107</v>
      </c>
      <c r="F2587" s="8">
        <v>231.91164038819579</v>
      </c>
      <c r="G2587" s="7">
        <v>43270</v>
      </c>
      <c r="H2587" s="9">
        <v>10034816.679597231</v>
      </c>
      <c r="I2587" s="5" t="s">
        <v>3716</v>
      </c>
    </row>
    <row r="2588" spans="1:9" x14ac:dyDescent="0.25">
      <c r="A2588" s="6">
        <v>45994.805555555547</v>
      </c>
      <c r="B2588" s="5" t="s">
        <v>17</v>
      </c>
      <c r="C2588" s="8">
        <v>232.2703276537811</v>
      </c>
      <c r="D2588" s="8">
        <v>232.36942855483031</v>
      </c>
      <c r="E2588" s="8">
        <v>232.19342682386181</v>
      </c>
      <c r="F2588" s="8">
        <v>232.2712909824528</v>
      </c>
      <c r="G2588" s="7">
        <v>38544</v>
      </c>
      <c r="H2588" s="9">
        <v>8952664.6396276597</v>
      </c>
      <c r="I2588" s="5" t="s">
        <v>3717</v>
      </c>
    </row>
    <row r="2589" spans="1:9" x14ac:dyDescent="0.25">
      <c r="A2589" s="6">
        <v>45994.809027777781</v>
      </c>
      <c r="B2589" s="5" t="s">
        <v>17</v>
      </c>
      <c r="C2589" s="8">
        <v>232.16875791752801</v>
      </c>
      <c r="D2589" s="8">
        <v>232.2354982133395</v>
      </c>
      <c r="E2589" s="8">
        <v>231.95449598876499</v>
      </c>
      <c r="F2589" s="8">
        <v>232.0981151213565</v>
      </c>
      <c r="G2589" s="7">
        <v>71127</v>
      </c>
      <c r="H2589" s="9">
        <v>16508442.634236731</v>
      </c>
      <c r="I2589" s="5" t="s">
        <v>3718</v>
      </c>
    </row>
    <row r="2590" spans="1:9" x14ac:dyDescent="0.25">
      <c r="A2590" s="6">
        <v>45994.8125</v>
      </c>
      <c r="B2590" s="5" t="s">
        <v>17</v>
      </c>
      <c r="C2590" s="8">
        <v>231.76872952488131</v>
      </c>
      <c r="D2590" s="8">
        <v>231.85602803606881</v>
      </c>
      <c r="E2590" s="8">
        <v>231.55376146975729</v>
      </c>
      <c r="F2590" s="8">
        <v>231.82891055260799</v>
      </c>
      <c r="G2590" s="7">
        <v>77635</v>
      </c>
      <c r="H2590" s="9">
        <v>17998037.470751729</v>
      </c>
      <c r="I2590" s="5" t="s">
        <v>3719</v>
      </c>
    </row>
    <row r="2591" spans="1:9" x14ac:dyDescent="0.25">
      <c r="A2591" s="6">
        <v>45994.815972222219</v>
      </c>
      <c r="B2591" s="5" t="s">
        <v>17</v>
      </c>
      <c r="C2591" s="8">
        <v>231.3944563135384</v>
      </c>
      <c r="D2591" s="8">
        <v>231.43173902956141</v>
      </c>
      <c r="E2591" s="8">
        <v>231.33190900251051</v>
      </c>
      <c r="F2591" s="8">
        <v>231.35831801809161</v>
      </c>
      <c r="G2591" s="7">
        <v>80620</v>
      </c>
      <c r="H2591" s="9">
        <v>18652107.598618548</v>
      </c>
      <c r="I2591" s="5" t="s">
        <v>3720</v>
      </c>
    </row>
    <row r="2592" spans="1:9" x14ac:dyDescent="0.25">
      <c r="A2592" s="6">
        <v>45994.819444444453</v>
      </c>
      <c r="B2592" s="5" t="s">
        <v>17</v>
      </c>
      <c r="C2592" s="8">
        <v>231.21331114510491</v>
      </c>
      <c r="D2592" s="8">
        <v>231.24316106174609</v>
      </c>
      <c r="E2592" s="8">
        <v>230.99860866182519</v>
      </c>
      <c r="F2592" s="8">
        <v>231.141198977171</v>
      </c>
      <c r="G2592" s="7">
        <v>72280</v>
      </c>
      <c r="H2592" s="9">
        <v>16706885.86206992</v>
      </c>
      <c r="I2592" s="5" t="s">
        <v>3721</v>
      </c>
    </row>
    <row r="2593" spans="1:9" x14ac:dyDescent="0.25">
      <c r="A2593" s="6">
        <v>45994.822916666657</v>
      </c>
      <c r="B2593" s="5" t="s">
        <v>17</v>
      </c>
      <c r="C2593" s="8">
        <v>230.87786384753909</v>
      </c>
      <c r="D2593" s="8">
        <v>231.05065475439949</v>
      </c>
      <c r="E2593" s="8">
        <v>230.8068109364591</v>
      </c>
      <c r="F2593" s="8">
        <v>230.94211596933019</v>
      </c>
      <c r="G2593" s="7">
        <v>85476</v>
      </c>
      <c r="H2593" s="9">
        <v>19740008.304594468</v>
      </c>
      <c r="I2593" s="5" t="s">
        <v>3722</v>
      </c>
    </row>
    <row r="2594" spans="1:9" x14ac:dyDescent="0.25">
      <c r="A2594" s="6">
        <v>45994.826388888891</v>
      </c>
      <c r="B2594" s="5" t="s">
        <v>17</v>
      </c>
      <c r="C2594" s="8">
        <v>230.97062567055011</v>
      </c>
      <c r="D2594" s="8">
        <v>230.9937114505754</v>
      </c>
      <c r="E2594" s="8">
        <v>230.76339551468959</v>
      </c>
      <c r="F2594" s="8">
        <v>230.83534512000099</v>
      </c>
      <c r="G2594" s="7">
        <v>66477</v>
      </c>
      <c r="H2594" s="9">
        <v>15345241.237542311</v>
      </c>
      <c r="I2594" s="5" t="s">
        <v>3723</v>
      </c>
    </row>
    <row r="2595" spans="1:9" x14ac:dyDescent="0.25">
      <c r="A2595" s="6">
        <v>45994.829861111109</v>
      </c>
      <c r="B2595" s="5" t="s">
        <v>17</v>
      </c>
      <c r="C2595" s="8">
        <v>230.742977577369</v>
      </c>
      <c r="D2595" s="8">
        <v>230.83931555195969</v>
      </c>
      <c r="E2595" s="8">
        <v>230.6556501421806</v>
      </c>
      <c r="F2595" s="8">
        <v>230.82546853789489</v>
      </c>
      <c r="G2595" s="7">
        <v>44775</v>
      </c>
      <c r="H2595" s="9">
        <v>10335210.35378425</v>
      </c>
      <c r="I2595" s="5" t="s">
        <v>3724</v>
      </c>
    </row>
    <row r="2596" spans="1:9" x14ac:dyDescent="0.25">
      <c r="A2596" s="6">
        <v>45994.833333333343</v>
      </c>
      <c r="B2596" s="5" t="s">
        <v>17</v>
      </c>
      <c r="C2596" s="8">
        <v>230.6118172071819</v>
      </c>
      <c r="D2596" s="8">
        <v>230.68026259390729</v>
      </c>
      <c r="E2596" s="8">
        <v>230.59056626382781</v>
      </c>
      <c r="F2596" s="8">
        <v>230.59596618671799</v>
      </c>
      <c r="G2596" s="7">
        <v>47926</v>
      </c>
      <c r="H2596" s="9">
        <v>11051542.27546465</v>
      </c>
      <c r="I2596" s="5" t="s">
        <v>3725</v>
      </c>
    </row>
    <row r="2597" spans="1:9" x14ac:dyDescent="0.25">
      <c r="A2597" s="6">
        <v>45994.836805555547</v>
      </c>
      <c r="B2597" s="5" t="s">
        <v>17</v>
      </c>
      <c r="C2597" s="8">
        <v>230.23727350805561</v>
      </c>
      <c r="D2597" s="8">
        <v>230.48212757413719</v>
      </c>
      <c r="E2597" s="8">
        <v>230.15995475951561</v>
      </c>
      <c r="F2597" s="8">
        <v>230.31385247685461</v>
      </c>
      <c r="G2597" s="7">
        <v>65617</v>
      </c>
      <c r="H2597" s="9">
        <v>15112504.05797377</v>
      </c>
      <c r="I2597" s="5" t="s">
        <v>3726</v>
      </c>
    </row>
    <row r="2598" spans="1:9" x14ac:dyDescent="0.25">
      <c r="A2598" s="6">
        <v>45994.840277777781</v>
      </c>
      <c r="B2598" s="5" t="s">
        <v>17</v>
      </c>
      <c r="C2598" s="8">
        <v>230.34860823691989</v>
      </c>
      <c r="D2598" s="8">
        <v>230.54597958655259</v>
      </c>
      <c r="E2598" s="8">
        <v>230.1199972792428</v>
      </c>
      <c r="F2598" s="8">
        <v>230.4324471169021</v>
      </c>
      <c r="G2598" s="7">
        <v>47788</v>
      </c>
      <c r="H2598" s="9">
        <v>11011905.78282252</v>
      </c>
      <c r="I2598" s="5" t="s">
        <v>3727</v>
      </c>
    </row>
    <row r="2599" spans="1:9" x14ac:dyDescent="0.25">
      <c r="A2599" s="6">
        <v>45994.84375</v>
      </c>
      <c r="B2599" s="5" t="s">
        <v>17</v>
      </c>
      <c r="C2599" s="8">
        <v>230.24548194821</v>
      </c>
      <c r="D2599" s="8">
        <v>230.54513990464801</v>
      </c>
      <c r="E2599" s="8">
        <v>230.11033095922321</v>
      </c>
      <c r="F2599" s="8">
        <v>230.287264539886</v>
      </c>
      <c r="G2599" s="7">
        <v>31939</v>
      </c>
      <c r="H2599" s="9">
        <v>7355144.9421394179</v>
      </c>
      <c r="I2599" s="5" t="s">
        <v>3728</v>
      </c>
    </row>
    <row r="2600" spans="1:9" x14ac:dyDescent="0.25">
      <c r="A2600" s="6">
        <v>45994.847222222219</v>
      </c>
      <c r="B2600" s="5" t="s">
        <v>17</v>
      </c>
      <c r="C2600" s="8">
        <v>230.46854725258279</v>
      </c>
      <c r="D2600" s="8">
        <v>230.49207023455139</v>
      </c>
      <c r="E2600" s="8">
        <v>230.40313596067369</v>
      </c>
      <c r="F2600" s="8">
        <v>230.44712579055999</v>
      </c>
      <c r="G2600" s="7">
        <v>48704</v>
      </c>
      <c r="H2600" s="9">
        <v>11223696.814503441</v>
      </c>
      <c r="I2600" s="5" t="s">
        <v>3729</v>
      </c>
    </row>
    <row r="2601" spans="1:9" x14ac:dyDescent="0.25">
      <c r="A2601" s="6">
        <v>45994.850694444453</v>
      </c>
      <c r="B2601" s="5" t="s">
        <v>17</v>
      </c>
      <c r="C2601" s="8">
        <v>230.3566121266295</v>
      </c>
      <c r="D2601" s="8">
        <v>230.42836147179321</v>
      </c>
      <c r="E2601" s="8">
        <v>230.14292160992039</v>
      </c>
      <c r="F2601" s="8">
        <v>230.26576786647331</v>
      </c>
      <c r="G2601" s="7">
        <v>80111</v>
      </c>
      <c r="H2601" s="9">
        <v>18446820.929551039</v>
      </c>
      <c r="I2601" s="5" t="s">
        <v>3730</v>
      </c>
    </row>
    <row r="2602" spans="1:9" x14ac:dyDescent="0.25">
      <c r="A2602" s="6">
        <v>45994.854166666657</v>
      </c>
      <c r="B2602" s="5" t="s">
        <v>17</v>
      </c>
      <c r="C2602" s="8">
        <v>230.5848199400034</v>
      </c>
      <c r="D2602" s="8">
        <v>230.70252643722091</v>
      </c>
      <c r="E2602" s="8">
        <v>230.55385500971039</v>
      </c>
      <c r="F2602" s="8">
        <v>230.67662202683931</v>
      </c>
      <c r="G2602" s="7">
        <v>39943</v>
      </c>
      <c r="H2602" s="9">
        <v>9213916.3136180416</v>
      </c>
      <c r="I2602" s="5" t="s">
        <v>3731</v>
      </c>
    </row>
    <row r="2603" spans="1:9" x14ac:dyDescent="0.25">
      <c r="A2603" s="6">
        <v>45994.857638888891</v>
      </c>
      <c r="B2603" s="5" t="s">
        <v>17</v>
      </c>
      <c r="C2603" s="8">
        <v>230.4397523469865</v>
      </c>
      <c r="D2603" s="8">
        <v>230.46975832632489</v>
      </c>
      <c r="E2603" s="8">
        <v>230.32511510951409</v>
      </c>
      <c r="F2603" s="8">
        <v>230.41086090533071</v>
      </c>
      <c r="G2603" s="7">
        <v>34815</v>
      </c>
      <c r="H2603" s="9">
        <v>8021754.12241909</v>
      </c>
      <c r="I2603" s="5" t="s">
        <v>3732</v>
      </c>
    </row>
    <row r="2604" spans="1:9" x14ac:dyDescent="0.25">
      <c r="A2604" s="6">
        <v>45994.861111111109</v>
      </c>
      <c r="B2604" s="5" t="s">
        <v>17</v>
      </c>
      <c r="C2604" s="8">
        <v>230.0724846250445</v>
      </c>
      <c r="D2604" s="8">
        <v>230.17565502344519</v>
      </c>
      <c r="E2604" s="8">
        <v>230.0528958916108</v>
      </c>
      <c r="F2604" s="8">
        <v>230.1385123084649</v>
      </c>
      <c r="G2604" s="7">
        <v>49998</v>
      </c>
      <c r="H2604" s="9">
        <v>11506465.33839863</v>
      </c>
      <c r="I2604" s="5" t="s">
        <v>3733</v>
      </c>
    </row>
    <row r="2605" spans="1:9" x14ac:dyDescent="0.25">
      <c r="A2605" s="6">
        <v>45994.864583333343</v>
      </c>
      <c r="B2605" s="5" t="s">
        <v>17</v>
      </c>
      <c r="C2605" s="8">
        <v>229.63454532839719</v>
      </c>
      <c r="D2605" s="8">
        <v>229.90273508775181</v>
      </c>
      <c r="E2605" s="8">
        <v>229.51423917432751</v>
      </c>
      <c r="F2605" s="8">
        <v>229.69948472750301</v>
      </c>
      <c r="G2605" s="7">
        <v>64636</v>
      </c>
      <c r="H2605" s="9">
        <v>14846855.894846881</v>
      </c>
      <c r="I2605" s="5" t="s">
        <v>3734</v>
      </c>
    </row>
    <row r="2606" spans="1:9" x14ac:dyDescent="0.25">
      <c r="A2606" s="6">
        <v>45994.868055555547</v>
      </c>
      <c r="B2606" s="5" t="s">
        <v>17</v>
      </c>
      <c r="C2606" s="8">
        <v>229.58735801177161</v>
      </c>
      <c r="D2606" s="8">
        <v>229.68258270662591</v>
      </c>
      <c r="E2606" s="8">
        <v>229.30722331428819</v>
      </c>
      <c r="F2606" s="8">
        <v>229.57134519918611</v>
      </c>
      <c r="G2606" s="7">
        <v>52314</v>
      </c>
      <c r="H2606" s="9">
        <v>12009795.352750219</v>
      </c>
      <c r="I2606" s="5" t="s">
        <v>3735</v>
      </c>
    </row>
    <row r="2607" spans="1:9" x14ac:dyDescent="0.25">
      <c r="A2607" s="6">
        <v>45994.871527777781</v>
      </c>
      <c r="B2607" s="5" t="s">
        <v>17</v>
      </c>
      <c r="C2607" s="8">
        <v>229.76733921916761</v>
      </c>
      <c r="D2607" s="8">
        <v>229.95288176412211</v>
      </c>
      <c r="E2607" s="8">
        <v>229.76646101929461</v>
      </c>
      <c r="F2607" s="8">
        <v>229.8327935859356</v>
      </c>
      <c r="G2607" s="7">
        <v>68724</v>
      </c>
      <c r="H2607" s="9">
        <v>15795028.90639984</v>
      </c>
      <c r="I2607" s="5" t="s">
        <v>3736</v>
      </c>
    </row>
    <row r="2608" spans="1:9" x14ac:dyDescent="0.25">
      <c r="A2608" s="6">
        <v>45994.875</v>
      </c>
      <c r="B2608" s="5" t="s">
        <v>17</v>
      </c>
      <c r="C2608" s="8">
        <v>229.56537274095231</v>
      </c>
      <c r="D2608" s="8">
        <v>229.58329010087209</v>
      </c>
      <c r="E2608" s="8">
        <v>229.5025209186538</v>
      </c>
      <c r="F2608" s="8">
        <v>229.50439228879921</v>
      </c>
      <c r="G2608" s="7">
        <v>63673</v>
      </c>
      <c r="H2608" s="9">
        <v>14613233.17020471</v>
      </c>
      <c r="I2608" s="5" t="s">
        <v>3737</v>
      </c>
    </row>
    <row r="2609" spans="1:9" x14ac:dyDescent="0.25">
      <c r="A2609" s="6">
        <v>45995.604166666657</v>
      </c>
      <c r="B2609" s="5" t="s">
        <v>17</v>
      </c>
      <c r="C2609" s="8">
        <v>229.51578322497301</v>
      </c>
      <c r="D2609" s="8">
        <v>229.54338258280799</v>
      </c>
      <c r="E2609" s="8">
        <v>229.40873022346361</v>
      </c>
      <c r="F2609" s="8">
        <v>229.45103909436381</v>
      </c>
      <c r="G2609" s="7">
        <v>56601</v>
      </c>
      <c r="H2609" s="9">
        <v>12987158.263780089</v>
      </c>
      <c r="I2609" s="5" t="s">
        <v>3738</v>
      </c>
    </row>
    <row r="2610" spans="1:9" x14ac:dyDescent="0.25">
      <c r="A2610" s="6">
        <v>45995.607638888891</v>
      </c>
      <c r="B2610" s="5" t="s">
        <v>17</v>
      </c>
      <c r="C2610" s="8">
        <v>229.50430309722671</v>
      </c>
      <c r="D2610" s="8">
        <v>229.6793839962813</v>
      </c>
      <c r="E2610" s="8">
        <v>229.39979518116911</v>
      </c>
      <c r="F2610" s="8">
        <v>229.4991142381524</v>
      </c>
      <c r="G2610" s="7">
        <v>39470</v>
      </c>
      <c r="H2610" s="9">
        <v>9058330.0389798749</v>
      </c>
      <c r="I2610" s="5" t="s">
        <v>3739</v>
      </c>
    </row>
    <row r="2611" spans="1:9" x14ac:dyDescent="0.25">
      <c r="A2611" s="6">
        <v>45995.611111111109</v>
      </c>
      <c r="B2611" s="5" t="s">
        <v>17</v>
      </c>
      <c r="C2611" s="8">
        <v>229.6322008217268</v>
      </c>
      <c r="D2611" s="8">
        <v>229.78276526614459</v>
      </c>
      <c r="E2611" s="8">
        <v>229.61292007273479</v>
      </c>
      <c r="F2611" s="8">
        <v>229.6156812241116</v>
      </c>
      <c r="G2611" s="7">
        <v>52090</v>
      </c>
      <c r="H2611" s="9">
        <v>11960680.834963979</v>
      </c>
      <c r="I2611" s="5" t="s">
        <v>3740</v>
      </c>
    </row>
    <row r="2612" spans="1:9" x14ac:dyDescent="0.25">
      <c r="A2612" s="6">
        <v>45995.614583333343</v>
      </c>
      <c r="B2612" s="5" t="s">
        <v>17</v>
      </c>
      <c r="C2612" s="8">
        <v>229.58410969191979</v>
      </c>
      <c r="D2612" s="8">
        <v>229.78077573652479</v>
      </c>
      <c r="E2612" s="8">
        <v>229.5691518980706</v>
      </c>
      <c r="F2612" s="8">
        <v>229.6467792612448</v>
      </c>
      <c r="G2612" s="7">
        <v>84619</v>
      </c>
      <c r="H2612" s="9">
        <v>19432480.81430728</v>
      </c>
      <c r="I2612" s="5" t="s">
        <v>3741</v>
      </c>
    </row>
    <row r="2613" spans="1:9" x14ac:dyDescent="0.25">
      <c r="A2613" s="6">
        <v>45995.618055555547</v>
      </c>
      <c r="B2613" s="5" t="s">
        <v>17</v>
      </c>
      <c r="C2613" s="8">
        <v>229.47153757906199</v>
      </c>
      <c r="D2613" s="8">
        <v>229.5663737236186</v>
      </c>
      <c r="E2613" s="8">
        <v>229.27855488984261</v>
      </c>
      <c r="F2613" s="8">
        <v>229.52136221026981</v>
      </c>
      <c r="G2613" s="7">
        <v>47462</v>
      </c>
      <c r="H2613" s="9">
        <v>10893542.89322383</v>
      </c>
      <c r="I2613" s="5" t="s">
        <v>3742</v>
      </c>
    </row>
    <row r="2614" spans="1:9" x14ac:dyDescent="0.25">
      <c r="A2614" s="6">
        <v>45995.621527777781</v>
      </c>
      <c r="B2614" s="5" t="s">
        <v>17</v>
      </c>
      <c r="C2614" s="8">
        <v>229.76139755449671</v>
      </c>
      <c r="D2614" s="8">
        <v>229.8117373371812</v>
      </c>
      <c r="E2614" s="8">
        <v>229.5638817810966</v>
      </c>
      <c r="F2614" s="8">
        <v>229.8045614541245</v>
      </c>
      <c r="G2614" s="7">
        <v>82484</v>
      </c>
      <c r="H2614" s="9">
        <v>18955199.446982</v>
      </c>
      <c r="I2614" s="5" t="s">
        <v>3743</v>
      </c>
    </row>
    <row r="2615" spans="1:9" x14ac:dyDescent="0.25">
      <c r="A2615" s="6">
        <v>45995.625</v>
      </c>
      <c r="B2615" s="5" t="s">
        <v>17</v>
      </c>
      <c r="C2615" s="8">
        <v>229.47052266519961</v>
      </c>
      <c r="D2615" s="8">
        <v>229.57880482796469</v>
      </c>
      <c r="E2615" s="8">
        <v>229.3227194315659</v>
      </c>
      <c r="F2615" s="8">
        <v>229.55534016220631</v>
      </c>
      <c r="G2615" s="7">
        <v>29932</v>
      </c>
      <c r="H2615" s="9">
        <v>6871050.4417351596</v>
      </c>
      <c r="I2615" s="5" t="s">
        <v>3744</v>
      </c>
    </row>
    <row r="2616" spans="1:9" x14ac:dyDescent="0.25">
      <c r="A2616" s="6">
        <v>45995.628472222219</v>
      </c>
      <c r="B2616" s="5" t="s">
        <v>17</v>
      </c>
      <c r="C2616" s="8">
        <v>229.33781588312419</v>
      </c>
      <c r="D2616" s="8">
        <v>229.4075385874269</v>
      </c>
      <c r="E2616" s="8">
        <v>229.2707820881123</v>
      </c>
      <c r="F2616" s="8">
        <v>229.3242562620168</v>
      </c>
      <c r="G2616" s="7">
        <v>75762</v>
      </c>
      <c r="H2616" s="9">
        <v>17374064.302922919</v>
      </c>
      <c r="I2616" s="5" t="s">
        <v>3745</v>
      </c>
    </row>
    <row r="2617" spans="1:9" x14ac:dyDescent="0.25">
      <c r="A2617" s="6">
        <v>45995.631944444453</v>
      </c>
      <c r="B2617" s="5" t="s">
        <v>17</v>
      </c>
      <c r="C2617" s="8">
        <v>229.5162565171014</v>
      </c>
      <c r="D2617" s="8">
        <v>229.52444973390041</v>
      </c>
      <c r="E2617" s="8">
        <v>229.25605500210639</v>
      </c>
      <c r="F2617" s="8">
        <v>229.42383997746711</v>
      </c>
      <c r="G2617" s="7">
        <v>52954</v>
      </c>
      <c r="H2617" s="9">
        <v>12148910.02216679</v>
      </c>
      <c r="I2617" s="5" t="s">
        <v>3746</v>
      </c>
    </row>
    <row r="2618" spans="1:9" x14ac:dyDescent="0.25">
      <c r="A2618" s="6">
        <v>45995.635416666657</v>
      </c>
      <c r="B2618" s="5" t="s">
        <v>17</v>
      </c>
      <c r="C2618" s="8">
        <v>229.74256773213659</v>
      </c>
      <c r="D2618" s="8">
        <v>229.88033647539581</v>
      </c>
      <c r="E2618" s="8">
        <v>229.268942944538</v>
      </c>
      <c r="F2618" s="8">
        <v>229.6849390360359</v>
      </c>
      <c r="G2618" s="7">
        <v>66672</v>
      </c>
      <c r="H2618" s="9">
        <v>15313554.25541058</v>
      </c>
      <c r="I2618" s="5" t="s">
        <v>3747</v>
      </c>
    </row>
    <row r="2619" spans="1:9" x14ac:dyDescent="0.25">
      <c r="A2619" s="6">
        <v>45995.638888888891</v>
      </c>
      <c r="B2619" s="5" t="s">
        <v>17</v>
      </c>
      <c r="C2619" s="8">
        <v>229.87426884447831</v>
      </c>
      <c r="D2619" s="8">
        <v>230.00717103577131</v>
      </c>
      <c r="E2619" s="8">
        <v>229.71986917534579</v>
      </c>
      <c r="F2619" s="8">
        <v>229.81060184941239</v>
      </c>
      <c r="G2619" s="7">
        <v>76502</v>
      </c>
      <c r="H2619" s="9">
        <v>17580970.662683751</v>
      </c>
      <c r="I2619" s="5" t="s">
        <v>3748</v>
      </c>
    </row>
    <row r="2620" spans="1:9" x14ac:dyDescent="0.25">
      <c r="A2620" s="6">
        <v>45995.642361111109</v>
      </c>
      <c r="B2620" s="5" t="s">
        <v>17</v>
      </c>
      <c r="C2620" s="8">
        <v>229.76595700317151</v>
      </c>
      <c r="D2620" s="8">
        <v>229.9876925535261</v>
      </c>
      <c r="E2620" s="8">
        <v>229.75438049234111</v>
      </c>
      <c r="F2620" s="8">
        <v>229.8062624171429</v>
      </c>
      <c r="G2620" s="7">
        <v>47950</v>
      </c>
      <c r="H2620" s="9">
        <v>11019210.282902</v>
      </c>
      <c r="I2620" s="5" t="s">
        <v>3749</v>
      </c>
    </row>
    <row r="2621" spans="1:9" x14ac:dyDescent="0.25">
      <c r="A2621" s="6">
        <v>45995.645833333343</v>
      </c>
      <c r="B2621" s="5" t="s">
        <v>17</v>
      </c>
      <c r="C2621" s="8">
        <v>229.61257131995319</v>
      </c>
      <c r="D2621" s="8">
        <v>229.76161873026371</v>
      </c>
      <c r="E2621" s="8">
        <v>229.48062269499081</v>
      </c>
      <c r="F2621" s="8">
        <v>229.50859488178131</v>
      </c>
      <c r="G2621" s="7">
        <v>39294</v>
      </c>
      <c r="H2621" s="9">
        <v>9018310.7272847164</v>
      </c>
      <c r="I2621" s="5" t="s">
        <v>3750</v>
      </c>
    </row>
    <row r="2622" spans="1:9" x14ac:dyDescent="0.25">
      <c r="A2622" s="6">
        <v>45995.649305555547</v>
      </c>
      <c r="B2622" s="5" t="s">
        <v>17</v>
      </c>
      <c r="C2622" s="8">
        <v>229.50361540242631</v>
      </c>
      <c r="D2622" s="8">
        <v>229.56796968218109</v>
      </c>
      <c r="E2622" s="8">
        <v>229.30012292348749</v>
      </c>
      <c r="F2622" s="8">
        <v>229.49820069517659</v>
      </c>
      <c r="G2622" s="7">
        <v>84161</v>
      </c>
      <c r="H2622" s="9">
        <v>19314798.068706758</v>
      </c>
      <c r="I2622" s="5" t="s">
        <v>3751</v>
      </c>
    </row>
    <row r="2623" spans="1:9" x14ac:dyDescent="0.25">
      <c r="A2623" s="6">
        <v>45995.652777777781</v>
      </c>
      <c r="B2623" s="5" t="s">
        <v>17</v>
      </c>
      <c r="C2623" s="8">
        <v>229.29614296364099</v>
      </c>
      <c r="D2623" s="8">
        <v>229.5226488412562</v>
      </c>
      <c r="E2623" s="8">
        <v>229.20349699050411</v>
      </c>
      <c r="F2623" s="8">
        <v>229.2684441028924</v>
      </c>
      <c r="G2623" s="7">
        <v>76415</v>
      </c>
      <c r="H2623" s="9">
        <v>17519548.156122521</v>
      </c>
      <c r="I2623" s="5" t="s">
        <v>3752</v>
      </c>
    </row>
    <row r="2624" spans="1:9" x14ac:dyDescent="0.25">
      <c r="A2624" s="6">
        <v>45995.65625</v>
      </c>
      <c r="B2624" s="5" t="s">
        <v>17</v>
      </c>
      <c r="C2624" s="8">
        <v>229.38403689557421</v>
      </c>
      <c r="D2624" s="8">
        <v>229.76727420635541</v>
      </c>
      <c r="E2624" s="8">
        <v>229.25818367464879</v>
      </c>
      <c r="F2624" s="8">
        <v>229.5541368809597</v>
      </c>
      <c r="G2624" s="7">
        <v>77329</v>
      </c>
      <c r="H2624" s="9">
        <v>17751191.85086773</v>
      </c>
      <c r="I2624" s="5" t="s">
        <v>3753</v>
      </c>
    </row>
    <row r="2625" spans="1:9" x14ac:dyDescent="0.25">
      <c r="A2625" s="6">
        <v>45995.659722222219</v>
      </c>
      <c r="B2625" s="5" t="s">
        <v>17</v>
      </c>
      <c r="C2625" s="8">
        <v>229.3599882249984</v>
      </c>
      <c r="D2625" s="8">
        <v>229.43268440131649</v>
      </c>
      <c r="E2625" s="8">
        <v>229.32424178473781</v>
      </c>
      <c r="F2625" s="8">
        <v>229.35477288240079</v>
      </c>
      <c r="G2625" s="7">
        <v>72550</v>
      </c>
      <c r="H2625" s="9">
        <v>16639688.77261818</v>
      </c>
      <c r="I2625" s="5" t="s">
        <v>3754</v>
      </c>
    </row>
    <row r="2626" spans="1:9" x14ac:dyDescent="0.25">
      <c r="A2626" s="6">
        <v>45995.663194444453</v>
      </c>
      <c r="B2626" s="5" t="s">
        <v>17</v>
      </c>
      <c r="C2626" s="8">
        <v>229.21570034951469</v>
      </c>
      <c r="D2626" s="8">
        <v>229.36957181010411</v>
      </c>
      <c r="E2626" s="8">
        <v>229.0102802082836</v>
      </c>
      <c r="F2626" s="8">
        <v>229.26221180320169</v>
      </c>
      <c r="G2626" s="7">
        <v>59714</v>
      </c>
      <c r="H2626" s="9">
        <v>13690163.715616381</v>
      </c>
      <c r="I2626" s="5" t="s">
        <v>3755</v>
      </c>
    </row>
    <row r="2627" spans="1:9" x14ac:dyDescent="0.25">
      <c r="A2627" s="6">
        <v>45995.666666666657</v>
      </c>
      <c r="B2627" s="5" t="s">
        <v>17</v>
      </c>
      <c r="C2627" s="8">
        <v>229.24798572184741</v>
      </c>
      <c r="D2627" s="8">
        <v>229.31380584282161</v>
      </c>
      <c r="E2627" s="8">
        <v>228.97769493916169</v>
      </c>
      <c r="F2627" s="8">
        <v>229.14269983421349</v>
      </c>
      <c r="G2627" s="7">
        <v>23707</v>
      </c>
      <c r="H2627" s="9">
        <v>5432285.9849696988</v>
      </c>
      <c r="I2627" s="5" t="s">
        <v>3756</v>
      </c>
    </row>
    <row r="2628" spans="1:9" x14ac:dyDescent="0.25">
      <c r="A2628" s="6">
        <v>45995.670138888891</v>
      </c>
      <c r="B2628" s="5" t="s">
        <v>17</v>
      </c>
      <c r="C2628" s="8">
        <v>229.25753481229091</v>
      </c>
      <c r="D2628" s="8">
        <v>229.41181739176059</v>
      </c>
      <c r="E2628" s="8">
        <v>228.99024154984599</v>
      </c>
      <c r="F2628" s="8">
        <v>229.23655969253031</v>
      </c>
      <c r="G2628" s="7">
        <v>69998</v>
      </c>
      <c r="H2628" s="9">
        <v>16046100.70535773</v>
      </c>
      <c r="I2628" s="5" t="s">
        <v>3757</v>
      </c>
    </row>
    <row r="2629" spans="1:9" x14ac:dyDescent="0.25">
      <c r="A2629" s="6">
        <v>45995.673611111109</v>
      </c>
      <c r="B2629" s="5" t="s">
        <v>17</v>
      </c>
      <c r="C2629" s="8">
        <v>229.5560928508379</v>
      </c>
      <c r="D2629" s="8">
        <v>229.64799315375399</v>
      </c>
      <c r="E2629" s="8">
        <v>229.4088502698286</v>
      </c>
      <c r="F2629" s="8">
        <v>229.57869642323311</v>
      </c>
      <c r="G2629" s="7">
        <v>66629</v>
      </c>
      <c r="H2629" s="9">
        <v>15296598.963983599</v>
      </c>
      <c r="I2629" s="5" t="s">
        <v>3758</v>
      </c>
    </row>
    <row r="2630" spans="1:9" x14ac:dyDescent="0.25">
      <c r="A2630" s="6">
        <v>45995.677083333343</v>
      </c>
      <c r="B2630" s="5" t="s">
        <v>17</v>
      </c>
      <c r="C2630" s="8">
        <v>229.75298518025721</v>
      </c>
      <c r="D2630" s="8">
        <v>229.85238376516631</v>
      </c>
      <c r="E2630" s="8">
        <v>229.71357932386101</v>
      </c>
      <c r="F2630" s="8">
        <v>229.81150243821611</v>
      </c>
      <c r="G2630" s="7">
        <v>59771</v>
      </c>
      <c r="H2630" s="9">
        <v>13736063.31223462</v>
      </c>
      <c r="I2630" s="5" t="s">
        <v>3759</v>
      </c>
    </row>
    <row r="2631" spans="1:9" x14ac:dyDescent="0.25">
      <c r="A2631" s="6">
        <v>45995.680555555547</v>
      </c>
      <c r="B2631" s="5" t="s">
        <v>17</v>
      </c>
      <c r="C2631" s="8">
        <v>230.20296990965261</v>
      </c>
      <c r="D2631" s="8">
        <v>230.2238760288312</v>
      </c>
      <c r="E2631" s="8">
        <v>229.80234651821871</v>
      </c>
      <c r="F2631" s="8">
        <v>230.00230350583311</v>
      </c>
      <c r="G2631" s="7">
        <v>55529</v>
      </c>
      <c r="H2631" s="9">
        <v>12771797.911375411</v>
      </c>
      <c r="I2631" s="5" t="s">
        <v>3760</v>
      </c>
    </row>
    <row r="2632" spans="1:9" x14ac:dyDescent="0.25">
      <c r="A2632" s="6">
        <v>45995.684027777781</v>
      </c>
      <c r="B2632" s="5" t="s">
        <v>17</v>
      </c>
      <c r="C2632" s="8">
        <v>229.60185223110159</v>
      </c>
      <c r="D2632" s="8">
        <v>229.83310400180369</v>
      </c>
      <c r="E2632" s="8">
        <v>229.31848973422029</v>
      </c>
      <c r="F2632" s="8">
        <v>229.7034179924606</v>
      </c>
      <c r="G2632" s="7">
        <v>56316</v>
      </c>
      <c r="H2632" s="9">
        <v>12935977.68766341</v>
      </c>
      <c r="I2632" s="5" t="s">
        <v>3761</v>
      </c>
    </row>
    <row r="2633" spans="1:9" x14ac:dyDescent="0.25">
      <c r="A2633" s="6">
        <v>45995.6875</v>
      </c>
      <c r="B2633" s="5" t="s">
        <v>17</v>
      </c>
      <c r="C2633" s="8">
        <v>229.6891408496142</v>
      </c>
      <c r="D2633" s="8">
        <v>229.89829083871521</v>
      </c>
      <c r="E2633" s="8">
        <v>229.51518407302191</v>
      </c>
      <c r="F2633" s="8">
        <v>229.84314797088291</v>
      </c>
      <c r="G2633" s="7">
        <v>93355</v>
      </c>
      <c r="H2633" s="9">
        <v>21457007.078821778</v>
      </c>
      <c r="I2633" s="5" t="s">
        <v>3762</v>
      </c>
    </row>
    <row r="2634" spans="1:9" x14ac:dyDescent="0.25">
      <c r="A2634" s="6">
        <v>45995.690972222219</v>
      </c>
      <c r="B2634" s="5" t="s">
        <v>17</v>
      </c>
      <c r="C2634" s="8">
        <v>230.13196593696401</v>
      </c>
      <c r="D2634" s="8">
        <v>230.14142362337171</v>
      </c>
      <c r="E2634" s="8">
        <v>230.049145814799</v>
      </c>
      <c r="F2634" s="8">
        <v>230.1088950829361</v>
      </c>
      <c r="G2634" s="7">
        <v>57557</v>
      </c>
      <c r="H2634" s="9">
        <v>13244377.67428855</v>
      </c>
      <c r="I2634" s="5" t="s">
        <v>3763</v>
      </c>
    </row>
    <row r="2635" spans="1:9" x14ac:dyDescent="0.25">
      <c r="A2635" s="6">
        <v>45995.694444444453</v>
      </c>
      <c r="B2635" s="5" t="s">
        <v>17</v>
      </c>
      <c r="C2635" s="8">
        <v>230.48533610774589</v>
      </c>
      <c r="D2635" s="8">
        <v>230.52248520485759</v>
      </c>
      <c r="E2635" s="8">
        <v>230.18527870263989</v>
      </c>
      <c r="F2635" s="8">
        <v>230.44067246228519</v>
      </c>
      <c r="G2635" s="7">
        <v>64547</v>
      </c>
      <c r="H2635" s="9">
        <v>14874254.085423119</v>
      </c>
      <c r="I2635" s="5" t="s">
        <v>3764</v>
      </c>
    </row>
    <row r="2636" spans="1:9" x14ac:dyDescent="0.25">
      <c r="A2636" s="6">
        <v>45995.697916666657</v>
      </c>
      <c r="B2636" s="5" t="s">
        <v>17</v>
      </c>
      <c r="C2636" s="8">
        <v>230.4804434731719</v>
      </c>
      <c r="D2636" s="8">
        <v>230.7334860827512</v>
      </c>
      <c r="E2636" s="8">
        <v>230.4676800301568</v>
      </c>
      <c r="F2636" s="8">
        <v>230.5111679693706</v>
      </c>
      <c r="G2636" s="7">
        <v>51819</v>
      </c>
      <c r="H2636" s="9">
        <v>11944858.213004811</v>
      </c>
      <c r="I2636" s="5" t="s">
        <v>3765</v>
      </c>
    </row>
    <row r="2637" spans="1:9" x14ac:dyDescent="0.25">
      <c r="A2637" s="6">
        <v>45995.701388888891</v>
      </c>
      <c r="B2637" s="5" t="s">
        <v>17</v>
      </c>
      <c r="C2637" s="8">
        <v>230.59412829928499</v>
      </c>
      <c r="D2637" s="8">
        <v>230.87662828688329</v>
      </c>
      <c r="E2637" s="8">
        <v>230.59240645464399</v>
      </c>
      <c r="F2637" s="8">
        <v>230.69127875713411</v>
      </c>
      <c r="G2637" s="7">
        <v>45432</v>
      </c>
      <c r="H2637" s="9">
        <v>10480766.17649411</v>
      </c>
      <c r="I2637" s="5" t="s">
        <v>3766</v>
      </c>
    </row>
    <row r="2638" spans="1:9" x14ac:dyDescent="0.25">
      <c r="A2638" s="6">
        <v>45995.704861111109</v>
      </c>
      <c r="B2638" s="5" t="s">
        <v>17</v>
      </c>
      <c r="C2638" s="8">
        <v>230.56894648673</v>
      </c>
      <c r="D2638" s="8">
        <v>230.7155133546899</v>
      </c>
      <c r="E2638" s="8">
        <v>230.542591659951</v>
      </c>
      <c r="F2638" s="8">
        <v>230.57092883346161</v>
      </c>
      <c r="G2638" s="7">
        <v>113587</v>
      </c>
      <c r="H2638" s="9">
        <v>26189860.093406402</v>
      </c>
      <c r="I2638" s="5" t="s">
        <v>3767</v>
      </c>
    </row>
    <row r="2639" spans="1:9" x14ac:dyDescent="0.25">
      <c r="A2639" s="6">
        <v>45995.708333333343</v>
      </c>
      <c r="B2639" s="5" t="s">
        <v>17</v>
      </c>
      <c r="C2639" s="8">
        <v>230.5513505386545</v>
      </c>
      <c r="D2639" s="8">
        <v>230.59870742009019</v>
      </c>
      <c r="E2639" s="8">
        <v>230.4435677645497</v>
      </c>
      <c r="F2639" s="8">
        <v>230.57813329549319</v>
      </c>
      <c r="G2639" s="7">
        <v>68601</v>
      </c>
      <c r="H2639" s="9">
        <v>15817890.522204131</v>
      </c>
      <c r="I2639" s="5" t="s">
        <v>3768</v>
      </c>
    </row>
    <row r="2640" spans="1:9" x14ac:dyDescent="0.25">
      <c r="A2640" s="6">
        <v>45995.711805555547</v>
      </c>
      <c r="B2640" s="5" t="s">
        <v>17</v>
      </c>
      <c r="C2640" s="8">
        <v>230.71956723052691</v>
      </c>
      <c r="D2640" s="8">
        <v>230.83627153222159</v>
      </c>
      <c r="E2640" s="8">
        <v>230.65946916351379</v>
      </c>
      <c r="F2640" s="8">
        <v>230.76123561183289</v>
      </c>
      <c r="G2640" s="7">
        <v>32318</v>
      </c>
      <c r="H2640" s="9">
        <v>7457741.6125032157</v>
      </c>
      <c r="I2640" s="5" t="s">
        <v>3769</v>
      </c>
    </row>
    <row r="2641" spans="1:9" x14ac:dyDescent="0.25">
      <c r="A2641" s="6">
        <v>45995.715277777781</v>
      </c>
      <c r="B2641" s="5" t="s">
        <v>17</v>
      </c>
      <c r="C2641" s="8">
        <v>230.97134118391961</v>
      </c>
      <c r="D2641" s="8">
        <v>231.29705599264389</v>
      </c>
      <c r="E2641" s="8">
        <v>230.96925490842381</v>
      </c>
      <c r="F2641" s="8">
        <v>231.02711683952541</v>
      </c>
      <c r="G2641" s="7">
        <v>40113</v>
      </c>
      <c r="H2641" s="9">
        <v>9267190.7377838828</v>
      </c>
      <c r="I2641" s="5" t="s">
        <v>3770</v>
      </c>
    </row>
    <row r="2642" spans="1:9" x14ac:dyDescent="0.25">
      <c r="A2642" s="6">
        <v>45995.71875</v>
      </c>
      <c r="B2642" s="5" t="s">
        <v>17</v>
      </c>
      <c r="C2642" s="8">
        <v>230.65178392092571</v>
      </c>
      <c r="D2642" s="8">
        <v>230.7372895019729</v>
      </c>
      <c r="E2642" s="8">
        <v>230.5999577233209</v>
      </c>
      <c r="F2642" s="8">
        <v>230.72601104001191</v>
      </c>
      <c r="G2642" s="7">
        <v>30401</v>
      </c>
      <c r="H2642" s="9">
        <v>7014301.4616274023</v>
      </c>
      <c r="I2642" s="5" t="s">
        <v>3771</v>
      </c>
    </row>
    <row r="2643" spans="1:9" x14ac:dyDescent="0.25">
      <c r="A2643" s="6">
        <v>45995.722222222219</v>
      </c>
      <c r="B2643" s="5" t="s">
        <v>17</v>
      </c>
      <c r="C2643" s="8">
        <v>230.63096889626831</v>
      </c>
      <c r="D2643" s="8">
        <v>230.75183124103461</v>
      </c>
      <c r="E2643" s="8">
        <v>230.56072183783061</v>
      </c>
      <c r="F2643" s="8">
        <v>230.70259854579839</v>
      </c>
      <c r="G2643" s="7">
        <v>64524</v>
      </c>
      <c r="H2643" s="9">
        <v>14885854.468569091</v>
      </c>
      <c r="I2643" s="5" t="s">
        <v>3772</v>
      </c>
    </row>
    <row r="2644" spans="1:9" x14ac:dyDescent="0.25">
      <c r="A2644" s="6">
        <v>45995.725694444453</v>
      </c>
      <c r="B2644" s="5" t="s">
        <v>17</v>
      </c>
      <c r="C2644" s="8">
        <v>230.85366241645559</v>
      </c>
      <c r="D2644" s="8">
        <v>230.93012566342099</v>
      </c>
      <c r="E2644" s="8">
        <v>230.80454973414831</v>
      </c>
      <c r="F2644" s="8">
        <v>230.92564675766189</v>
      </c>
      <c r="G2644" s="7">
        <v>46883</v>
      </c>
      <c r="H2644" s="9">
        <v>10826487.096939459</v>
      </c>
      <c r="I2644" s="5" t="s">
        <v>3773</v>
      </c>
    </row>
    <row r="2645" spans="1:9" x14ac:dyDescent="0.25">
      <c r="A2645" s="6">
        <v>45995.729166666657</v>
      </c>
      <c r="B2645" s="5" t="s">
        <v>17</v>
      </c>
      <c r="C2645" s="8">
        <v>230.62711126751441</v>
      </c>
      <c r="D2645" s="8">
        <v>230.94758764990161</v>
      </c>
      <c r="E2645" s="8">
        <v>230.38141090583241</v>
      </c>
      <c r="F2645" s="8">
        <v>230.7381039482247</v>
      </c>
      <c r="G2645" s="7">
        <v>46811</v>
      </c>
      <c r="H2645" s="9">
        <v>10801081.383920349</v>
      </c>
      <c r="I2645" s="5" t="s">
        <v>3774</v>
      </c>
    </row>
    <row r="2646" spans="1:9" x14ac:dyDescent="0.25">
      <c r="A2646" s="6">
        <v>45995.732638888891</v>
      </c>
      <c r="B2646" s="5" t="s">
        <v>17</v>
      </c>
      <c r="C2646" s="8">
        <v>230.74843572716551</v>
      </c>
      <c r="D2646" s="8">
        <v>230.8144382648513</v>
      </c>
      <c r="E2646" s="8">
        <v>230.72828430732201</v>
      </c>
      <c r="F2646" s="8">
        <v>230.74122078789961</v>
      </c>
      <c r="G2646" s="7">
        <v>69521</v>
      </c>
      <c r="H2646" s="9">
        <v>16041360.410395561</v>
      </c>
      <c r="I2646" s="5" t="s">
        <v>3775</v>
      </c>
    </row>
    <row r="2647" spans="1:9" x14ac:dyDescent="0.25">
      <c r="A2647" s="6">
        <v>45995.736111111109</v>
      </c>
      <c r="B2647" s="5" t="s">
        <v>17</v>
      </c>
      <c r="C2647" s="8">
        <v>230.65161263597449</v>
      </c>
      <c r="D2647" s="8">
        <v>230.66546869887111</v>
      </c>
      <c r="E2647" s="8">
        <v>230.50673144165739</v>
      </c>
      <c r="F2647" s="8">
        <v>230.57149951087939</v>
      </c>
      <c r="G2647" s="7">
        <v>53809</v>
      </c>
      <c r="H2647" s="9">
        <v>12406821.817180909</v>
      </c>
      <c r="I2647" s="5" t="s">
        <v>3776</v>
      </c>
    </row>
    <row r="2648" spans="1:9" x14ac:dyDescent="0.25">
      <c r="A2648" s="6">
        <v>45995.739583333343</v>
      </c>
      <c r="B2648" s="5" t="s">
        <v>17</v>
      </c>
      <c r="C2648" s="8">
        <v>230.9161461498586</v>
      </c>
      <c r="D2648" s="8">
        <v>231.001584743465</v>
      </c>
      <c r="E2648" s="8">
        <v>230.7561373136009</v>
      </c>
      <c r="F2648" s="8">
        <v>230.8097604170965</v>
      </c>
      <c r="G2648" s="7">
        <v>48050</v>
      </c>
      <c r="H2648" s="9">
        <v>11090408.98804149</v>
      </c>
      <c r="I2648" s="5" t="s">
        <v>3777</v>
      </c>
    </row>
    <row r="2649" spans="1:9" x14ac:dyDescent="0.25">
      <c r="A2649" s="6">
        <v>45995.743055555547</v>
      </c>
      <c r="B2649" s="5" t="s">
        <v>17</v>
      </c>
      <c r="C2649" s="8">
        <v>230.5861762795692</v>
      </c>
      <c r="D2649" s="8">
        <v>230.64452203557121</v>
      </c>
      <c r="E2649" s="8">
        <v>230.32284041014711</v>
      </c>
      <c r="F2649" s="8">
        <v>230.5922911407205</v>
      </c>
      <c r="G2649" s="7">
        <v>42890</v>
      </c>
      <c r="H2649" s="9">
        <v>9890103.367025502</v>
      </c>
      <c r="I2649" s="5" t="s">
        <v>3778</v>
      </c>
    </row>
    <row r="2650" spans="1:9" x14ac:dyDescent="0.25">
      <c r="A2650" s="6">
        <v>45995.746527777781</v>
      </c>
      <c r="B2650" s="5" t="s">
        <v>17</v>
      </c>
      <c r="C2650" s="8">
        <v>230.20534334980681</v>
      </c>
      <c r="D2650" s="8">
        <v>230.54665602480719</v>
      </c>
      <c r="E2650" s="8">
        <v>230.12932922757781</v>
      </c>
      <c r="F2650" s="8">
        <v>230.35121396091549</v>
      </c>
      <c r="G2650" s="7">
        <v>70788</v>
      </c>
      <c r="H2650" s="9">
        <v>16306101.733865291</v>
      </c>
      <c r="I2650" s="5" t="s">
        <v>3779</v>
      </c>
    </row>
    <row r="2651" spans="1:9" x14ac:dyDescent="0.25">
      <c r="A2651" s="6">
        <v>45995.75</v>
      </c>
      <c r="B2651" s="5" t="s">
        <v>17</v>
      </c>
      <c r="C2651" s="8">
        <v>230.77809159787449</v>
      </c>
      <c r="D2651" s="8">
        <v>230.80547751574841</v>
      </c>
      <c r="E2651" s="8">
        <v>230.63212051410551</v>
      </c>
      <c r="F2651" s="8">
        <v>230.71647541347591</v>
      </c>
      <c r="G2651" s="7">
        <v>96752</v>
      </c>
      <c r="H2651" s="9">
        <v>22322280.42920462</v>
      </c>
      <c r="I2651" s="5" t="s">
        <v>3780</v>
      </c>
    </row>
    <row r="2652" spans="1:9" x14ac:dyDescent="0.25">
      <c r="A2652" s="6">
        <v>45995.753472222219</v>
      </c>
      <c r="B2652" s="5" t="s">
        <v>17</v>
      </c>
      <c r="C2652" s="8">
        <v>230.23879847048511</v>
      </c>
      <c r="D2652" s="8">
        <v>230.41670160719971</v>
      </c>
      <c r="E2652" s="8">
        <v>230.17375172613961</v>
      </c>
      <c r="F2652" s="8">
        <v>230.3761225738925</v>
      </c>
      <c r="G2652" s="7">
        <v>30686</v>
      </c>
      <c r="H2652" s="9">
        <v>7069321.6973024653</v>
      </c>
      <c r="I2652" s="5" t="s">
        <v>3781</v>
      </c>
    </row>
    <row r="2653" spans="1:9" x14ac:dyDescent="0.25">
      <c r="A2653" s="6">
        <v>45995.756944444453</v>
      </c>
      <c r="B2653" s="5" t="s">
        <v>17</v>
      </c>
      <c r="C2653" s="8">
        <v>230.19363588162659</v>
      </c>
      <c r="D2653" s="8">
        <v>230.32064405331349</v>
      </c>
      <c r="E2653" s="8">
        <v>230.00581496321479</v>
      </c>
      <c r="F2653" s="8">
        <v>230.28080208055451</v>
      </c>
      <c r="G2653" s="7">
        <v>81020</v>
      </c>
      <c r="H2653" s="9">
        <v>18657350.584566519</v>
      </c>
      <c r="I2653" s="5" t="s">
        <v>3782</v>
      </c>
    </row>
    <row r="2654" spans="1:9" x14ac:dyDescent="0.25">
      <c r="A2654" s="6">
        <v>45995.760416666657</v>
      </c>
      <c r="B2654" s="5" t="s">
        <v>17</v>
      </c>
      <c r="C2654" s="8">
        <v>230.5030791224647</v>
      </c>
      <c r="D2654" s="8">
        <v>230.6325647246037</v>
      </c>
      <c r="E2654" s="8">
        <v>230.3639892211487</v>
      </c>
      <c r="F2654" s="8">
        <v>230.53455570674021</v>
      </c>
      <c r="G2654" s="7">
        <v>47901</v>
      </c>
      <c r="H2654" s="9">
        <v>11042835.75290856</v>
      </c>
      <c r="I2654" s="5" t="s">
        <v>3783</v>
      </c>
    </row>
    <row r="2655" spans="1:9" x14ac:dyDescent="0.25">
      <c r="A2655" s="6">
        <v>45995.763888888891</v>
      </c>
      <c r="B2655" s="5" t="s">
        <v>17</v>
      </c>
      <c r="C2655" s="8">
        <v>230.59225880652079</v>
      </c>
      <c r="D2655" s="8">
        <v>230.74907983237611</v>
      </c>
      <c r="E2655" s="8">
        <v>230.24259371841691</v>
      </c>
      <c r="F2655" s="8">
        <v>230.55062518644121</v>
      </c>
      <c r="G2655" s="7">
        <v>90648</v>
      </c>
      <c r="H2655" s="9">
        <v>20898953.07190052</v>
      </c>
      <c r="I2655" s="5" t="s">
        <v>3784</v>
      </c>
    </row>
    <row r="2656" spans="1:9" x14ac:dyDescent="0.25">
      <c r="A2656" s="6">
        <v>45995.767361111109</v>
      </c>
      <c r="B2656" s="5" t="s">
        <v>17</v>
      </c>
      <c r="C2656" s="8">
        <v>230.57463552024129</v>
      </c>
      <c r="D2656" s="8">
        <v>230.63590789499301</v>
      </c>
      <c r="E2656" s="8">
        <v>230.28927366246339</v>
      </c>
      <c r="F2656" s="8">
        <v>230.51840010321769</v>
      </c>
      <c r="G2656" s="7">
        <v>65038</v>
      </c>
      <c r="H2656" s="9">
        <v>14992455.705913071</v>
      </c>
      <c r="I2656" s="5" t="s">
        <v>3785</v>
      </c>
    </row>
    <row r="2657" spans="1:9" x14ac:dyDescent="0.25">
      <c r="A2657" s="6">
        <v>45995.770833333343</v>
      </c>
      <c r="B2657" s="5" t="s">
        <v>17</v>
      </c>
      <c r="C2657" s="8">
        <v>230.3717862069731</v>
      </c>
      <c r="D2657" s="8">
        <v>230.47276507527641</v>
      </c>
      <c r="E2657" s="8">
        <v>230.3650673984535</v>
      </c>
      <c r="F2657" s="8">
        <v>230.39167093881781</v>
      </c>
      <c r="G2657" s="7">
        <v>66397</v>
      </c>
      <c r="H2657" s="9">
        <v>15297315.775324689</v>
      </c>
      <c r="I2657" s="5" t="s">
        <v>3786</v>
      </c>
    </row>
    <row r="2658" spans="1:9" x14ac:dyDescent="0.25">
      <c r="A2658" s="6">
        <v>45995.774305555547</v>
      </c>
      <c r="B2658" s="5" t="s">
        <v>17</v>
      </c>
      <c r="C2658" s="8">
        <v>230.26447953007269</v>
      </c>
      <c r="D2658" s="8">
        <v>230.5304528990861</v>
      </c>
      <c r="E2658" s="8">
        <v>230.19581045288379</v>
      </c>
      <c r="F2658" s="8">
        <v>230.220139183789</v>
      </c>
      <c r="G2658" s="7">
        <v>100341</v>
      </c>
      <c r="H2658" s="9">
        <v>23100518.98584057</v>
      </c>
      <c r="I2658" s="5" t="s">
        <v>3787</v>
      </c>
    </row>
    <row r="2659" spans="1:9" x14ac:dyDescent="0.25">
      <c r="A2659" s="6">
        <v>45995.777777777781</v>
      </c>
      <c r="B2659" s="5" t="s">
        <v>17</v>
      </c>
      <c r="C2659" s="8">
        <v>230.16083101436479</v>
      </c>
      <c r="D2659" s="8">
        <v>230.31460550424919</v>
      </c>
      <c r="E2659" s="8">
        <v>229.98627077003459</v>
      </c>
      <c r="F2659" s="8">
        <v>230.19004135170249</v>
      </c>
      <c r="G2659" s="7">
        <v>56622</v>
      </c>
      <c r="H2659" s="9">
        <v>13033820.5214161</v>
      </c>
      <c r="I2659" s="5" t="s">
        <v>3788</v>
      </c>
    </row>
    <row r="2660" spans="1:9" x14ac:dyDescent="0.25">
      <c r="A2660" s="6">
        <v>45995.78125</v>
      </c>
      <c r="B2660" s="5" t="s">
        <v>17</v>
      </c>
      <c r="C2660" s="8">
        <v>230.09042804537489</v>
      </c>
      <c r="D2660" s="8">
        <v>230.1330113652505</v>
      </c>
      <c r="E2660" s="8">
        <v>229.98270883420969</v>
      </c>
      <c r="F2660" s="8">
        <v>230.01871205280059</v>
      </c>
      <c r="G2660" s="7">
        <v>31949</v>
      </c>
      <c r="H2660" s="9">
        <v>7348867.8313749256</v>
      </c>
      <c r="I2660" s="5" t="s">
        <v>3789</v>
      </c>
    </row>
    <row r="2661" spans="1:9" x14ac:dyDescent="0.25">
      <c r="A2661" s="6">
        <v>45995.784722222219</v>
      </c>
      <c r="B2661" s="5" t="s">
        <v>17</v>
      </c>
      <c r="C2661" s="8">
        <v>229.81858600399329</v>
      </c>
      <c r="D2661" s="8">
        <v>229.9230496187574</v>
      </c>
      <c r="E2661" s="8">
        <v>229.74795380069679</v>
      </c>
      <c r="F2661" s="8">
        <v>229.84417310615089</v>
      </c>
      <c r="G2661" s="7">
        <v>64097</v>
      </c>
      <c r="H2661" s="9">
        <v>14732321.96358495</v>
      </c>
      <c r="I2661" s="5" t="s">
        <v>3790</v>
      </c>
    </row>
    <row r="2662" spans="1:9" x14ac:dyDescent="0.25">
      <c r="A2662" s="6">
        <v>45995.788194444453</v>
      </c>
      <c r="B2662" s="5" t="s">
        <v>17</v>
      </c>
      <c r="C2662" s="8">
        <v>229.8161845711565</v>
      </c>
      <c r="D2662" s="8">
        <v>229.84862879723971</v>
      </c>
      <c r="E2662" s="8">
        <v>229.6900633004754</v>
      </c>
      <c r="F2662" s="8">
        <v>229.72512255708239</v>
      </c>
      <c r="G2662" s="7">
        <v>35706</v>
      </c>
      <c r="H2662" s="9">
        <v>8202565.226023186</v>
      </c>
      <c r="I2662" s="5" t="s">
        <v>3791</v>
      </c>
    </row>
    <row r="2663" spans="1:9" x14ac:dyDescent="0.25">
      <c r="A2663" s="6">
        <v>45995.791666666657</v>
      </c>
      <c r="B2663" s="5" t="s">
        <v>17</v>
      </c>
      <c r="C2663" s="8">
        <v>229.95820302529859</v>
      </c>
      <c r="D2663" s="8">
        <v>230.12343573696921</v>
      </c>
      <c r="E2663" s="8">
        <v>229.79936365461529</v>
      </c>
      <c r="F2663" s="8">
        <v>229.89603822687289</v>
      </c>
      <c r="G2663" s="7">
        <v>94477</v>
      </c>
      <c r="H2663" s="9">
        <v>21719888.003560271</v>
      </c>
      <c r="I2663" s="5" t="s">
        <v>3792</v>
      </c>
    </row>
    <row r="2664" spans="1:9" x14ac:dyDescent="0.25">
      <c r="A2664" s="6">
        <v>45995.795138888891</v>
      </c>
      <c r="B2664" s="5" t="s">
        <v>17</v>
      </c>
      <c r="C2664" s="8">
        <v>229.8382592078261</v>
      </c>
      <c r="D2664" s="8">
        <v>229.9964561988001</v>
      </c>
      <c r="E2664" s="8">
        <v>229.7667915879384</v>
      </c>
      <c r="F2664" s="8">
        <v>229.9759663138268</v>
      </c>
      <c r="G2664" s="7">
        <v>72931</v>
      </c>
      <c r="H2664" s="9">
        <v>16772377.199233711</v>
      </c>
      <c r="I2664" s="5" t="s">
        <v>3793</v>
      </c>
    </row>
    <row r="2665" spans="1:9" x14ac:dyDescent="0.25">
      <c r="A2665" s="6">
        <v>45995.798611111109</v>
      </c>
      <c r="B2665" s="5" t="s">
        <v>17</v>
      </c>
      <c r="C2665" s="8">
        <v>229.6773241645248</v>
      </c>
      <c r="D2665" s="8">
        <v>229.81803781603489</v>
      </c>
      <c r="E2665" s="8">
        <v>229.34335338862849</v>
      </c>
      <c r="F2665" s="8">
        <v>229.76902333825629</v>
      </c>
      <c r="G2665" s="7">
        <v>51041</v>
      </c>
      <c r="H2665" s="9">
        <v>11727640.720207941</v>
      </c>
      <c r="I2665" s="5" t="s">
        <v>3794</v>
      </c>
    </row>
    <row r="2666" spans="1:9" x14ac:dyDescent="0.25">
      <c r="A2666" s="6">
        <v>45995.802083333343</v>
      </c>
      <c r="B2666" s="5" t="s">
        <v>17</v>
      </c>
      <c r="C2666" s="8">
        <v>229.57059742159851</v>
      </c>
      <c r="D2666" s="8">
        <v>229.8581187922168</v>
      </c>
      <c r="E2666" s="8">
        <v>229.4423233877796</v>
      </c>
      <c r="F2666" s="8">
        <v>229.63571095185469</v>
      </c>
      <c r="G2666" s="7">
        <v>75859</v>
      </c>
      <c r="H2666" s="9">
        <v>17419935.397096749</v>
      </c>
      <c r="I2666" s="5" t="s">
        <v>3795</v>
      </c>
    </row>
    <row r="2667" spans="1:9" x14ac:dyDescent="0.25">
      <c r="A2667" s="6">
        <v>45995.805555555547</v>
      </c>
      <c r="B2667" s="5" t="s">
        <v>17</v>
      </c>
      <c r="C2667" s="8">
        <v>229.29287158342251</v>
      </c>
      <c r="D2667" s="8">
        <v>229.40876464998041</v>
      </c>
      <c r="E2667" s="8">
        <v>229.22196230023371</v>
      </c>
      <c r="F2667" s="8">
        <v>229.3405357082278</v>
      </c>
      <c r="G2667" s="7">
        <v>57075</v>
      </c>
      <c r="H2667" s="9">
        <v>13089611.075547099</v>
      </c>
      <c r="I2667" s="5" t="s">
        <v>3796</v>
      </c>
    </row>
    <row r="2668" spans="1:9" x14ac:dyDescent="0.25">
      <c r="A2668" s="6">
        <v>45995.809027777781</v>
      </c>
      <c r="B2668" s="5" t="s">
        <v>17</v>
      </c>
      <c r="C2668" s="8">
        <v>229.38469799087511</v>
      </c>
      <c r="D2668" s="8">
        <v>229.59622763277079</v>
      </c>
      <c r="E2668" s="8">
        <v>229.17184330403629</v>
      </c>
      <c r="F2668" s="8">
        <v>229.2506896551246</v>
      </c>
      <c r="G2668" s="7">
        <v>43445</v>
      </c>
      <c r="H2668" s="9">
        <v>9959796.2120668869</v>
      </c>
      <c r="I2668" s="5" t="s">
        <v>3797</v>
      </c>
    </row>
    <row r="2669" spans="1:9" x14ac:dyDescent="0.25">
      <c r="A2669" s="6">
        <v>45995.8125</v>
      </c>
      <c r="B2669" s="5" t="s">
        <v>17</v>
      </c>
      <c r="C2669" s="8">
        <v>229.1097415422017</v>
      </c>
      <c r="D2669" s="8">
        <v>229.50631372255029</v>
      </c>
      <c r="E2669" s="8">
        <v>228.98300747034679</v>
      </c>
      <c r="F2669" s="8">
        <v>229.24945170327419</v>
      </c>
      <c r="G2669" s="7">
        <v>56299</v>
      </c>
      <c r="H2669" s="9">
        <v>12906514.881442631</v>
      </c>
      <c r="I2669" s="5" t="s">
        <v>3798</v>
      </c>
    </row>
    <row r="2670" spans="1:9" x14ac:dyDescent="0.25">
      <c r="A2670" s="6">
        <v>45995.815972222219</v>
      </c>
      <c r="B2670" s="5" t="s">
        <v>17</v>
      </c>
      <c r="C2670" s="8">
        <v>229.29698971510601</v>
      </c>
      <c r="D2670" s="8">
        <v>229.53996155248669</v>
      </c>
      <c r="E2670" s="8">
        <v>229.26616720162451</v>
      </c>
      <c r="F2670" s="8">
        <v>229.32616185874349</v>
      </c>
      <c r="G2670" s="7">
        <v>55438</v>
      </c>
      <c r="H2670" s="9">
        <v>12713383.761125021</v>
      </c>
      <c r="I2670" s="5" t="s">
        <v>3799</v>
      </c>
    </row>
    <row r="2671" spans="1:9" x14ac:dyDescent="0.25">
      <c r="A2671" s="6">
        <v>45995.819444444453</v>
      </c>
      <c r="B2671" s="5" t="s">
        <v>17</v>
      </c>
      <c r="C2671" s="8">
        <v>229.49180389580459</v>
      </c>
      <c r="D2671" s="8">
        <v>229.5628034037035</v>
      </c>
      <c r="E2671" s="8">
        <v>229.2602206712408</v>
      </c>
      <c r="F2671" s="8">
        <v>229.43242150737669</v>
      </c>
      <c r="G2671" s="7">
        <v>70795</v>
      </c>
      <c r="H2671" s="9">
        <v>16242668.28061473</v>
      </c>
      <c r="I2671" s="5" t="s">
        <v>3800</v>
      </c>
    </row>
    <row r="2672" spans="1:9" x14ac:dyDescent="0.25">
      <c r="A2672" s="6">
        <v>45995.822916666657</v>
      </c>
      <c r="B2672" s="5" t="s">
        <v>17</v>
      </c>
      <c r="C2672" s="8">
        <v>229.5014178097577</v>
      </c>
      <c r="D2672" s="8">
        <v>229.54900081009279</v>
      </c>
      <c r="E2672" s="8">
        <v>229.21077128815011</v>
      </c>
      <c r="F2672" s="8">
        <v>229.43428311329839</v>
      </c>
      <c r="G2672" s="7">
        <v>77362</v>
      </c>
      <c r="H2672" s="9">
        <v>17749495.010210991</v>
      </c>
      <c r="I2672" s="5" t="s">
        <v>3801</v>
      </c>
    </row>
    <row r="2673" spans="1:9" x14ac:dyDescent="0.25">
      <c r="A2673" s="6">
        <v>45995.826388888891</v>
      </c>
      <c r="B2673" s="5" t="s">
        <v>17</v>
      </c>
      <c r="C2673" s="8">
        <v>229.48580919524301</v>
      </c>
      <c r="D2673" s="8">
        <v>229.67343403327979</v>
      </c>
      <c r="E2673" s="8">
        <v>229.3162865200716</v>
      </c>
      <c r="F2673" s="8">
        <v>229.5547519408191</v>
      </c>
      <c r="G2673" s="7">
        <v>121650</v>
      </c>
      <c r="H2673" s="9">
        <v>27925335.573600639</v>
      </c>
      <c r="I2673" s="5" t="s">
        <v>3802</v>
      </c>
    </row>
    <row r="2674" spans="1:9" x14ac:dyDescent="0.25">
      <c r="A2674" s="6">
        <v>45995.829861111109</v>
      </c>
      <c r="B2674" s="5" t="s">
        <v>17</v>
      </c>
      <c r="C2674" s="8">
        <v>229.1005261647779</v>
      </c>
      <c r="D2674" s="8">
        <v>229.19738301684151</v>
      </c>
      <c r="E2674" s="8">
        <v>229.0236077165379</v>
      </c>
      <c r="F2674" s="8">
        <v>229.07583188039689</v>
      </c>
      <c r="G2674" s="7">
        <v>75070</v>
      </c>
      <c r="H2674" s="9">
        <v>17196722.69926139</v>
      </c>
      <c r="I2674" s="5" t="s">
        <v>3803</v>
      </c>
    </row>
    <row r="2675" spans="1:9" x14ac:dyDescent="0.25">
      <c r="A2675" s="6">
        <v>45995.833333333343</v>
      </c>
      <c r="B2675" s="5" t="s">
        <v>17</v>
      </c>
      <c r="C2675" s="8">
        <v>229.28004535954659</v>
      </c>
      <c r="D2675" s="8">
        <v>229.449476696803</v>
      </c>
      <c r="E2675" s="8">
        <v>229.07189473573641</v>
      </c>
      <c r="F2675" s="8">
        <v>229.21992415256369</v>
      </c>
      <c r="G2675" s="7">
        <v>55659</v>
      </c>
      <c r="H2675" s="9">
        <v>12758151.758407541</v>
      </c>
      <c r="I2675" s="5" t="s">
        <v>3804</v>
      </c>
    </row>
    <row r="2676" spans="1:9" x14ac:dyDescent="0.25">
      <c r="A2676" s="6">
        <v>45995.836805555547</v>
      </c>
      <c r="B2676" s="5" t="s">
        <v>17</v>
      </c>
      <c r="C2676" s="8">
        <v>229.15816718846651</v>
      </c>
      <c r="D2676" s="8">
        <v>229.4419789735434</v>
      </c>
      <c r="E2676" s="8">
        <v>228.99928411933831</v>
      </c>
      <c r="F2676" s="8">
        <v>229.1549214849361</v>
      </c>
      <c r="G2676" s="7">
        <v>71338</v>
      </c>
      <c r="H2676" s="9">
        <v>16347453.78889237</v>
      </c>
      <c r="I2676" s="5" t="s">
        <v>3805</v>
      </c>
    </row>
    <row r="2677" spans="1:9" x14ac:dyDescent="0.25">
      <c r="A2677" s="6">
        <v>45995.840277777781</v>
      </c>
      <c r="B2677" s="5" t="s">
        <v>17</v>
      </c>
      <c r="C2677" s="8">
        <v>229.35570009988581</v>
      </c>
      <c r="D2677" s="8">
        <v>229.45687114433781</v>
      </c>
      <c r="E2677" s="8">
        <v>229.19515943235791</v>
      </c>
      <c r="F2677" s="8">
        <v>229.32317587917541</v>
      </c>
      <c r="G2677" s="7">
        <v>47121</v>
      </c>
      <c r="H2677" s="9">
        <v>10805937.370602621</v>
      </c>
      <c r="I2677" s="5" t="s">
        <v>3806</v>
      </c>
    </row>
    <row r="2678" spans="1:9" x14ac:dyDescent="0.25">
      <c r="A2678" s="6">
        <v>45995.84375</v>
      </c>
      <c r="B2678" s="5" t="s">
        <v>17</v>
      </c>
      <c r="C2678" s="8">
        <v>228.9263054086272</v>
      </c>
      <c r="D2678" s="8">
        <v>229.038684976577</v>
      </c>
      <c r="E2678" s="8">
        <v>228.91470697066259</v>
      </c>
      <c r="F2678" s="8">
        <v>228.9873618651844</v>
      </c>
      <c r="G2678" s="7">
        <v>47244</v>
      </c>
      <c r="H2678" s="9">
        <v>10818278.923958771</v>
      </c>
      <c r="I2678" s="5" t="s">
        <v>3807</v>
      </c>
    </row>
    <row r="2679" spans="1:9" x14ac:dyDescent="0.25">
      <c r="A2679" s="6">
        <v>45995.847222222219</v>
      </c>
      <c r="B2679" s="5" t="s">
        <v>17</v>
      </c>
      <c r="C2679" s="8">
        <v>229.310672470459</v>
      </c>
      <c r="D2679" s="8">
        <v>229.37826869669709</v>
      </c>
      <c r="E2679" s="8">
        <v>229.2850784007459</v>
      </c>
      <c r="F2679" s="8">
        <v>229.35608490420469</v>
      </c>
      <c r="G2679" s="7">
        <v>34700</v>
      </c>
      <c r="H2679" s="9">
        <v>7958656.1461759033</v>
      </c>
      <c r="I2679" s="5" t="s">
        <v>3808</v>
      </c>
    </row>
    <row r="2680" spans="1:9" x14ac:dyDescent="0.25">
      <c r="A2680" s="6">
        <v>45995.850694444453</v>
      </c>
      <c r="B2680" s="5" t="s">
        <v>17</v>
      </c>
      <c r="C2680" s="8">
        <v>229.28353435955489</v>
      </c>
      <c r="D2680" s="8">
        <v>229.4969181086864</v>
      </c>
      <c r="E2680" s="8">
        <v>229.18142083551129</v>
      </c>
      <c r="F2680" s="8">
        <v>229.41215277152509</v>
      </c>
      <c r="G2680" s="7">
        <v>49019</v>
      </c>
      <c r="H2680" s="9">
        <v>11245554.316707389</v>
      </c>
      <c r="I2680" s="5" t="s">
        <v>3809</v>
      </c>
    </row>
    <row r="2681" spans="1:9" x14ac:dyDescent="0.25">
      <c r="A2681" s="6">
        <v>45995.854166666657</v>
      </c>
      <c r="B2681" s="5" t="s">
        <v>17</v>
      </c>
      <c r="C2681" s="8">
        <v>229.5914394953555</v>
      </c>
      <c r="D2681" s="8">
        <v>229.6170217289484</v>
      </c>
      <c r="E2681" s="8">
        <v>229.4070444058201</v>
      </c>
      <c r="F2681" s="8">
        <v>229.50216965199411</v>
      </c>
      <c r="G2681" s="7">
        <v>48615</v>
      </c>
      <c r="H2681" s="9">
        <v>11157247.97763169</v>
      </c>
      <c r="I2681" s="5" t="s">
        <v>3810</v>
      </c>
    </row>
    <row r="2682" spans="1:9" x14ac:dyDescent="0.25">
      <c r="A2682" s="6">
        <v>45995.857638888891</v>
      </c>
      <c r="B2682" s="5" t="s">
        <v>17</v>
      </c>
      <c r="C2682" s="8">
        <v>229.316505924002</v>
      </c>
      <c r="D2682" s="8">
        <v>229.45850904512059</v>
      </c>
      <c r="E2682" s="8">
        <v>229.288849028692</v>
      </c>
      <c r="F2682" s="8">
        <v>229.3097162426036</v>
      </c>
      <c r="G2682" s="7">
        <v>85475</v>
      </c>
      <c r="H2682" s="9">
        <v>19600247.995836541</v>
      </c>
      <c r="I2682" s="5" t="s">
        <v>3811</v>
      </c>
    </row>
    <row r="2683" spans="1:9" x14ac:dyDescent="0.25">
      <c r="A2683" s="6">
        <v>45995.861111111109</v>
      </c>
      <c r="B2683" s="5" t="s">
        <v>17</v>
      </c>
      <c r="C2683" s="8">
        <v>229.67237236434619</v>
      </c>
      <c r="D2683" s="8">
        <v>229.82012621796611</v>
      </c>
      <c r="E2683" s="8">
        <v>229.48559169854539</v>
      </c>
      <c r="F2683" s="8">
        <v>229.57534165094961</v>
      </c>
      <c r="G2683" s="7">
        <v>64904</v>
      </c>
      <c r="H2683" s="9">
        <v>14900357.974513231</v>
      </c>
      <c r="I2683" s="5" t="s">
        <v>3812</v>
      </c>
    </row>
    <row r="2684" spans="1:9" x14ac:dyDescent="0.25">
      <c r="A2684" s="6">
        <v>45995.864583333343</v>
      </c>
      <c r="B2684" s="5" t="s">
        <v>17</v>
      </c>
      <c r="C2684" s="8">
        <v>229.4653315351477</v>
      </c>
      <c r="D2684" s="8">
        <v>229.55842001130071</v>
      </c>
      <c r="E2684" s="8">
        <v>229.2872790857422</v>
      </c>
      <c r="F2684" s="8">
        <v>229.53272142721741</v>
      </c>
      <c r="G2684" s="7">
        <v>63264</v>
      </c>
      <c r="H2684" s="9">
        <v>14521158.08837148</v>
      </c>
      <c r="I2684" s="5" t="s">
        <v>3813</v>
      </c>
    </row>
    <row r="2685" spans="1:9" x14ac:dyDescent="0.25">
      <c r="A2685" s="6">
        <v>45995.868055555547</v>
      </c>
      <c r="B2685" s="5" t="s">
        <v>17</v>
      </c>
      <c r="C2685" s="8">
        <v>229.62489849958769</v>
      </c>
      <c r="D2685" s="8">
        <v>229.63856702104039</v>
      </c>
      <c r="E2685" s="8">
        <v>229.50181996206391</v>
      </c>
      <c r="F2685" s="8">
        <v>229.51624691877771</v>
      </c>
      <c r="G2685" s="7">
        <v>109504</v>
      </c>
      <c r="H2685" s="9">
        <v>25132947.102593832</v>
      </c>
      <c r="I2685" s="5" t="s">
        <v>3814</v>
      </c>
    </row>
    <row r="2686" spans="1:9" x14ac:dyDescent="0.25">
      <c r="A2686" s="6">
        <v>45995.871527777781</v>
      </c>
      <c r="B2686" s="5" t="s">
        <v>17</v>
      </c>
      <c r="C2686" s="8">
        <v>229.93887534987161</v>
      </c>
      <c r="D2686" s="8">
        <v>229.94721834058751</v>
      </c>
      <c r="E2686" s="8">
        <v>229.87016805364959</v>
      </c>
      <c r="F2686" s="8">
        <v>229.92808519922539</v>
      </c>
      <c r="G2686" s="7">
        <v>47219</v>
      </c>
      <c r="H2686" s="9">
        <v>10856974.25502223</v>
      </c>
      <c r="I2686" s="5" t="s">
        <v>3815</v>
      </c>
    </row>
    <row r="2687" spans="1:9" x14ac:dyDescent="0.25">
      <c r="A2687" s="6">
        <v>45995.875</v>
      </c>
      <c r="B2687" s="5" t="s">
        <v>17</v>
      </c>
      <c r="C2687" s="8">
        <v>229.9102156985054</v>
      </c>
      <c r="D2687" s="8">
        <v>230.13745600534779</v>
      </c>
      <c r="E2687" s="8">
        <v>229.7472692926234</v>
      </c>
      <c r="F2687" s="8">
        <v>229.84655109885469</v>
      </c>
      <c r="G2687" s="7">
        <v>57991</v>
      </c>
      <c r="H2687" s="9">
        <v>13329031.34477368</v>
      </c>
      <c r="I2687" s="5" t="s">
        <v>3816</v>
      </c>
    </row>
    <row r="2688" spans="1:9" x14ac:dyDescent="0.25">
      <c r="A2688" s="6">
        <v>45996.604166666657</v>
      </c>
      <c r="B2688" s="5" t="s">
        <v>17</v>
      </c>
      <c r="C2688" s="8">
        <v>229.94334305521539</v>
      </c>
      <c r="D2688" s="8">
        <v>230.03474173062389</v>
      </c>
      <c r="E2688" s="8">
        <v>229.7703036455909</v>
      </c>
      <c r="F2688" s="8">
        <v>229.93022864326369</v>
      </c>
      <c r="G2688" s="7">
        <v>33364</v>
      </c>
      <c r="H2688" s="9">
        <v>7671392.1484538494</v>
      </c>
      <c r="I2688" s="5" t="s">
        <v>3817</v>
      </c>
    </row>
    <row r="2689" spans="1:9" x14ac:dyDescent="0.25">
      <c r="A2689" s="6">
        <v>45996.607638888891</v>
      </c>
      <c r="B2689" s="5" t="s">
        <v>17</v>
      </c>
      <c r="C2689" s="8">
        <v>229.98605048229359</v>
      </c>
      <c r="D2689" s="8">
        <v>229.9924818210028</v>
      </c>
      <c r="E2689" s="8">
        <v>229.86689112111119</v>
      </c>
      <c r="F2689" s="8">
        <v>229.96294568662381</v>
      </c>
      <c r="G2689" s="7">
        <v>54587</v>
      </c>
      <c r="H2689" s="9">
        <v>12552987.31619573</v>
      </c>
      <c r="I2689" s="5" t="s">
        <v>3818</v>
      </c>
    </row>
    <row r="2690" spans="1:9" x14ac:dyDescent="0.25">
      <c r="A2690" s="6">
        <v>45996.611111111109</v>
      </c>
      <c r="B2690" s="5" t="s">
        <v>17</v>
      </c>
      <c r="C2690" s="8">
        <v>229.76387620333259</v>
      </c>
      <c r="D2690" s="8">
        <v>230.13616510523599</v>
      </c>
      <c r="E2690" s="8">
        <v>229.61549409758089</v>
      </c>
      <c r="F2690" s="8">
        <v>229.91539670597379</v>
      </c>
      <c r="G2690" s="7">
        <v>79790</v>
      </c>
      <c r="H2690" s="9">
        <v>18344949.503169648</v>
      </c>
      <c r="I2690" s="5" t="s">
        <v>3819</v>
      </c>
    </row>
    <row r="2691" spans="1:9" x14ac:dyDescent="0.25">
      <c r="A2691" s="6">
        <v>45996.614583333343</v>
      </c>
      <c r="B2691" s="5" t="s">
        <v>17</v>
      </c>
      <c r="C2691" s="8">
        <v>230.24872569102519</v>
      </c>
      <c r="D2691" s="8">
        <v>230.33068378899941</v>
      </c>
      <c r="E2691" s="8">
        <v>230.215920032849</v>
      </c>
      <c r="F2691" s="8">
        <v>230.23506381865721</v>
      </c>
      <c r="G2691" s="7">
        <v>73921</v>
      </c>
      <c r="H2691" s="9">
        <v>17019206.152538959</v>
      </c>
      <c r="I2691" s="5" t="s">
        <v>3820</v>
      </c>
    </row>
    <row r="2692" spans="1:9" x14ac:dyDescent="0.25">
      <c r="A2692" s="6">
        <v>45996.618055555547</v>
      </c>
      <c r="B2692" s="5" t="s">
        <v>17</v>
      </c>
      <c r="C2692" s="8">
        <v>230.11577058480549</v>
      </c>
      <c r="D2692" s="8">
        <v>230.23156603201841</v>
      </c>
      <c r="E2692" s="8">
        <v>229.8811848198562</v>
      </c>
      <c r="F2692" s="8">
        <v>230.21216858113249</v>
      </c>
      <c r="G2692" s="7">
        <v>69900</v>
      </c>
      <c r="H2692" s="9">
        <v>16091830.583821161</v>
      </c>
      <c r="I2692" s="5" t="s">
        <v>3821</v>
      </c>
    </row>
    <row r="2693" spans="1:9" x14ac:dyDescent="0.25">
      <c r="A2693" s="6">
        <v>45996.621527777781</v>
      </c>
      <c r="B2693" s="5" t="s">
        <v>17</v>
      </c>
      <c r="C2693" s="8">
        <v>230.31701694343641</v>
      </c>
      <c r="D2693" s="8">
        <v>230.4125822439558</v>
      </c>
      <c r="E2693" s="8">
        <v>230.07115646702681</v>
      </c>
      <c r="F2693" s="8">
        <v>230.2484950253872</v>
      </c>
      <c r="G2693" s="7">
        <v>65248</v>
      </c>
      <c r="H2693" s="9">
        <v>15023253.80341647</v>
      </c>
      <c r="I2693" s="5" t="s">
        <v>3822</v>
      </c>
    </row>
    <row r="2694" spans="1:9" x14ac:dyDescent="0.25">
      <c r="A2694" s="6">
        <v>45996.625</v>
      </c>
      <c r="B2694" s="5" t="s">
        <v>17</v>
      </c>
      <c r="C2694" s="8">
        <v>230.14264855196819</v>
      </c>
      <c r="D2694" s="8">
        <v>230.30667257782559</v>
      </c>
      <c r="E2694" s="8">
        <v>230.03201747054521</v>
      </c>
      <c r="F2694" s="8">
        <v>230.16992976344409</v>
      </c>
      <c r="G2694" s="7">
        <v>74631</v>
      </c>
      <c r="H2694" s="9">
        <v>17177812.0281756</v>
      </c>
      <c r="I2694" s="5" t="s">
        <v>3823</v>
      </c>
    </row>
    <row r="2695" spans="1:9" x14ac:dyDescent="0.25">
      <c r="A2695" s="6">
        <v>45996.628472222219</v>
      </c>
      <c r="B2695" s="5" t="s">
        <v>17</v>
      </c>
      <c r="C2695" s="8">
        <v>230.14775926992149</v>
      </c>
      <c r="D2695" s="8">
        <v>230.4004836588351</v>
      </c>
      <c r="E2695" s="8">
        <v>229.98347406157711</v>
      </c>
      <c r="F2695" s="8">
        <v>230.1376261170515</v>
      </c>
      <c r="G2695" s="7">
        <v>61112</v>
      </c>
      <c r="H2695" s="9">
        <v>14064170.607265251</v>
      </c>
      <c r="I2695" s="5" t="s">
        <v>3824</v>
      </c>
    </row>
    <row r="2696" spans="1:9" x14ac:dyDescent="0.25">
      <c r="A2696" s="6">
        <v>45996.631944444453</v>
      </c>
      <c r="B2696" s="5" t="s">
        <v>17</v>
      </c>
      <c r="C2696" s="8">
        <v>230.3061371526193</v>
      </c>
      <c r="D2696" s="8">
        <v>230.48232470275451</v>
      </c>
      <c r="E2696" s="8">
        <v>230.28590286246521</v>
      </c>
      <c r="F2696" s="8">
        <v>230.35838741131619</v>
      </c>
      <c r="G2696" s="7">
        <v>67635</v>
      </c>
      <c r="H2696" s="9">
        <v>15580289.53256437</v>
      </c>
      <c r="I2696" s="5" t="s">
        <v>3825</v>
      </c>
    </row>
    <row r="2697" spans="1:9" x14ac:dyDescent="0.25">
      <c r="A2697" s="6">
        <v>45996.635416666657</v>
      </c>
      <c r="B2697" s="5" t="s">
        <v>17</v>
      </c>
      <c r="C2697" s="8">
        <v>230.51207338578789</v>
      </c>
      <c r="D2697" s="8">
        <v>230.6929506367569</v>
      </c>
      <c r="E2697" s="8">
        <v>230.2753860132687</v>
      </c>
      <c r="F2697" s="8">
        <v>230.38650603537741</v>
      </c>
      <c r="G2697" s="7">
        <v>69960</v>
      </c>
      <c r="H2697" s="9">
        <v>16117839.962235009</v>
      </c>
      <c r="I2697" s="5" t="s">
        <v>3826</v>
      </c>
    </row>
    <row r="2698" spans="1:9" x14ac:dyDescent="0.25">
      <c r="A2698" s="6">
        <v>45996.638888888891</v>
      </c>
      <c r="B2698" s="5" t="s">
        <v>17</v>
      </c>
      <c r="C2698" s="8">
        <v>230.50327711088801</v>
      </c>
      <c r="D2698" s="8">
        <v>230.65624152660459</v>
      </c>
      <c r="E2698" s="8">
        <v>230.4666809336789</v>
      </c>
      <c r="F2698" s="8">
        <v>230.53719198018311</v>
      </c>
      <c r="G2698" s="7">
        <v>56365</v>
      </c>
      <c r="H2698" s="9">
        <v>12994228.82596302</v>
      </c>
      <c r="I2698" s="5" t="s">
        <v>3827</v>
      </c>
    </row>
    <row r="2699" spans="1:9" x14ac:dyDescent="0.25">
      <c r="A2699" s="6">
        <v>45996.642361111109</v>
      </c>
      <c r="B2699" s="5" t="s">
        <v>17</v>
      </c>
      <c r="C2699" s="8">
        <v>230.29404974859489</v>
      </c>
      <c r="D2699" s="8">
        <v>230.4163132060288</v>
      </c>
      <c r="E2699" s="8">
        <v>230.04476553362269</v>
      </c>
      <c r="F2699" s="8">
        <v>230.25588407082299</v>
      </c>
      <c r="G2699" s="7">
        <v>66560</v>
      </c>
      <c r="H2699" s="9">
        <v>15325831.643753979</v>
      </c>
      <c r="I2699" s="5" t="s">
        <v>3828</v>
      </c>
    </row>
    <row r="2700" spans="1:9" x14ac:dyDescent="0.25">
      <c r="A2700" s="6">
        <v>45996.645833333343</v>
      </c>
      <c r="B2700" s="5" t="s">
        <v>17</v>
      </c>
      <c r="C2700" s="8">
        <v>230.1492650390849</v>
      </c>
      <c r="D2700" s="8">
        <v>230.32066957681539</v>
      </c>
      <c r="E2700" s="8">
        <v>230.05039539299301</v>
      </c>
      <c r="F2700" s="8">
        <v>230.24203130033169</v>
      </c>
      <c r="G2700" s="7">
        <v>43682</v>
      </c>
      <c r="H2700" s="9">
        <v>10057432.411261089</v>
      </c>
      <c r="I2700" s="5" t="s">
        <v>3829</v>
      </c>
    </row>
    <row r="2701" spans="1:9" x14ac:dyDescent="0.25">
      <c r="A2701" s="6">
        <v>45996.649305555547</v>
      </c>
      <c r="B2701" s="5" t="s">
        <v>17</v>
      </c>
      <c r="C2701" s="8">
        <v>229.97011692116331</v>
      </c>
      <c r="D2701" s="8">
        <v>230.03492492892369</v>
      </c>
      <c r="E2701" s="8">
        <v>229.88177394957691</v>
      </c>
      <c r="F2701" s="8">
        <v>229.98069698263291</v>
      </c>
      <c r="G2701" s="7">
        <v>78398</v>
      </c>
      <c r="H2701" s="9">
        <v>18030026.68204445</v>
      </c>
      <c r="I2701" s="5" t="s">
        <v>3830</v>
      </c>
    </row>
    <row r="2702" spans="1:9" x14ac:dyDescent="0.25">
      <c r="A2702" s="6">
        <v>45996.652777777781</v>
      </c>
      <c r="B2702" s="5" t="s">
        <v>17</v>
      </c>
      <c r="C2702" s="8">
        <v>230.10659268405681</v>
      </c>
      <c r="D2702" s="8">
        <v>230.14013300959749</v>
      </c>
      <c r="E2702" s="8">
        <v>229.94084368213251</v>
      </c>
      <c r="F2702" s="8">
        <v>230.01974136889069</v>
      </c>
      <c r="G2702" s="7">
        <v>64602</v>
      </c>
      <c r="H2702" s="9">
        <v>14859735.331913071</v>
      </c>
      <c r="I2702" s="5" t="s">
        <v>3831</v>
      </c>
    </row>
    <row r="2703" spans="1:9" x14ac:dyDescent="0.25">
      <c r="A2703" s="6">
        <v>45996.65625</v>
      </c>
      <c r="B2703" s="5" t="s">
        <v>17</v>
      </c>
      <c r="C2703" s="8">
        <v>229.94389504256139</v>
      </c>
      <c r="D2703" s="8">
        <v>230.15745491094191</v>
      </c>
      <c r="E2703" s="8">
        <v>229.87499105540749</v>
      </c>
      <c r="F2703" s="8">
        <v>230.0352250262591</v>
      </c>
      <c r="G2703" s="7">
        <v>45538</v>
      </c>
      <c r="H2703" s="9">
        <v>10475344.077245791</v>
      </c>
      <c r="I2703" s="5" t="s">
        <v>3832</v>
      </c>
    </row>
    <row r="2704" spans="1:9" x14ac:dyDescent="0.25">
      <c r="A2704" s="6">
        <v>45996.659722222219</v>
      </c>
      <c r="B2704" s="5" t="s">
        <v>17</v>
      </c>
      <c r="C2704" s="8">
        <v>230.07741546516641</v>
      </c>
      <c r="D2704" s="8">
        <v>230.18569549275301</v>
      </c>
      <c r="E2704" s="8">
        <v>230.01232337303361</v>
      </c>
      <c r="F2704" s="8">
        <v>230.17477233451709</v>
      </c>
      <c r="G2704" s="7">
        <v>40969</v>
      </c>
      <c r="H2704" s="9">
        <v>9430030.2477728296</v>
      </c>
      <c r="I2704" s="5" t="s">
        <v>3833</v>
      </c>
    </row>
    <row r="2705" spans="1:9" x14ac:dyDescent="0.25">
      <c r="A2705" s="6">
        <v>45996.663194444453</v>
      </c>
      <c r="B2705" s="5" t="s">
        <v>17</v>
      </c>
      <c r="C2705" s="8">
        <v>229.99779453482671</v>
      </c>
      <c r="D2705" s="8">
        <v>230.2950662498362</v>
      </c>
      <c r="E2705" s="8">
        <v>229.9043237254642</v>
      </c>
      <c r="F2705" s="8">
        <v>230.0476958090297</v>
      </c>
      <c r="G2705" s="7">
        <v>52124</v>
      </c>
      <c r="H2705" s="9">
        <v>11991006.096349871</v>
      </c>
      <c r="I2705" s="5" t="s">
        <v>3834</v>
      </c>
    </row>
    <row r="2706" spans="1:9" x14ac:dyDescent="0.25">
      <c r="A2706" s="6">
        <v>45996.666666666657</v>
      </c>
      <c r="B2706" s="5" t="s">
        <v>17</v>
      </c>
      <c r="C2706" s="8">
        <v>230.37187949830121</v>
      </c>
      <c r="D2706" s="8">
        <v>230.40487818299181</v>
      </c>
      <c r="E2706" s="8">
        <v>230.2612542024572</v>
      </c>
      <c r="F2706" s="8">
        <v>230.3713965386855</v>
      </c>
      <c r="G2706" s="7">
        <v>65287</v>
      </c>
      <c r="H2706" s="9">
        <v>15040257.36582116</v>
      </c>
      <c r="I2706" s="5" t="s">
        <v>3835</v>
      </c>
    </row>
    <row r="2707" spans="1:9" x14ac:dyDescent="0.25">
      <c r="A2707" s="6">
        <v>45996.670138888891</v>
      </c>
      <c r="B2707" s="5" t="s">
        <v>17</v>
      </c>
      <c r="C2707" s="8">
        <v>230.28268877914439</v>
      </c>
      <c r="D2707" s="8">
        <v>230.38153414586651</v>
      </c>
      <c r="E2707" s="8">
        <v>230.20115752891459</v>
      </c>
      <c r="F2707" s="8">
        <v>230.33286499668591</v>
      </c>
      <c r="G2707" s="7">
        <v>41037</v>
      </c>
      <c r="H2707" s="9">
        <v>9452169.7808689997</v>
      </c>
      <c r="I2707" s="5" t="s">
        <v>3836</v>
      </c>
    </row>
    <row r="2708" spans="1:9" x14ac:dyDescent="0.25">
      <c r="A2708" s="6">
        <v>45996.673611111109</v>
      </c>
      <c r="B2708" s="5" t="s">
        <v>17</v>
      </c>
      <c r="C2708" s="8">
        <v>230.15585717433669</v>
      </c>
      <c r="D2708" s="8">
        <v>230.37228907952871</v>
      </c>
      <c r="E2708" s="8">
        <v>230.03019341966569</v>
      </c>
      <c r="F2708" s="8">
        <v>230.20559632546369</v>
      </c>
      <c r="G2708" s="7">
        <v>77562</v>
      </c>
      <c r="H2708" s="9">
        <v>17855206.46219562</v>
      </c>
      <c r="I2708" s="5" t="s">
        <v>3837</v>
      </c>
    </row>
    <row r="2709" spans="1:9" x14ac:dyDescent="0.25">
      <c r="A2709" s="6">
        <v>45996.677083333343</v>
      </c>
      <c r="B2709" s="5" t="s">
        <v>17</v>
      </c>
      <c r="C2709" s="8">
        <v>230.39644565976141</v>
      </c>
      <c r="D2709" s="8">
        <v>230.51114100248569</v>
      </c>
      <c r="E2709" s="8">
        <v>230.31492384307981</v>
      </c>
      <c r="F2709" s="8">
        <v>230.39167295958489</v>
      </c>
      <c r="G2709" s="7">
        <v>59718</v>
      </c>
      <c r="H2709" s="9">
        <v>13758529.925800489</v>
      </c>
      <c r="I2709" s="5" t="s">
        <v>3838</v>
      </c>
    </row>
    <row r="2710" spans="1:9" x14ac:dyDescent="0.25">
      <c r="A2710" s="6">
        <v>45996.680555555547</v>
      </c>
      <c r="B2710" s="5" t="s">
        <v>17</v>
      </c>
      <c r="C2710" s="8">
        <v>230.51856651586121</v>
      </c>
      <c r="D2710" s="8">
        <v>230.72884301492411</v>
      </c>
      <c r="E2710" s="8">
        <v>230.38590916333399</v>
      </c>
      <c r="F2710" s="8">
        <v>230.565803480509</v>
      </c>
      <c r="G2710" s="7">
        <v>55680</v>
      </c>
      <c r="H2710" s="9">
        <v>12837903.937794739</v>
      </c>
      <c r="I2710" s="5" t="s">
        <v>3839</v>
      </c>
    </row>
    <row r="2711" spans="1:9" x14ac:dyDescent="0.25">
      <c r="A2711" s="6">
        <v>45996.684027777781</v>
      </c>
      <c r="B2711" s="5" t="s">
        <v>17</v>
      </c>
      <c r="C2711" s="8">
        <v>230.7162667806839</v>
      </c>
      <c r="D2711" s="8">
        <v>230.97900327373611</v>
      </c>
      <c r="E2711" s="8">
        <v>230.53525280705051</v>
      </c>
      <c r="F2711" s="8">
        <v>230.63090281486711</v>
      </c>
      <c r="G2711" s="7">
        <v>60814</v>
      </c>
      <c r="H2711" s="9">
        <v>14025587.723783329</v>
      </c>
      <c r="I2711" s="5" t="s">
        <v>3840</v>
      </c>
    </row>
    <row r="2712" spans="1:9" x14ac:dyDescent="0.25">
      <c r="A2712" s="6">
        <v>45996.6875</v>
      </c>
      <c r="B2712" s="5" t="s">
        <v>17</v>
      </c>
      <c r="C2712" s="8">
        <v>230.31519921471931</v>
      </c>
      <c r="D2712" s="8">
        <v>230.59282524292831</v>
      </c>
      <c r="E2712" s="8">
        <v>230.2553850475403</v>
      </c>
      <c r="F2712" s="8">
        <v>230.35812491948909</v>
      </c>
      <c r="G2712" s="7">
        <v>78009</v>
      </c>
      <c r="H2712" s="9">
        <v>17970006.966844421</v>
      </c>
      <c r="I2712" s="5" t="s">
        <v>3841</v>
      </c>
    </row>
    <row r="2713" spans="1:9" x14ac:dyDescent="0.25">
      <c r="A2713" s="6">
        <v>45996.690972222219</v>
      </c>
      <c r="B2713" s="5" t="s">
        <v>17</v>
      </c>
      <c r="C2713" s="8">
        <v>230.6305300451121</v>
      </c>
      <c r="D2713" s="8">
        <v>230.70237665327181</v>
      </c>
      <c r="E2713" s="8">
        <v>230.4718367618816</v>
      </c>
      <c r="F2713" s="8">
        <v>230.67839610242851</v>
      </c>
      <c r="G2713" s="7">
        <v>77369</v>
      </c>
      <c r="H2713" s="9">
        <v>17847356.828048792</v>
      </c>
      <c r="I2713" s="5" t="s">
        <v>3842</v>
      </c>
    </row>
    <row r="2714" spans="1:9" x14ac:dyDescent="0.25">
      <c r="A2714" s="6">
        <v>45996.694444444453</v>
      </c>
      <c r="B2714" s="5" t="s">
        <v>17</v>
      </c>
      <c r="C2714" s="8">
        <v>230.8193200665159</v>
      </c>
      <c r="D2714" s="8">
        <v>230.85377461858681</v>
      </c>
      <c r="E2714" s="8">
        <v>230.65027635739381</v>
      </c>
      <c r="F2714" s="8">
        <v>230.78418702373759</v>
      </c>
      <c r="G2714" s="7">
        <v>52313</v>
      </c>
      <c r="H2714" s="9">
        <v>12073013.17577279</v>
      </c>
      <c r="I2714" s="5" t="s">
        <v>3843</v>
      </c>
    </row>
    <row r="2715" spans="1:9" x14ac:dyDescent="0.25">
      <c r="A2715" s="6">
        <v>45996.697916666657</v>
      </c>
      <c r="B2715" s="5" t="s">
        <v>17</v>
      </c>
      <c r="C2715" s="8">
        <v>230.92555106321859</v>
      </c>
      <c r="D2715" s="8">
        <v>231.02085584546231</v>
      </c>
      <c r="E2715" s="8">
        <v>230.8402750077951</v>
      </c>
      <c r="F2715" s="8">
        <v>230.92871727297941</v>
      </c>
      <c r="G2715" s="7">
        <v>64949</v>
      </c>
      <c r="H2715" s="9">
        <v>14998589.258162741</v>
      </c>
      <c r="I2715" s="5" t="s">
        <v>3844</v>
      </c>
    </row>
    <row r="2716" spans="1:9" x14ac:dyDescent="0.25">
      <c r="A2716" s="6">
        <v>45996.701388888891</v>
      </c>
      <c r="B2716" s="5" t="s">
        <v>17</v>
      </c>
      <c r="C2716" s="8">
        <v>230.92779668001009</v>
      </c>
      <c r="D2716" s="8">
        <v>231.1057372954196</v>
      </c>
      <c r="E2716" s="8">
        <v>230.870600919748</v>
      </c>
      <c r="F2716" s="8">
        <v>231.0280014150882</v>
      </c>
      <c r="G2716" s="7">
        <v>50934</v>
      </c>
      <c r="H2716" s="9">
        <v>11767180.2240761</v>
      </c>
      <c r="I2716" s="5" t="s">
        <v>3845</v>
      </c>
    </row>
    <row r="2717" spans="1:9" x14ac:dyDescent="0.25">
      <c r="A2717" s="6">
        <v>45996.704861111109</v>
      </c>
      <c r="B2717" s="5" t="s">
        <v>17</v>
      </c>
      <c r="C2717" s="8">
        <v>230.78744274407589</v>
      </c>
      <c r="D2717" s="8">
        <v>230.95269954424151</v>
      </c>
      <c r="E2717" s="8">
        <v>230.65708479883779</v>
      </c>
      <c r="F2717" s="8">
        <v>230.79428849036529</v>
      </c>
      <c r="G2717" s="7">
        <v>70120</v>
      </c>
      <c r="H2717" s="9">
        <v>16183295.508944411</v>
      </c>
      <c r="I2717" s="5" t="s">
        <v>3846</v>
      </c>
    </row>
    <row r="2718" spans="1:9" x14ac:dyDescent="0.25">
      <c r="A2718" s="6">
        <v>45996.708333333343</v>
      </c>
      <c r="B2718" s="5" t="s">
        <v>17</v>
      </c>
      <c r="C2718" s="8">
        <v>230.7789796234072</v>
      </c>
      <c r="D2718" s="8">
        <v>230.83760684837341</v>
      </c>
      <c r="E2718" s="8">
        <v>230.57939818091171</v>
      </c>
      <c r="F2718" s="8">
        <v>230.74767503084269</v>
      </c>
      <c r="G2718" s="7">
        <v>45803</v>
      </c>
      <c r="H2718" s="9">
        <v>10568935.75943769</v>
      </c>
      <c r="I2718" s="5" t="s">
        <v>3847</v>
      </c>
    </row>
    <row r="2719" spans="1:9" x14ac:dyDescent="0.25">
      <c r="A2719" s="6">
        <v>45996.711805555547</v>
      </c>
      <c r="B2719" s="5" t="s">
        <v>17</v>
      </c>
      <c r="C2719" s="8">
        <v>230.9938962926592</v>
      </c>
      <c r="D2719" s="8">
        <v>231.01212914156869</v>
      </c>
      <c r="E2719" s="8">
        <v>230.9001044236571</v>
      </c>
      <c r="F2719" s="8">
        <v>230.99484409447609</v>
      </c>
      <c r="G2719" s="7">
        <v>53414</v>
      </c>
      <c r="H2719" s="9">
        <v>12338358.602462349</v>
      </c>
      <c r="I2719" s="5" t="s">
        <v>3848</v>
      </c>
    </row>
    <row r="2720" spans="1:9" x14ac:dyDescent="0.25">
      <c r="A2720" s="6">
        <v>45996.715277777781</v>
      </c>
      <c r="B2720" s="5" t="s">
        <v>17</v>
      </c>
      <c r="C2720" s="8">
        <v>231.09109437103021</v>
      </c>
      <c r="D2720" s="8">
        <v>231.14061014106841</v>
      </c>
      <c r="E2720" s="8">
        <v>230.8385712914278</v>
      </c>
      <c r="F2720" s="8">
        <v>231.09724192435681</v>
      </c>
      <c r="G2720" s="7">
        <v>43524</v>
      </c>
      <c r="H2720" s="9">
        <v>10058276.357515709</v>
      </c>
      <c r="I2720" s="5" t="s">
        <v>3849</v>
      </c>
    </row>
    <row r="2721" spans="1:9" x14ac:dyDescent="0.25">
      <c r="A2721" s="6">
        <v>45996.71875</v>
      </c>
      <c r="B2721" s="5" t="s">
        <v>17</v>
      </c>
      <c r="C2721" s="8">
        <v>230.9025629937461</v>
      </c>
      <c r="D2721" s="8">
        <v>231.23466723438179</v>
      </c>
      <c r="E2721" s="8">
        <v>230.87999875001299</v>
      </c>
      <c r="F2721" s="8">
        <v>230.9835245392691</v>
      </c>
      <c r="G2721" s="7">
        <v>65629</v>
      </c>
      <c r="H2721" s="9">
        <v>15159217.731987691</v>
      </c>
      <c r="I2721" s="5" t="s">
        <v>3850</v>
      </c>
    </row>
    <row r="2722" spans="1:9" x14ac:dyDescent="0.25">
      <c r="A2722" s="6">
        <v>45996.722222222219</v>
      </c>
      <c r="B2722" s="5" t="s">
        <v>17</v>
      </c>
      <c r="C2722" s="8">
        <v>230.72671776070399</v>
      </c>
      <c r="D2722" s="8">
        <v>230.87584417852281</v>
      </c>
      <c r="E2722" s="8">
        <v>230.61741588681369</v>
      </c>
      <c r="F2722" s="8">
        <v>230.80930693306379</v>
      </c>
      <c r="G2722" s="7">
        <v>108048</v>
      </c>
      <c r="H2722" s="9">
        <v>24938483.995503679</v>
      </c>
      <c r="I2722" s="5" t="s">
        <v>3851</v>
      </c>
    </row>
    <row r="2723" spans="1:9" x14ac:dyDescent="0.25">
      <c r="A2723" s="6">
        <v>45996.725694444453</v>
      </c>
      <c r="B2723" s="5" t="s">
        <v>17</v>
      </c>
      <c r="C2723" s="8">
        <v>231.11499285589511</v>
      </c>
      <c r="D2723" s="8">
        <v>231.14853873073361</v>
      </c>
      <c r="E2723" s="8">
        <v>231.0129651899955</v>
      </c>
      <c r="F2723" s="8">
        <v>231.08759681932409</v>
      </c>
      <c r="G2723" s="7">
        <v>34776</v>
      </c>
      <c r="H2723" s="9">
        <v>8036302.2669888148</v>
      </c>
      <c r="I2723" s="5" t="s">
        <v>3852</v>
      </c>
    </row>
    <row r="2724" spans="1:9" x14ac:dyDescent="0.25">
      <c r="A2724" s="6">
        <v>45996.729166666657</v>
      </c>
      <c r="B2724" s="5" t="s">
        <v>17</v>
      </c>
      <c r="C2724" s="8">
        <v>231.3380930963115</v>
      </c>
      <c r="D2724" s="8">
        <v>231.54915476130759</v>
      </c>
      <c r="E2724" s="8">
        <v>231.186641733063</v>
      </c>
      <c r="F2724" s="8">
        <v>231.2367096271262</v>
      </c>
      <c r="G2724" s="7">
        <v>77508</v>
      </c>
      <c r="H2724" s="9">
        <v>17922694.889779299</v>
      </c>
      <c r="I2724" s="5" t="s">
        <v>3853</v>
      </c>
    </row>
    <row r="2725" spans="1:9" x14ac:dyDescent="0.25">
      <c r="A2725" s="6">
        <v>45996.732638888891</v>
      </c>
      <c r="B2725" s="5" t="s">
        <v>17</v>
      </c>
      <c r="C2725" s="8">
        <v>231.2101376731608</v>
      </c>
      <c r="D2725" s="8">
        <v>231.42088771475429</v>
      </c>
      <c r="E2725" s="8">
        <v>231.17404651552849</v>
      </c>
      <c r="F2725" s="8">
        <v>231.23523491604871</v>
      </c>
      <c r="G2725" s="7">
        <v>81961</v>
      </c>
      <c r="H2725" s="9">
        <v>18952271.088954259</v>
      </c>
      <c r="I2725" s="5" t="s">
        <v>3854</v>
      </c>
    </row>
    <row r="2726" spans="1:9" x14ac:dyDescent="0.25">
      <c r="A2726" s="6">
        <v>45996.736111111109</v>
      </c>
      <c r="B2726" s="5" t="s">
        <v>17</v>
      </c>
      <c r="C2726" s="8">
        <v>231.14982712100971</v>
      </c>
      <c r="D2726" s="8">
        <v>231.31743684462171</v>
      </c>
      <c r="E2726" s="8">
        <v>230.92476637628249</v>
      </c>
      <c r="F2726" s="8">
        <v>231.1457122494439</v>
      </c>
      <c r="G2726" s="7">
        <v>43090</v>
      </c>
      <c r="H2726" s="9">
        <v>9960068.7408285383</v>
      </c>
      <c r="I2726" s="5" t="s">
        <v>3855</v>
      </c>
    </row>
    <row r="2727" spans="1:9" x14ac:dyDescent="0.25">
      <c r="A2727" s="6">
        <v>45996.739583333343</v>
      </c>
      <c r="B2727" s="5" t="s">
        <v>17</v>
      </c>
      <c r="C2727" s="8">
        <v>231.28841594684329</v>
      </c>
      <c r="D2727" s="8">
        <v>231.4482312280735</v>
      </c>
      <c r="E2727" s="8">
        <v>231.06872464645539</v>
      </c>
      <c r="F2727" s="8">
        <v>231.22061343180621</v>
      </c>
      <c r="G2727" s="7">
        <v>47184</v>
      </c>
      <c r="H2727" s="9">
        <v>10909913.42416634</v>
      </c>
      <c r="I2727" s="5" t="s">
        <v>3856</v>
      </c>
    </row>
    <row r="2728" spans="1:9" x14ac:dyDescent="0.25">
      <c r="A2728" s="6">
        <v>45996.743055555547</v>
      </c>
      <c r="B2728" s="5" t="s">
        <v>17</v>
      </c>
      <c r="C2728" s="8">
        <v>230.96250588722259</v>
      </c>
      <c r="D2728" s="8">
        <v>231.00925438241629</v>
      </c>
      <c r="E2728" s="8">
        <v>230.86725508734159</v>
      </c>
      <c r="F2728" s="8">
        <v>230.9459829126597</v>
      </c>
      <c r="G2728" s="7">
        <v>61540</v>
      </c>
      <c r="H2728" s="9">
        <v>14212415.78844508</v>
      </c>
      <c r="I2728" s="5" t="s">
        <v>3857</v>
      </c>
    </row>
    <row r="2729" spans="1:9" x14ac:dyDescent="0.25">
      <c r="A2729" s="6">
        <v>45996.746527777781</v>
      </c>
      <c r="B2729" s="5" t="s">
        <v>17</v>
      </c>
      <c r="C2729" s="8">
        <v>231.05718765257609</v>
      </c>
      <c r="D2729" s="8">
        <v>231.11231030529359</v>
      </c>
      <c r="E2729" s="8">
        <v>230.93574724890249</v>
      </c>
      <c r="F2729" s="8">
        <v>231.0259722891814</v>
      </c>
      <c r="G2729" s="7">
        <v>161951</v>
      </c>
      <c r="H2729" s="9">
        <v>37414887.238205209</v>
      </c>
      <c r="I2729" s="5" t="s">
        <v>3858</v>
      </c>
    </row>
    <row r="2730" spans="1:9" x14ac:dyDescent="0.25">
      <c r="A2730" s="6">
        <v>45996.75</v>
      </c>
      <c r="B2730" s="5" t="s">
        <v>17</v>
      </c>
      <c r="C2730" s="8">
        <v>231.07383674882959</v>
      </c>
      <c r="D2730" s="8">
        <v>231.18654100238081</v>
      </c>
      <c r="E2730" s="8">
        <v>230.99454290829991</v>
      </c>
      <c r="F2730" s="8">
        <v>231.13777829365671</v>
      </c>
      <c r="G2730" s="7">
        <v>75513</v>
      </c>
      <c r="H2730" s="9">
        <v>17453907.052288901</v>
      </c>
      <c r="I2730" s="5" t="s">
        <v>3859</v>
      </c>
    </row>
    <row r="2731" spans="1:9" x14ac:dyDescent="0.25">
      <c r="A2731" s="6">
        <v>45996.753472222219</v>
      </c>
      <c r="B2731" s="5" t="s">
        <v>17</v>
      </c>
      <c r="C2731" s="8">
        <v>230.8037187274121</v>
      </c>
      <c r="D2731" s="8">
        <v>230.8887000073172</v>
      </c>
      <c r="E2731" s="8">
        <v>230.6842549542134</v>
      </c>
      <c r="F2731" s="8">
        <v>230.82537775831909</v>
      </c>
      <c r="G2731" s="7">
        <v>92223</v>
      </c>
      <c r="H2731" s="9">
        <v>21287408.81300547</v>
      </c>
      <c r="I2731" s="5" t="s">
        <v>3860</v>
      </c>
    </row>
    <row r="2732" spans="1:9" x14ac:dyDescent="0.25">
      <c r="A2732" s="6">
        <v>45996.756944444453</v>
      </c>
      <c r="B2732" s="5" t="s">
        <v>17</v>
      </c>
      <c r="C2732" s="8">
        <v>230.8020412768889</v>
      </c>
      <c r="D2732" s="8">
        <v>231.13692597431881</v>
      </c>
      <c r="E2732" s="8">
        <v>230.66329761867809</v>
      </c>
      <c r="F2732" s="8">
        <v>230.8603688827944</v>
      </c>
      <c r="G2732" s="7">
        <v>60669</v>
      </c>
      <c r="H2732" s="9">
        <v>14006067.71975025</v>
      </c>
      <c r="I2732" s="5" t="s">
        <v>3861</v>
      </c>
    </row>
    <row r="2733" spans="1:9" x14ac:dyDescent="0.25">
      <c r="A2733" s="6">
        <v>45996.760416666657</v>
      </c>
      <c r="B2733" s="5" t="s">
        <v>17</v>
      </c>
      <c r="C2733" s="8">
        <v>231.083192862483</v>
      </c>
      <c r="D2733" s="8">
        <v>231.28051715753961</v>
      </c>
      <c r="E2733" s="8">
        <v>231.00505623655161</v>
      </c>
      <c r="F2733" s="8">
        <v>231.08979558853309</v>
      </c>
      <c r="G2733" s="7">
        <v>77947</v>
      </c>
      <c r="H2733" s="9">
        <v>18012756.296739388</v>
      </c>
      <c r="I2733" s="5" t="s">
        <v>3862</v>
      </c>
    </row>
    <row r="2734" spans="1:9" x14ac:dyDescent="0.25">
      <c r="A2734" s="6">
        <v>45996.763888888891</v>
      </c>
      <c r="B2734" s="5" t="s">
        <v>17</v>
      </c>
      <c r="C2734" s="8">
        <v>231.3800202457856</v>
      </c>
      <c r="D2734" s="8">
        <v>231.56456888274781</v>
      </c>
      <c r="E2734" s="8">
        <v>231.22190624177131</v>
      </c>
      <c r="F2734" s="8">
        <v>231.35927486250429</v>
      </c>
      <c r="G2734" s="7">
        <v>76447</v>
      </c>
      <c r="H2734" s="9">
        <v>17686722.485413872</v>
      </c>
      <c r="I2734" s="5" t="s">
        <v>3863</v>
      </c>
    </row>
    <row r="2735" spans="1:9" x14ac:dyDescent="0.25">
      <c r="A2735" s="6">
        <v>45996.767361111109</v>
      </c>
      <c r="B2735" s="5" t="s">
        <v>17</v>
      </c>
      <c r="C2735" s="8">
        <v>231.43831429833361</v>
      </c>
      <c r="D2735" s="8">
        <v>231.503086013592</v>
      </c>
      <c r="E2735" s="8">
        <v>231.31504224639869</v>
      </c>
      <c r="F2735" s="8">
        <v>231.41504700012169</v>
      </c>
      <c r="G2735" s="7">
        <v>76287</v>
      </c>
      <c r="H2735" s="9">
        <v>17653959.690498281</v>
      </c>
      <c r="I2735" s="5" t="s">
        <v>3864</v>
      </c>
    </row>
    <row r="2736" spans="1:9" x14ac:dyDescent="0.25">
      <c r="A2736" s="6">
        <v>45996.770833333343</v>
      </c>
      <c r="B2736" s="5" t="s">
        <v>17</v>
      </c>
      <c r="C2736" s="8">
        <v>231.30794224219881</v>
      </c>
      <c r="D2736" s="8">
        <v>231.35491273613599</v>
      </c>
      <c r="E2736" s="8">
        <v>231.1918559182927</v>
      </c>
      <c r="F2736" s="8">
        <v>231.25114979370031</v>
      </c>
      <c r="G2736" s="7">
        <v>43046</v>
      </c>
      <c r="H2736" s="9">
        <v>9954436.9940196201</v>
      </c>
      <c r="I2736" s="5" t="s">
        <v>3865</v>
      </c>
    </row>
    <row r="2737" spans="1:9" x14ac:dyDescent="0.25">
      <c r="A2737" s="6">
        <v>45996.774305555547</v>
      </c>
      <c r="B2737" s="5" t="s">
        <v>17</v>
      </c>
      <c r="C2737" s="8">
        <v>231.16909568538389</v>
      </c>
      <c r="D2737" s="8">
        <v>231.18623760844119</v>
      </c>
      <c r="E2737" s="8">
        <v>231.12620477378289</v>
      </c>
      <c r="F2737" s="8">
        <v>231.15785748587069</v>
      </c>
      <c r="G2737" s="7">
        <v>75607</v>
      </c>
      <c r="H2737" s="9">
        <v>17477152.130934231</v>
      </c>
      <c r="I2737" s="5" t="s">
        <v>3866</v>
      </c>
    </row>
    <row r="2738" spans="1:9" x14ac:dyDescent="0.25">
      <c r="A2738" s="6">
        <v>45996.777777777781</v>
      </c>
      <c r="B2738" s="5" t="s">
        <v>17</v>
      </c>
      <c r="C2738" s="8">
        <v>231.0942511338223</v>
      </c>
      <c r="D2738" s="8">
        <v>231.17018125881981</v>
      </c>
      <c r="E2738" s="8">
        <v>230.96295821118181</v>
      </c>
      <c r="F2738" s="8">
        <v>231.0888567605837</v>
      </c>
      <c r="G2738" s="7">
        <v>87429</v>
      </c>
      <c r="H2738" s="9">
        <v>20203867.657721069</v>
      </c>
      <c r="I2738" s="5" t="s">
        <v>3867</v>
      </c>
    </row>
    <row r="2739" spans="1:9" x14ac:dyDescent="0.25">
      <c r="A2739" s="6">
        <v>45996.78125</v>
      </c>
      <c r="B2739" s="5" t="s">
        <v>17</v>
      </c>
      <c r="C2739" s="8">
        <v>231.33116086432989</v>
      </c>
      <c r="D2739" s="8">
        <v>231.39540696256941</v>
      </c>
      <c r="E2739" s="8">
        <v>231.12916396216659</v>
      </c>
      <c r="F2739" s="8">
        <v>231.21504262157831</v>
      </c>
      <c r="G2739" s="7">
        <v>59919</v>
      </c>
      <c r="H2739" s="9">
        <v>13854174.13884235</v>
      </c>
      <c r="I2739" s="5" t="s">
        <v>3868</v>
      </c>
    </row>
    <row r="2740" spans="1:9" x14ac:dyDescent="0.25">
      <c r="A2740" s="6">
        <v>45996.784722222219</v>
      </c>
      <c r="B2740" s="5" t="s">
        <v>17</v>
      </c>
      <c r="C2740" s="8">
        <v>231.75239856000329</v>
      </c>
      <c r="D2740" s="8">
        <v>231.83350231016149</v>
      </c>
      <c r="E2740" s="8">
        <v>231.68777602701149</v>
      </c>
      <c r="F2740" s="8">
        <v>231.7063430768128</v>
      </c>
      <c r="G2740" s="7">
        <v>88476</v>
      </c>
      <c r="H2740" s="9">
        <v>20500450.41006409</v>
      </c>
      <c r="I2740" s="5" t="s">
        <v>3869</v>
      </c>
    </row>
    <row r="2741" spans="1:9" x14ac:dyDescent="0.25">
      <c r="A2741" s="6">
        <v>45996.788194444453</v>
      </c>
      <c r="B2741" s="5" t="s">
        <v>17</v>
      </c>
      <c r="C2741" s="8">
        <v>231.92343568796551</v>
      </c>
      <c r="D2741" s="8">
        <v>232.0467320443791</v>
      </c>
      <c r="E2741" s="8">
        <v>231.60703661524721</v>
      </c>
      <c r="F2741" s="8">
        <v>231.8305147033706</v>
      </c>
      <c r="G2741" s="7">
        <v>34788</v>
      </c>
      <c r="H2741" s="9">
        <v>8064919.9455008553</v>
      </c>
      <c r="I2741" s="5" t="s">
        <v>3870</v>
      </c>
    </row>
    <row r="2742" spans="1:9" x14ac:dyDescent="0.25">
      <c r="A2742" s="6">
        <v>45996.791666666657</v>
      </c>
      <c r="B2742" s="5" t="s">
        <v>17</v>
      </c>
      <c r="C2742" s="8">
        <v>231.80152894326531</v>
      </c>
      <c r="D2742" s="8">
        <v>231.9719911088178</v>
      </c>
      <c r="E2742" s="8">
        <v>231.73158097110499</v>
      </c>
      <c r="F2742" s="8">
        <v>231.7901734346006</v>
      </c>
      <c r="G2742" s="7">
        <v>88126</v>
      </c>
      <c r="H2742" s="9">
        <v>20426740.824097611</v>
      </c>
      <c r="I2742" s="5" t="s">
        <v>3871</v>
      </c>
    </row>
    <row r="2743" spans="1:9" x14ac:dyDescent="0.25">
      <c r="A2743" s="6">
        <v>45996.795138888891</v>
      </c>
      <c r="B2743" s="5" t="s">
        <v>17</v>
      </c>
      <c r="C2743" s="8">
        <v>232.0223195951792</v>
      </c>
      <c r="D2743" s="8">
        <v>232.12984196936429</v>
      </c>
      <c r="E2743" s="8">
        <v>231.7388097866685</v>
      </c>
      <c r="F2743" s="8">
        <v>231.93091592703249</v>
      </c>
      <c r="G2743" s="7">
        <v>52019</v>
      </c>
      <c r="H2743" s="9">
        <v>12064814.3156083</v>
      </c>
      <c r="I2743" s="5" t="s">
        <v>3872</v>
      </c>
    </row>
    <row r="2744" spans="1:9" x14ac:dyDescent="0.25">
      <c r="A2744" s="6">
        <v>45996.798611111109</v>
      </c>
      <c r="B2744" s="5" t="s">
        <v>17</v>
      </c>
      <c r="C2744" s="8">
        <v>232.10067416506109</v>
      </c>
      <c r="D2744" s="8">
        <v>232.28362386343869</v>
      </c>
      <c r="E2744" s="8">
        <v>232.04335059498629</v>
      </c>
      <c r="F2744" s="8">
        <v>232.11969233573711</v>
      </c>
      <c r="G2744" s="7">
        <v>56203</v>
      </c>
      <c r="H2744" s="9">
        <v>13045823.068345429</v>
      </c>
      <c r="I2744" s="5" t="s">
        <v>3873</v>
      </c>
    </row>
    <row r="2745" spans="1:9" x14ac:dyDescent="0.25">
      <c r="A2745" s="6">
        <v>45996.802083333343</v>
      </c>
      <c r="B2745" s="5" t="s">
        <v>17</v>
      </c>
      <c r="C2745" s="8">
        <v>232.12220892869729</v>
      </c>
      <c r="D2745" s="8">
        <v>232.38909051263261</v>
      </c>
      <c r="E2745" s="8">
        <v>232.01219180225061</v>
      </c>
      <c r="F2745" s="8">
        <v>232.095117163407</v>
      </c>
      <c r="G2745" s="7">
        <v>89746</v>
      </c>
      <c r="H2745" s="9">
        <v>20829608.384947121</v>
      </c>
      <c r="I2745" s="5" t="s">
        <v>3874</v>
      </c>
    </row>
    <row r="2746" spans="1:9" x14ac:dyDescent="0.25">
      <c r="A2746" s="6">
        <v>45996.805555555547</v>
      </c>
      <c r="B2746" s="5" t="s">
        <v>17</v>
      </c>
      <c r="C2746" s="8">
        <v>232.23924107103579</v>
      </c>
      <c r="D2746" s="8">
        <v>232.36150662083949</v>
      </c>
      <c r="E2746" s="8">
        <v>232.04808953548181</v>
      </c>
      <c r="F2746" s="8">
        <v>232.19806144909541</v>
      </c>
      <c r="G2746" s="7">
        <v>60419</v>
      </c>
      <c r="H2746" s="9">
        <v>14029174.674692901</v>
      </c>
      <c r="I2746" s="5" t="s">
        <v>3875</v>
      </c>
    </row>
    <row r="2747" spans="1:9" x14ac:dyDescent="0.25">
      <c r="A2747" s="6">
        <v>45996.809027777781</v>
      </c>
      <c r="B2747" s="5" t="s">
        <v>17</v>
      </c>
      <c r="C2747" s="8">
        <v>232.14306473057269</v>
      </c>
      <c r="D2747" s="8">
        <v>232.30947843996259</v>
      </c>
      <c r="E2747" s="8">
        <v>231.95198047221069</v>
      </c>
      <c r="F2747" s="8">
        <v>232.17413169688041</v>
      </c>
      <c r="G2747" s="7">
        <v>94035</v>
      </c>
      <c r="H2747" s="9">
        <v>21832494.474116139</v>
      </c>
      <c r="I2747" s="5" t="s">
        <v>3876</v>
      </c>
    </row>
    <row r="2748" spans="1:9" x14ac:dyDescent="0.25">
      <c r="A2748" s="6">
        <v>45996.8125</v>
      </c>
      <c r="B2748" s="5" t="s">
        <v>17</v>
      </c>
      <c r="C2748" s="8">
        <v>232.3169252956948</v>
      </c>
      <c r="D2748" s="8">
        <v>232.37479590486899</v>
      </c>
      <c r="E2748" s="8">
        <v>232.2080619440963</v>
      </c>
      <c r="F2748" s="8">
        <v>232.29803948550349</v>
      </c>
      <c r="G2748" s="7">
        <v>56574</v>
      </c>
      <c r="H2748" s="9">
        <v>13142029.28585287</v>
      </c>
      <c r="I2748" s="5" t="s">
        <v>3877</v>
      </c>
    </row>
    <row r="2749" spans="1:9" x14ac:dyDescent="0.25">
      <c r="A2749" s="6">
        <v>45996.815972222219</v>
      </c>
      <c r="B2749" s="5" t="s">
        <v>17</v>
      </c>
      <c r="C2749" s="8">
        <v>232.16699047445141</v>
      </c>
      <c r="D2749" s="8">
        <v>232.3485537588964</v>
      </c>
      <c r="E2749" s="8">
        <v>232.1059007478558</v>
      </c>
      <c r="F2749" s="8">
        <v>232.2038337821229</v>
      </c>
      <c r="G2749" s="7">
        <v>62563</v>
      </c>
      <c r="H2749" s="9">
        <v>14527368.45291095</v>
      </c>
      <c r="I2749" s="5" t="s">
        <v>3878</v>
      </c>
    </row>
    <row r="2750" spans="1:9" x14ac:dyDescent="0.25">
      <c r="A2750" s="6">
        <v>45996.819444444453</v>
      </c>
      <c r="B2750" s="5" t="s">
        <v>17</v>
      </c>
      <c r="C2750" s="8">
        <v>232.50501415359611</v>
      </c>
      <c r="D2750" s="8">
        <v>232.88836590500131</v>
      </c>
      <c r="E2750" s="8">
        <v>232.43775482614291</v>
      </c>
      <c r="F2750" s="8">
        <v>232.5088408694252</v>
      </c>
      <c r="G2750" s="7">
        <v>55797</v>
      </c>
      <c r="H2750" s="9">
        <v>12973295.79399132</v>
      </c>
      <c r="I2750" s="5" t="s">
        <v>3879</v>
      </c>
    </row>
    <row r="2751" spans="1:9" x14ac:dyDescent="0.25">
      <c r="A2751" s="6">
        <v>45996.822916666657</v>
      </c>
      <c r="B2751" s="5" t="s">
        <v>17</v>
      </c>
      <c r="C2751" s="8">
        <v>232.69315581137519</v>
      </c>
      <c r="D2751" s="8">
        <v>232.8861304460012</v>
      </c>
      <c r="E2751" s="8">
        <v>232.605642796599</v>
      </c>
      <c r="F2751" s="8">
        <v>232.7040910496244</v>
      </c>
      <c r="G2751" s="7">
        <v>41817</v>
      </c>
      <c r="H2751" s="9">
        <v>9730986.9754221439</v>
      </c>
      <c r="I2751" s="5" t="s">
        <v>3880</v>
      </c>
    </row>
    <row r="2752" spans="1:9" x14ac:dyDescent="0.25">
      <c r="A2752" s="6">
        <v>45996.826388888891</v>
      </c>
      <c r="B2752" s="5" t="s">
        <v>17</v>
      </c>
      <c r="C2752" s="8">
        <v>233.27152936742451</v>
      </c>
      <c r="D2752" s="8">
        <v>233.35360978292891</v>
      </c>
      <c r="E2752" s="8">
        <v>233.16783093775541</v>
      </c>
      <c r="F2752" s="8">
        <v>233.2184477743871</v>
      </c>
      <c r="G2752" s="7">
        <v>51341</v>
      </c>
      <c r="H2752" s="9">
        <v>11973668.327184809</v>
      </c>
      <c r="I2752" s="5" t="s">
        <v>3881</v>
      </c>
    </row>
    <row r="2753" spans="1:9" x14ac:dyDescent="0.25">
      <c r="A2753" s="6">
        <v>45996.829861111109</v>
      </c>
      <c r="B2753" s="5" t="s">
        <v>17</v>
      </c>
      <c r="C2753" s="8">
        <v>233.22194188965219</v>
      </c>
      <c r="D2753" s="8">
        <v>233.2826341953037</v>
      </c>
      <c r="E2753" s="8">
        <v>232.98145556027509</v>
      </c>
      <c r="F2753" s="8">
        <v>233.18929550497131</v>
      </c>
      <c r="G2753" s="7">
        <v>95836</v>
      </c>
      <c r="H2753" s="9">
        <v>22347929.324014429</v>
      </c>
      <c r="I2753" s="5" t="s">
        <v>3882</v>
      </c>
    </row>
    <row r="2754" spans="1:9" x14ac:dyDescent="0.25">
      <c r="A2754" s="6">
        <v>45996.833333333343</v>
      </c>
      <c r="B2754" s="5" t="s">
        <v>17</v>
      </c>
      <c r="C2754" s="8">
        <v>233.42968678564131</v>
      </c>
      <c r="D2754" s="8">
        <v>233.58038614162311</v>
      </c>
      <c r="E2754" s="8">
        <v>233.3285554498091</v>
      </c>
      <c r="F2754" s="8">
        <v>233.34687694759839</v>
      </c>
      <c r="G2754" s="7">
        <v>52188</v>
      </c>
      <c r="H2754" s="9">
        <v>12177906.81414127</v>
      </c>
      <c r="I2754" s="5" t="s">
        <v>3883</v>
      </c>
    </row>
    <row r="2755" spans="1:9" x14ac:dyDescent="0.25">
      <c r="A2755" s="6">
        <v>45996.836805555547</v>
      </c>
      <c r="B2755" s="5" t="s">
        <v>17</v>
      </c>
      <c r="C2755" s="8">
        <v>233.24931821732119</v>
      </c>
      <c r="D2755" s="8">
        <v>233.4972732550998</v>
      </c>
      <c r="E2755" s="8">
        <v>233.19458563276791</v>
      </c>
      <c r="F2755" s="8">
        <v>233.36401711947951</v>
      </c>
      <c r="G2755" s="7">
        <v>25453</v>
      </c>
      <c r="H2755" s="9">
        <v>5939814.3277421109</v>
      </c>
      <c r="I2755" s="5" t="s">
        <v>3884</v>
      </c>
    </row>
    <row r="2756" spans="1:9" x14ac:dyDescent="0.25">
      <c r="A2756" s="6">
        <v>45996.840277777781</v>
      </c>
      <c r="B2756" s="5" t="s">
        <v>17</v>
      </c>
      <c r="C2756" s="8">
        <v>233.44515467401291</v>
      </c>
      <c r="D2756" s="8">
        <v>233.65590682836859</v>
      </c>
      <c r="E2756" s="8">
        <v>233.2114722286303</v>
      </c>
      <c r="F2756" s="8">
        <v>233.50213008781591</v>
      </c>
      <c r="G2756" s="7">
        <v>51900</v>
      </c>
      <c r="H2756" s="9">
        <v>12118760.551557651</v>
      </c>
      <c r="I2756" s="5" t="s">
        <v>3885</v>
      </c>
    </row>
    <row r="2757" spans="1:9" x14ac:dyDescent="0.25">
      <c r="A2757" s="6">
        <v>45996.84375</v>
      </c>
      <c r="B2757" s="5" t="s">
        <v>17</v>
      </c>
      <c r="C2757" s="8">
        <v>233.26759403331289</v>
      </c>
      <c r="D2757" s="8">
        <v>233.41604053260471</v>
      </c>
      <c r="E2757" s="8">
        <v>233.07022361434639</v>
      </c>
      <c r="F2757" s="8">
        <v>233.22717489791191</v>
      </c>
      <c r="G2757" s="7">
        <v>47423</v>
      </c>
      <c r="H2757" s="9">
        <v>11060332.315183669</v>
      </c>
      <c r="I2757" s="5" t="s">
        <v>3886</v>
      </c>
    </row>
    <row r="2758" spans="1:9" x14ac:dyDescent="0.25">
      <c r="A2758" s="6">
        <v>45996.847222222219</v>
      </c>
      <c r="B2758" s="5" t="s">
        <v>17</v>
      </c>
      <c r="C2758" s="8">
        <v>233.14905652889021</v>
      </c>
      <c r="D2758" s="8">
        <v>233.2019985105907</v>
      </c>
      <c r="E2758" s="8">
        <v>233.02192385855551</v>
      </c>
      <c r="F2758" s="8">
        <v>233.07200972688929</v>
      </c>
      <c r="G2758" s="7">
        <v>62278</v>
      </c>
      <c r="H2758" s="9">
        <v>14515258.621771211</v>
      </c>
      <c r="I2758" s="5" t="s">
        <v>3887</v>
      </c>
    </row>
    <row r="2759" spans="1:9" x14ac:dyDescent="0.25">
      <c r="A2759" s="6">
        <v>45996.850694444453</v>
      </c>
      <c r="B2759" s="5" t="s">
        <v>17</v>
      </c>
      <c r="C2759" s="8">
        <v>233.11858970895821</v>
      </c>
      <c r="D2759" s="8">
        <v>233.17305284003439</v>
      </c>
      <c r="E2759" s="8">
        <v>233.0595844631311</v>
      </c>
      <c r="F2759" s="8">
        <v>233.10692838346139</v>
      </c>
      <c r="G2759" s="7">
        <v>52495</v>
      </c>
      <c r="H2759" s="9">
        <v>12236948.205489799</v>
      </c>
      <c r="I2759" s="5" t="s">
        <v>3888</v>
      </c>
    </row>
    <row r="2760" spans="1:9" x14ac:dyDescent="0.25">
      <c r="A2760" s="6">
        <v>45996.854166666657</v>
      </c>
      <c r="B2760" s="5" t="s">
        <v>17</v>
      </c>
      <c r="C2760" s="8">
        <v>233.1087323938404</v>
      </c>
      <c r="D2760" s="8">
        <v>233.2870595722006</v>
      </c>
      <c r="E2760" s="8">
        <v>232.95400016350709</v>
      </c>
      <c r="F2760" s="8">
        <v>233.11203278594559</v>
      </c>
      <c r="G2760" s="7">
        <v>40044</v>
      </c>
      <c r="H2760" s="9">
        <v>9334738.2408804055</v>
      </c>
      <c r="I2760" s="5" t="s">
        <v>3889</v>
      </c>
    </row>
    <row r="2761" spans="1:9" x14ac:dyDescent="0.25">
      <c r="A2761" s="6">
        <v>45996.857638888891</v>
      </c>
      <c r="B2761" s="5" t="s">
        <v>17</v>
      </c>
      <c r="C2761" s="8">
        <v>233.13271541045421</v>
      </c>
      <c r="D2761" s="8">
        <v>233.26628099077431</v>
      </c>
      <c r="E2761" s="8">
        <v>233.03967230167009</v>
      </c>
      <c r="F2761" s="8">
        <v>233.11761594242469</v>
      </c>
      <c r="G2761" s="7">
        <v>69492</v>
      </c>
      <c r="H2761" s="9">
        <v>16199809.36707098</v>
      </c>
      <c r="I2761" s="5" t="s">
        <v>3890</v>
      </c>
    </row>
    <row r="2762" spans="1:9" x14ac:dyDescent="0.25">
      <c r="A2762" s="6">
        <v>45996.861111111109</v>
      </c>
      <c r="B2762" s="5" t="s">
        <v>17</v>
      </c>
      <c r="C2762" s="8">
        <v>233.5944450729701</v>
      </c>
      <c r="D2762" s="8">
        <v>233.69194603360449</v>
      </c>
      <c r="E2762" s="8">
        <v>233.45999479063951</v>
      </c>
      <c r="F2762" s="8">
        <v>233.52217545648841</v>
      </c>
      <c r="G2762" s="7">
        <v>45907</v>
      </c>
      <c r="H2762" s="9">
        <v>10720302.50868101</v>
      </c>
      <c r="I2762" s="5" t="s">
        <v>3891</v>
      </c>
    </row>
    <row r="2763" spans="1:9" x14ac:dyDescent="0.25">
      <c r="A2763" s="6">
        <v>45996.864583333343</v>
      </c>
      <c r="B2763" s="5" t="s">
        <v>17</v>
      </c>
      <c r="C2763" s="8">
        <v>233.52821663397791</v>
      </c>
      <c r="D2763" s="8">
        <v>233.6180732074198</v>
      </c>
      <c r="E2763" s="8">
        <v>233.41411857006869</v>
      </c>
      <c r="F2763" s="8">
        <v>233.55872243363541</v>
      </c>
      <c r="G2763" s="7">
        <v>61211</v>
      </c>
      <c r="H2763" s="9">
        <v>14296362.95888526</v>
      </c>
      <c r="I2763" s="5" t="s">
        <v>3892</v>
      </c>
    </row>
    <row r="2764" spans="1:9" x14ac:dyDescent="0.25">
      <c r="A2764" s="6">
        <v>45996.868055555547</v>
      </c>
      <c r="B2764" s="5" t="s">
        <v>17</v>
      </c>
      <c r="C2764" s="8">
        <v>233.67927173583769</v>
      </c>
      <c r="D2764" s="8">
        <v>233.7079089948754</v>
      </c>
      <c r="E2764" s="8">
        <v>233.6364781117492</v>
      </c>
      <c r="F2764" s="8">
        <v>233.643770083867</v>
      </c>
      <c r="G2764" s="7">
        <v>67317</v>
      </c>
      <c r="H2764" s="9">
        <v>15728197.67073567</v>
      </c>
      <c r="I2764" s="5" t="s">
        <v>3893</v>
      </c>
    </row>
    <row r="2765" spans="1:9" x14ac:dyDescent="0.25">
      <c r="A2765" s="6">
        <v>45996.871527777781</v>
      </c>
      <c r="B2765" s="5" t="s">
        <v>17</v>
      </c>
      <c r="C2765" s="8">
        <v>233.82976360398931</v>
      </c>
      <c r="D2765" s="8">
        <v>234.08249603156059</v>
      </c>
      <c r="E2765" s="8">
        <v>233.808374813505</v>
      </c>
      <c r="F2765" s="8">
        <v>233.8859187792126</v>
      </c>
      <c r="G2765" s="7">
        <v>54157</v>
      </c>
      <c r="H2765" s="9">
        <v>12666559.703325819</v>
      </c>
      <c r="I2765" s="5" t="s">
        <v>3894</v>
      </c>
    </row>
    <row r="2766" spans="1:9" x14ac:dyDescent="0.25">
      <c r="A2766" s="6">
        <v>45996.875</v>
      </c>
      <c r="B2766" s="5" t="s">
        <v>17</v>
      </c>
      <c r="C2766" s="8">
        <v>234.1790345590762</v>
      </c>
      <c r="D2766" s="8">
        <v>234.3751725593084</v>
      </c>
      <c r="E2766" s="8">
        <v>233.92459734010029</v>
      </c>
      <c r="F2766" s="8">
        <v>234.10094409851629</v>
      </c>
      <c r="G2766" s="7">
        <v>82748</v>
      </c>
      <c r="H2766" s="9">
        <v>19371384.922264028</v>
      </c>
      <c r="I2766" s="5" t="s">
        <v>3895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21"/>
  <sheetViews>
    <sheetView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1" width="14.42578125" customWidth="1"/>
    <col min="2" max="2" width="12.140625" customWidth="1"/>
    <col min="3" max="3" width="10" customWidth="1"/>
    <col min="4" max="4" width="12.85546875" customWidth="1"/>
    <col min="5" max="5" width="16.140625" customWidth="1"/>
    <col min="6" max="6" width="15" customWidth="1"/>
    <col min="7" max="7" width="18.42578125" customWidth="1"/>
    <col min="8" max="8" width="13.42578125" customWidth="1"/>
    <col min="9" max="9" width="13.7109375" customWidth="1"/>
    <col min="10" max="10" width="14.28515625" customWidth="1"/>
    <col min="11" max="11" width="17.42578125" customWidth="1"/>
    <col min="12" max="12" width="23.28515625" customWidth="1"/>
    <col min="13" max="13" width="11.5703125" customWidth="1"/>
    <col min="14" max="14" width="14.7109375" customWidth="1"/>
    <col min="15" max="15" width="14.140625" customWidth="1"/>
    <col min="16" max="16" width="13" customWidth="1"/>
    <col min="17" max="17" width="13.140625" customWidth="1"/>
    <col min="18" max="18" width="15.5703125" customWidth="1"/>
    <col min="19" max="19" width="17.28515625" customWidth="1"/>
    <col min="20" max="20" width="17.140625" customWidth="1"/>
    <col min="21" max="21" width="21" customWidth="1"/>
    <col min="22" max="22" width="17.140625" hidden="1" customWidth="1"/>
    <col min="23" max="23" width="18.7109375" hidden="1" customWidth="1"/>
    <col min="24" max="24" width="16.42578125" hidden="1" customWidth="1"/>
  </cols>
  <sheetData>
    <row r="1" spans="1:24" s="17" customFormat="1" x14ac:dyDescent="0.25">
      <c r="A1" s="4" t="s">
        <v>0</v>
      </c>
      <c r="B1" s="4" t="s">
        <v>2</v>
      </c>
      <c r="C1" s="4" t="s">
        <v>3</v>
      </c>
      <c r="D1" s="4" t="s">
        <v>7</v>
      </c>
      <c r="E1" s="4" t="s">
        <v>4</v>
      </c>
      <c r="F1" s="4" t="s">
        <v>3896</v>
      </c>
      <c r="G1" s="4" t="s">
        <v>3897</v>
      </c>
      <c r="H1" s="4" t="s">
        <v>3898</v>
      </c>
      <c r="I1" s="4" t="s">
        <v>152</v>
      </c>
      <c r="J1" s="4" t="s">
        <v>3899</v>
      </c>
      <c r="K1" s="4" t="s">
        <v>9</v>
      </c>
      <c r="L1" s="4" t="s">
        <v>3900</v>
      </c>
      <c r="M1" s="4" t="s">
        <v>3901</v>
      </c>
      <c r="N1" s="4" t="s">
        <v>3902</v>
      </c>
      <c r="O1" s="4" t="s">
        <v>3903</v>
      </c>
      <c r="P1" s="4" t="s">
        <v>3904</v>
      </c>
      <c r="Q1" s="4" t="s">
        <v>3905</v>
      </c>
      <c r="R1" s="4" t="s">
        <v>3906</v>
      </c>
      <c r="S1" s="4" t="s">
        <v>3907</v>
      </c>
      <c r="T1" s="4" t="s">
        <v>3908</v>
      </c>
      <c r="U1" s="4" t="s">
        <v>3909</v>
      </c>
      <c r="V1" s="4" t="s">
        <v>3910</v>
      </c>
      <c r="W1" s="4" t="s">
        <v>3911</v>
      </c>
      <c r="X1" s="4" t="s">
        <v>3912</v>
      </c>
    </row>
    <row r="2" spans="1:24" x14ac:dyDescent="0.25">
      <c r="A2" s="5" t="s">
        <v>13</v>
      </c>
      <c r="B2" s="5" t="s">
        <v>14</v>
      </c>
      <c r="C2" s="5" t="s">
        <v>15</v>
      </c>
      <c r="D2" s="5" t="s">
        <v>16</v>
      </c>
      <c r="E2" s="7">
        <v>4802</v>
      </c>
      <c r="F2" s="7">
        <f>SUMIFS('02_Fills'!D:D, '02_Fills'!B:B, A2)</f>
        <v>4790</v>
      </c>
      <c r="G2" s="9">
        <f>SUMIFS('02_Fills'!H:H, '02_Fills'!B:B, A2)</f>
        <v>904619.54999999993</v>
      </c>
      <c r="H2" s="8">
        <f>IF(F2&gt;0, G2/F2, 0)</f>
        <v>188.85585594989561</v>
      </c>
      <c r="I2" s="9">
        <f>SUMIFS('02_Fills'!I:I, '02_Fills'!B:B, A2)</f>
        <v>10.2037019</v>
      </c>
      <c r="J2" s="8">
        <f>IF(G2&gt;0, (I2/G2)*10000, 0)</f>
        <v>0.11279550502750026</v>
      </c>
      <c r="K2" s="8">
        <f>VLOOKUP(A2, '01_Orders'!A:J, 10, FALSE)</f>
        <v>188.73753197633511</v>
      </c>
      <c r="L2" s="8">
        <f>IF(AND(K2&lt;&gt;"", H2&gt;0), IF(C2="BUY", (H2-K2)/K2*10000, (K2-H2)/K2*10000), "")</f>
        <v>6.2692339102613222</v>
      </c>
      <c r="M2" s="7">
        <f>SUMIFS('02_Fills'!D:D, '02_Fills'!B:B, A2, '02_Fills'!F:F, "LIT")</f>
        <v>1313</v>
      </c>
      <c r="N2" s="7">
        <f>SUMIFS('02_Fills'!D:D, '02_Fills'!B:B, A2, '02_Fills'!F:F, "DARK")</f>
        <v>3389</v>
      </c>
      <c r="O2" s="7">
        <f>SUMIFS('02_Fills'!D:D, '02_Fills'!B:B, A2, '02_Fills'!F:F, "BLOCK")</f>
        <v>88</v>
      </c>
      <c r="P2" s="10">
        <f>IF(F2&gt;0, M2/F2, 0)</f>
        <v>0.2741127348643006</v>
      </c>
      <c r="Q2" s="10">
        <f>IF(F2&gt;0, N2/F2, 0)</f>
        <v>0.70751565762004176</v>
      </c>
      <c r="R2" s="10">
        <f>IF(F2&gt;0, O2/F2, 0)</f>
        <v>1.8371607515657619E-2</v>
      </c>
      <c r="S2" s="8">
        <v>188.64529999999999</v>
      </c>
      <c r="T2" s="11">
        <v>1.8600000000000001E-3</v>
      </c>
      <c r="U2" s="10">
        <v>0.35</v>
      </c>
      <c r="V2" s="5">
        <f>IF(OR('99_Dashboard'!$B$4="All", '99_Dashboard'!$B$4=B2), 1, 0)</f>
        <v>1</v>
      </c>
      <c r="W2" s="5">
        <f>IF(OR('99_Dashboard'!$B$5="All", '99_Dashboard'!$B$5=D2), 1, 0)</f>
        <v>1</v>
      </c>
      <c r="X2" s="5">
        <f>V2 * W2</f>
        <v>1</v>
      </c>
    </row>
    <row r="3" spans="1:24" x14ac:dyDescent="0.25">
      <c r="A3" s="5" t="s">
        <v>18</v>
      </c>
      <c r="B3" s="5" t="s">
        <v>19</v>
      </c>
      <c r="C3" s="5" t="s">
        <v>20</v>
      </c>
      <c r="D3" s="5" t="s">
        <v>16</v>
      </c>
      <c r="E3" s="7">
        <v>3366</v>
      </c>
      <c r="F3" s="7">
        <f>SUMIFS('02_Fills'!D:D, '02_Fills'!B:B, A3)</f>
        <v>3165</v>
      </c>
      <c r="G3" s="9">
        <f>SUMIFS('02_Fills'!H:H, '02_Fills'!B:B, A3)</f>
        <v>616755.43999999994</v>
      </c>
      <c r="H3" s="8">
        <f t="shared" ref="H3:H66" si="0">IF(F3&gt;0, G3/F3, 0)</f>
        <v>194.86743759873616</v>
      </c>
      <c r="I3" s="9">
        <f>SUMIFS('02_Fills'!I:I, '02_Fills'!B:B, A3)</f>
        <v>5.9870568999999998</v>
      </c>
      <c r="J3" s="8">
        <f t="shared" ref="J3:J66" si="1">IF(G3&gt;0, (I3/G3)*10000, 0)</f>
        <v>9.7073434812346371E-2</v>
      </c>
      <c r="K3" s="8">
        <f>VLOOKUP(A3, '01_Orders'!A:J, 10, FALSE)</f>
        <v>195.17737548084341</v>
      </c>
      <c r="L3" s="8">
        <f t="shared" ref="L3:L66" si="2">IF(AND(K3&lt;&gt;"", H3&gt;0), IF(C3="BUY", (H3-K3)/K3*10000, (K3-H3)/K3*10000), "")</f>
        <v>15.879805809647719</v>
      </c>
      <c r="M3" s="7">
        <f>SUMIFS('02_Fills'!D:D, '02_Fills'!B:B, A3, '02_Fills'!F:F, "LIT")</f>
        <v>932</v>
      </c>
      <c r="N3" s="7">
        <f>SUMIFS('02_Fills'!D:D, '02_Fills'!B:B, A3, '02_Fills'!F:F, "DARK")</f>
        <v>1116</v>
      </c>
      <c r="O3" s="7">
        <f>SUMIFS('02_Fills'!D:D, '02_Fills'!B:B, A3, '02_Fills'!F:F, "BLOCK")</f>
        <v>1117</v>
      </c>
      <c r="P3" s="10">
        <f t="shared" ref="P3:P66" si="3">IF(F3&gt;0, M3/F3, 0)</f>
        <v>0.2944707740916272</v>
      </c>
      <c r="Q3" s="10">
        <f t="shared" ref="Q3:Q66" si="4">IF(F3&gt;0, N3/F3, 0)</f>
        <v>0.35260663507109002</v>
      </c>
      <c r="R3" s="10">
        <f t="shared" ref="R3:R66" si="5">IF(F3&gt;0, O3/F3, 0)</f>
        <v>0.35292259083728278</v>
      </c>
      <c r="S3" s="8">
        <v>194.97470000000001</v>
      </c>
      <c r="T3" s="11">
        <v>-2.666E-3</v>
      </c>
      <c r="U3" s="10">
        <v>0.45</v>
      </c>
      <c r="V3" s="5">
        <f>IF(OR('99_Dashboard'!$B$4="All", '99_Dashboard'!$B$4=B3), 1, 0)</f>
        <v>1</v>
      </c>
      <c r="W3" s="5">
        <f>IF(OR('99_Dashboard'!$B$5="All", '99_Dashboard'!$B$5=D3), 1, 0)</f>
        <v>1</v>
      </c>
      <c r="X3" s="5">
        <f t="shared" ref="X3:X66" si="6">V3 * W3</f>
        <v>1</v>
      </c>
    </row>
    <row r="4" spans="1:24" x14ac:dyDescent="0.25">
      <c r="A4" s="5" t="s">
        <v>21</v>
      </c>
      <c r="B4" s="5" t="s">
        <v>19</v>
      </c>
      <c r="C4" s="5" t="s">
        <v>15</v>
      </c>
      <c r="D4" s="5" t="s">
        <v>22</v>
      </c>
      <c r="E4" s="7">
        <v>23333</v>
      </c>
      <c r="F4" s="7">
        <f>SUMIFS('02_Fills'!D:D, '02_Fills'!B:B, A4)</f>
        <v>22516</v>
      </c>
      <c r="G4" s="9">
        <f>SUMIFS('02_Fills'!H:H, '02_Fills'!B:B, A4)</f>
        <v>4391744.2</v>
      </c>
      <c r="H4" s="8">
        <f t="shared" si="0"/>
        <v>195.04992893942085</v>
      </c>
      <c r="I4" s="9">
        <f>SUMIFS('02_Fills'!I:I, '02_Fills'!B:B, A4)</f>
        <v>51.847892200000004</v>
      </c>
      <c r="J4" s="8">
        <f t="shared" si="1"/>
        <v>0.11805763231838504</v>
      </c>
      <c r="K4" s="8">
        <f>VLOOKUP(A4, '01_Orders'!A:J, 10, FALSE)</f>
        <v>194.98681681391409</v>
      </c>
      <c r="L4" s="8">
        <f t="shared" si="2"/>
        <v>3.2367380799386929</v>
      </c>
      <c r="M4" s="7">
        <f>SUMIFS('02_Fills'!D:D, '02_Fills'!B:B, A4, '02_Fills'!F:F, "LIT")</f>
        <v>12388</v>
      </c>
      <c r="N4" s="7">
        <f>SUMIFS('02_Fills'!D:D, '02_Fills'!B:B, A4, '02_Fills'!F:F, "DARK")</f>
        <v>5863</v>
      </c>
      <c r="O4" s="7">
        <f>SUMIFS('02_Fills'!D:D, '02_Fills'!B:B, A4, '02_Fills'!F:F, "BLOCK")</f>
        <v>4265</v>
      </c>
      <c r="P4" s="10">
        <f t="shared" si="3"/>
        <v>0.5501865340202523</v>
      </c>
      <c r="Q4" s="10">
        <f t="shared" si="4"/>
        <v>0.26039260969976907</v>
      </c>
      <c r="R4" s="10">
        <f t="shared" si="5"/>
        <v>0.18942085627997868</v>
      </c>
      <c r="S4" s="8">
        <v>194.95169999999999</v>
      </c>
      <c r="T4" s="11">
        <v>1.456E-3</v>
      </c>
      <c r="U4" s="10">
        <v>0.15</v>
      </c>
      <c r="V4" s="5">
        <f>IF(OR('99_Dashboard'!$B$4="All", '99_Dashboard'!$B$4=B4), 1, 0)</f>
        <v>1</v>
      </c>
      <c r="W4" s="5">
        <f>IF(OR('99_Dashboard'!$B$5="All", '99_Dashboard'!$B$5=D4), 1, 0)</f>
        <v>1</v>
      </c>
      <c r="X4" s="5">
        <f t="shared" si="6"/>
        <v>1</v>
      </c>
    </row>
    <row r="5" spans="1:24" x14ac:dyDescent="0.25">
      <c r="A5" s="5" t="s">
        <v>23</v>
      </c>
      <c r="B5" s="5" t="s">
        <v>24</v>
      </c>
      <c r="C5" s="5" t="s">
        <v>15</v>
      </c>
      <c r="D5" s="5" t="s">
        <v>25</v>
      </c>
      <c r="E5" s="7">
        <v>6666</v>
      </c>
      <c r="F5" s="7">
        <f>SUMIFS('02_Fills'!D:D, '02_Fills'!B:B, A5)</f>
        <v>6423</v>
      </c>
      <c r="G5" s="9">
        <f>SUMIFS('02_Fills'!H:H, '02_Fills'!B:B, A5)</f>
        <v>1561072.26</v>
      </c>
      <c r="H5" s="8">
        <f t="shared" si="0"/>
        <v>243.04410088743577</v>
      </c>
      <c r="I5" s="9">
        <f>SUMIFS('02_Fills'!I:I, '02_Fills'!B:B, A5)</f>
        <v>15.328950900000001</v>
      </c>
      <c r="J5" s="8">
        <f t="shared" si="1"/>
        <v>9.8195011805539356E-2</v>
      </c>
      <c r="K5" s="8">
        <f>VLOOKUP(A5, '01_Orders'!A:J, 10, FALSE)</f>
        <v>244.5823523636403</v>
      </c>
      <c r="L5" s="8">
        <f t="shared" si="2"/>
        <v>-62.892987222458281</v>
      </c>
      <c r="M5" s="7">
        <f>SUMIFS('02_Fills'!D:D, '02_Fills'!B:B, A5, '02_Fills'!F:F, "LIT")</f>
        <v>0</v>
      </c>
      <c r="N5" s="7">
        <f>SUMIFS('02_Fills'!D:D, '02_Fills'!B:B, A5, '02_Fills'!F:F, "DARK")</f>
        <v>6192</v>
      </c>
      <c r="O5" s="7">
        <f>SUMIFS('02_Fills'!D:D, '02_Fills'!B:B, A5, '02_Fills'!F:F, "BLOCK")</f>
        <v>231</v>
      </c>
      <c r="P5" s="10">
        <f t="shared" si="3"/>
        <v>0</v>
      </c>
      <c r="Q5" s="10">
        <f t="shared" si="4"/>
        <v>0.96403549743110695</v>
      </c>
      <c r="R5" s="10">
        <f t="shared" si="5"/>
        <v>3.5964502568893039E-2</v>
      </c>
      <c r="S5" s="8">
        <v>243.56469999999999</v>
      </c>
      <c r="T5" s="11">
        <v>-2.5539999999999998E-3</v>
      </c>
      <c r="U5" s="10">
        <v>0.35</v>
      </c>
      <c r="V5" s="5">
        <f>IF(OR('99_Dashboard'!$B$4="All", '99_Dashboard'!$B$4=B5), 1, 0)</f>
        <v>1</v>
      </c>
      <c r="W5" s="5">
        <f>IF(OR('99_Dashboard'!$B$5="All", '99_Dashboard'!$B$5=D5), 1, 0)</f>
        <v>1</v>
      </c>
      <c r="X5" s="5">
        <f t="shared" si="6"/>
        <v>1</v>
      </c>
    </row>
    <row r="6" spans="1:24" x14ac:dyDescent="0.25">
      <c r="A6" s="5" t="s">
        <v>27</v>
      </c>
      <c r="B6" s="5" t="s">
        <v>28</v>
      </c>
      <c r="C6" s="5" t="s">
        <v>20</v>
      </c>
      <c r="D6" s="5" t="s">
        <v>25</v>
      </c>
      <c r="E6" s="7">
        <v>11441</v>
      </c>
      <c r="F6" s="7">
        <f>SUMIFS('02_Fills'!D:D, '02_Fills'!B:B, A6)</f>
        <v>11202</v>
      </c>
      <c r="G6" s="9">
        <f>SUMIFS('02_Fills'!H:H, '02_Fills'!B:B, A6)</f>
        <v>4732630.66</v>
      </c>
      <c r="H6" s="8">
        <f t="shared" si="0"/>
        <v>422.48086591680061</v>
      </c>
      <c r="I6" s="9">
        <f>SUMIFS('02_Fills'!I:I, '02_Fills'!B:B, A6)</f>
        <v>54.9402872</v>
      </c>
      <c r="J6" s="8">
        <f t="shared" si="1"/>
        <v>0.11608826284365069</v>
      </c>
      <c r="K6" s="8">
        <f>VLOOKUP(A6, '01_Orders'!A:J, 10, FALSE)</f>
        <v>424.44852833747768</v>
      </c>
      <c r="L6" s="8">
        <f t="shared" si="2"/>
        <v>46.358092661652258</v>
      </c>
      <c r="M6" s="7">
        <f>SUMIFS('02_Fills'!D:D, '02_Fills'!B:B, A6, '02_Fills'!F:F, "LIT")</f>
        <v>3599</v>
      </c>
      <c r="N6" s="7">
        <f>SUMIFS('02_Fills'!D:D, '02_Fills'!B:B, A6, '02_Fills'!F:F, "DARK")</f>
        <v>7603</v>
      </c>
      <c r="O6" s="7">
        <f>SUMIFS('02_Fills'!D:D, '02_Fills'!B:B, A6, '02_Fills'!F:F, "BLOCK")</f>
        <v>0</v>
      </c>
      <c r="P6" s="10">
        <f t="shared" si="3"/>
        <v>0.32128191394393857</v>
      </c>
      <c r="Q6" s="10">
        <f t="shared" si="4"/>
        <v>0.67871808605606143</v>
      </c>
      <c r="R6" s="10">
        <f t="shared" si="5"/>
        <v>0</v>
      </c>
      <c r="S6" s="8">
        <v>423.13290000000001</v>
      </c>
      <c r="T6" s="11">
        <v>-7.1019999999999998E-3</v>
      </c>
      <c r="U6" s="10">
        <v>0.35</v>
      </c>
      <c r="V6" s="5">
        <f>IF(OR('99_Dashboard'!$B$4="All", '99_Dashboard'!$B$4=B6), 1, 0)</f>
        <v>1</v>
      </c>
      <c r="W6" s="5">
        <f>IF(OR('99_Dashboard'!$B$5="All", '99_Dashboard'!$B$5=D6), 1, 0)</f>
        <v>1</v>
      </c>
      <c r="X6" s="5">
        <f t="shared" si="6"/>
        <v>1</v>
      </c>
    </row>
    <row r="7" spans="1:24" x14ac:dyDescent="0.25">
      <c r="A7" s="5" t="s">
        <v>29</v>
      </c>
      <c r="B7" s="5" t="s">
        <v>28</v>
      </c>
      <c r="C7" s="5" t="s">
        <v>20</v>
      </c>
      <c r="D7" s="5" t="s">
        <v>25</v>
      </c>
      <c r="E7" s="7">
        <v>6877</v>
      </c>
      <c r="F7" s="7">
        <f>SUMIFS('02_Fills'!D:D, '02_Fills'!B:B, A7)</f>
        <v>6609</v>
      </c>
      <c r="G7" s="9">
        <f>SUMIFS('02_Fills'!H:H, '02_Fills'!B:B, A7)</f>
        <v>2762775.2800000003</v>
      </c>
      <c r="H7" s="8">
        <f t="shared" si="0"/>
        <v>418.03227114540783</v>
      </c>
      <c r="I7" s="9">
        <f>SUMIFS('02_Fills'!I:I, '02_Fills'!B:B, A7)</f>
        <v>27.52378195</v>
      </c>
      <c r="J7" s="8">
        <f t="shared" si="1"/>
        <v>9.962367243274306E-2</v>
      </c>
      <c r="K7" s="8">
        <f>VLOOKUP(A7, '01_Orders'!A:J, 10, FALSE)</f>
        <v>417.98222055630561</v>
      </c>
      <c r="L7" s="8">
        <f t="shared" si="2"/>
        <v>-1.1974334467052989</v>
      </c>
      <c r="M7" s="7">
        <f>SUMIFS('02_Fills'!D:D, '02_Fills'!B:B, A7, '02_Fills'!F:F, "LIT")</f>
        <v>1915</v>
      </c>
      <c r="N7" s="7">
        <f>SUMIFS('02_Fills'!D:D, '02_Fills'!B:B, A7, '02_Fills'!F:F, "DARK")</f>
        <v>2729</v>
      </c>
      <c r="O7" s="7">
        <f>SUMIFS('02_Fills'!D:D, '02_Fills'!B:B, A7, '02_Fills'!F:F, "BLOCK")</f>
        <v>1965</v>
      </c>
      <c r="P7" s="10">
        <f t="shared" si="3"/>
        <v>0.2897563927977001</v>
      </c>
      <c r="Q7" s="10">
        <f t="shared" si="4"/>
        <v>0.41292177333938568</v>
      </c>
      <c r="R7" s="10">
        <f t="shared" si="5"/>
        <v>0.29732183386291422</v>
      </c>
      <c r="S7" s="8">
        <v>418.1558</v>
      </c>
      <c r="T7" s="11">
        <v>-3.7230000000000002E-3</v>
      </c>
      <c r="U7" s="10">
        <v>0.35</v>
      </c>
      <c r="V7" s="5">
        <f>IF(OR('99_Dashboard'!$B$4="All", '99_Dashboard'!$B$4=B7), 1, 0)</f>
        <v>1</v>
      </c>
      <c r="W7" s="5">
        <f>IF(OR('99_Dashboard'!$B$5="All", '99_Dashboard'!$B$5=D7), 1, 0)</f>
        <v>1</v>
      </c>
      <c r="X7" s="5">
        <f t="shared" si="6"/>
        <v>1</v>
      </c>
    </row>
    <row r="8" spans="1:24" x14ac:dyDescent="0.25">
      <c r="A8" s="5" t="s">
        <v>30</v>
      </c>
      <c r="B8" s="5" t="s">
        <v>19</v>
      </c>
      <c r="C8" s="5" t="s">
        <v>20</v>
      </c>
      <c r="D8" s="5" t="s">
        <v>16</v>
      </c>
      <c r="E8" s="7">
        <v>6922</v>
      </c>
      <c r="F8" s="7">
        <f>SUMIFS('02_Fills'!D:D, '02_Fills'!B:B, A8)</f>
        <v>6661</v>
      </c>
      <c r="G8" s="9">
        <f>SUMIFS('02_Fills'!H:H, '02_Fills'!B:B, A8)</f>
        <v>1298295.1299999999</v>
      </c>
      <c r="H8" s="8">
        <f t="shared" si="0"/>
        <v>194.90994295150875</v>
      </c>
      <c r="I8" s="9">
        <f>SUMIFS('02_Fills'!I:I, '02_Fills'!B:B, A8)</f>
        <v>10.652347750000001</v>
      </c>
      <c r="J8" s="8">
        <f t="shared" si="1"/>
        <v>8.2048738409732785E-2</v>
      </c>
      <c r="K8" s="8">
        <f>VLOOKUP(A8, '01_Orders'!A:J, 10, FALSE)</f>
        <v>195.94850041577871</v>
      </c>
      <c r="L8" s="8">
        <f t="shared" si="2"/>
        <v>53.001552043841365</v>
      </c>
      <c r="M8" s="7">
        <f>SUMIFS('02_Fills'!D:D, '02_Fills'!B:B, A8, '02_Fills'!F:F, "LIT")</f>
        <v>2135</v>
      </c>
      <c r="N8" s="7">
        <f>SUMIFS('02_Fills'!D:D, '02_Fills'!B:B, A8, '02_Fills'!F:F, "DARK")</f>
        <v>0</v>
      </c>
      <c r="O8" s="7">
        <f>SUMIFS('02_Fills'!D:D, '02_Fills'!B:B, A8, '02_Fills'!F:F, "BLOCK")</f>
        <v>4526</v>
      </c>
      <c r="P8" s="10">
        <f t="shared" si="3"/>
        <v>0.32052244407746583</v>
      </c>
      <c r="Q8" s="10">
        <f t="shared" si="4"/>
        <v>0</v>
      </c>
      <c r="R8" s="10">
        <f t="shared" si="5"/>
        <v>0.67947755592253412</v>
      </c>
      <c r="S8" s="8">
        <v>195.2234</v>
      </c>
      <c r="T8" s="11">
        <v>-9.1260000000000004E-3</v>
      </c>
      <c r="U8" s="10">
        <v>0.45</v>
      </c>
      <c r="V8" s="5">
        <f>IF(OR('99_Dashboard'!$B$4="All", '99_Dashboard'!$B$4=B8), 1, 0)</f>
        <v>1</v>
      </c>
      <c r="W8" s="5">
        <f>IF(OR('99_Dashboard'!$B$5="All", '99_Dashboard'!$B$5=D8), 1, 0)</f>
        <v>1</v>
      </c>
      <c r="X8" s="5">
        <f t="shared" si="6"/>
        <v>1</v>
      </c>
    </row>
    <row r="9" spans="1:24" x14ac:dyDescent="0.25">
      <c r="A9" s="5" t="s">
        <v>31</v>
      </c>
      <c r="B9" s="5" t="s">
        <v>32</v>
      </c>
      <c r="C9" s="5" t="s">
        <v>15</v>
      </c>
      <c r="D9" s="5" t="s">
        <v>16</v>
      </c>
      <c r="E9" s="7">
        <v>6424</v>
      </c>
      <c r="F9" s="7">
        <f>SUMIFS('02_Fills'!D:D, '02_Fills'!B:B, A9)</f>
        <v>6217</v>
      </c>
      <c r="G9" s="9">
        <f>SUMIFS('02_Fills'!H:H, '02_Fills'!B:B, A9)</f>
        <v>1082585.6300000001</v>
      </c>
      <c r="H9" s="8">
        <f t="shared" si="0"/>
        <v>174.13312369309958</v>
      </c>
      <c r="I9" s="9">
        <f>SUMIFS('02_Fills'!I:I, '02_Fills'!B:B, A9)</f>
        <v>14.05987975</v>
      </c>
      <c r="J9" s="8">
        <f t="shared" si="1"/>
        <v>0.12987314222894311</v>
      </c>
      <c r="K9" s="8">
        <f>VLOOKUP(A9, '01_Orders'!A:J, 10, FALSE)</f>
        <v>173.07964222039681</v>
      </c>
      <c r="L9" s="8">
        <f t="shared" si="2"/>
        <v>60.866862167491924</v>
      </c>
      <c r="M9" s="7">
        <f>SUMIFS('02_Fills'!D:D, '02_Fills'!B:B, A9, '02_Fills'!F:F, "LIT")</f>
        <v>4963</v>
      </c>
      <c r="N9" s="7">
        <f>SUMIFS('02_Fills'!D:D, '02_Fills'!B:B, A9, '02_Fills'!F:F, "DARK")</f>
        <v>5</v>
      </c>
      <c r="O9" s="7">
        <f>SUMIFS('02_Fills'!D:D, '02_Fills'!B:B, A9, '02_Fills'!F:F, "BLOCK")</f>
        <v>1249</v>
      </c>
      <c r="P9" s="10">
        <f t="shared" si="3"/>
        <v>0.79829499758726075</v>
      </c>
      <c r="Q9" s="10">
        <f t="shared" si="4"/>
        <v>8.0424642110342611E-4</v>
      </c>
      <c r="R9" s="10">
        <f t="shared" si="5"/>
        <v>0.20090075599163584</v>
      </c>
      <c r="S9" s="8">
        <v>174.03399999999999</v>
      </c>
      <c r="T9" s="11">
        <v>1.4600999999999999E-2</v>
      </c>
      <c r="U9" s="10">
        <v>0.45</v>
      </c>
      <c r="V9" s="5">
        <f>IF(OR('99_Dashboard'!$B$4="All", '99_Dashboard'!$B$4=B9), 1, 0)</f>
        <v>1</v>
      </c>
      <c r="W9" s="5">
        <f>IF(OR('99_Dashboard'!$B$5="All", '99_Dashboard'!$B$5=D9), 1, 0)</f>
        <v>1</v>
      </c>
      <c r="X9" s="5">
        <f t="shared" si="6"/>
        <v>1</v>
      </c>
    </row>
    <row r="10" spans="1:24" x14ac:dyDescent="0.25">
      <c r="A10" s="5" t="s">
        <v>33</v>
      </c>
      <c r="B10" s="5" t="s">
        <v>28</v>
      </c>
      <c r="C10" s="5" t="s">
        <v>20</v>
      </c>
      <c r="D10" s="5" t="s">
        <v>25</v>
      </c>
      <c r="E10" s="7">
        <v>13110</v>
      </c>
      <c r="F10" s="7">
        <f>SUMIFS('02_Fills'!D:D, '02_Fills'!B:B, A10)</f>
        <v>13041</v>
      </c>
      <c r="G10" s="9">
        <f>SUMIFS('02_Fills'!H:H, '02_Fills'!B:B, A10)</f>
        <v>5450615.2300000004</v>
      </c>
      <c r="H10" s="8">
        <f t="shared" si="0"/>
        <v>417.95991335020324</v>
      </c>
      <c r="I10" s="9">
        <f>SUMIFS('02_Fills'!I:I, '02_Fills'!B:B, A10)</f>
        <v>70.232114800000005</v>
      </c>
      <c r="J10" s="8">
        <f t="shared" si="1"/>
        <v>0.12885172010206267</v>
      </c>
      <c r="K10" s="8">
        <f>VLOOKUP(A10, '01_Orders'!A:J, 10, FALSE)</f>
        <v>417.60796091874693</v>
      </c>
      <c r="L10" s="8">
        <f t="shared" si="2"/>
        <v>-8.4278190167162546</v>
      </c>
      <c r="M10" s="7">
        <f>SUMIFS('02_Fills'!D:D, '02_Fills'!B:B, A10, '02_Fills'!F:F, "LIT")</f>
        <v>9085</v>
      </c>
      <c r="N10" s="7">
        <f>SUMIFS('02_Fills'!D:D, '02_Fills'!B:B, A10, '02_Fills'!F:F, "DARK")</f>
        <v>2399</v>
      </c>
      <c r="O10" s="7">
        <f>SUMIFS('02_Fills'!D:D, '02_Fills'!B:B, A10, '02_Fills'!F:F, "BLOCK")</f>
        <v>1557</v>
      </c>
      <c r="P10" s="10">
        <f t="shared" si="3"/>
        <v>0.69664902998236333</v>
      </c>
      <c r="Q10" s="10">
        <f t="shared" si="4"/>
        <v>0.18395828540756076</v>
      </c>
      <c r="R10" s="10">
        <f t="shared" si="5"/>
        <v>0.11939268461007592</v>
      </c>
      <c r="S10" s="8">
        <v>418.23809999999997</v>
      </c>
      <c r="T10" s="11">
        <v>-3.8000000000000002E-4</v>
      </c>
      <c r="U10" s="10">
        <v>0.25</v>
      </c>
      <c r="V10" s="5">
        <f>IF(OR('99_Dashboard'!$B$4="All", '99_Dashboard'!$B$4=B10), 1, 0)</f>
        <v>1</v>
      </c>
      <c r="W10" s="5">
        <f>IF(OR('99_Dashboard'!$B$5="All", '99_Dashboard'!$B$5=D10), 1, 0)</f>
        <v>1</v>
      </c>
      <c r="X10" s="5">
        <f t="shared" si="6"/>
        <v>1</v>
      </c>
    </row>
    <row r="11" spans="1:24" x14ac:dyDescent="0.25">
      <c r="A11" s="5" t="s">
        <v>34</v>
      </c>
      <c r="B11" s="5" t="s">
        <v>14</v>
      </c>
      <c r="C11" s="5" t="s">
        <v>15</v>
      </c>
      <c r="D11" s="5" t="s">
        <v>25</v>
      </c>
      <c r="E11" s="7">
        <v>13497</v>
      </c>
      <c r="F11" s="7">
        <f>SUMIFS('02_Fills'!D:D, '02_Fills'!B:B, A11)</f>
        <v>12817</v>
      </c>
      <c r="G11" s="9">
        <f>SUMIFS('02_Fills'!H:H, '02_Fills'!B:B, A11)</f>
        <v>2376847.9900000002</v>
      </c>
      <c r="H11" s="8">
        <f t="shared" si="0"/>
        <v>185.44495513770775</v>
      </c>
      <c r="I11" s="9">
        <f>SUMIFS('02_Fills'!I:I, '02_Fills'!B:B, A11)</f>
        <v>27.373193349999998</v>
      </c>
      <c r="J11" s="8">
        <f t="shared" si="1"/>
        <v>0.1151659402080652</v>
      </c>
      <c r="K11" s="8">
        <f>VLOOKUP(A11, '01_Orders'!A:J, 10, FALSE)</f>
        <v>184.9002818323842</v>
      </c>
      <c r="L11" s="8">
        <f t="shared" si="2"/>
        <v>29.457678480842631</v>
      </c>
      <c r="M11" s="7">
        <f>SUMIFS('02_Fills'!D:D, '02_Fills'!B:B, A11, '02_Fills'!F:F, "LIT")</f>
        <v>7796</v>
      </c>
      <c r="N11" s="7">
        <f>SUMIFS('02_Fills'!D:D, '02_Fills'!B:B, A11, '02_Fills'!F:F, "DARK")</f>
        <v>1118</v>
      </c>
      <c r="O11" s="7">
        <f>SUMIFS('02_Fills'!D:D, '02_Fills'!B:B, A11, '02_Fills'!F:F, "BLOCK")</f>
        <v>3903</v>
      </c>
      <c r="P11" s="10">
        <f t="shared" si="3"/>
        <v>0.60825466177732701</v>
      </c>
      <c r="Q11" s="10">
        <f t="shared" si="4"/>
        <v>8.7227900444721854E-2</v>
      </c>
      <c r="R11" s="10">
        <f t="shared" si="5"/>
        <v>0.30451743777795115</v>
      </c>
      <c r="S11" s="8">
        <v>185.3425</v>
      </c>
      <c r="T11" s="11">
        <v>5.391E-3</v>
      </c>
      <c r="U11" s="10">
        <v>0.35</v>
      </c>
      <c r="V11" s="5">
        <f>IF(OR('99_Dashboard'!$B$4="All", '99_Dashboard'!$B$4=B11), 1, 0)</f>
        <v>1</v>
      </c>
      <c r="W11" s="5">
        <f>IF(OR('99_Dashboard'!$B$5="All", '99_Dashboard'!$B$5=D11), 1, 0)</f>
        <v>1</v>
      </c>
      <c r="X11" s="5">
        <f t="shared" si="6"/>
        <v>1</v>
      </c>
    </row>
    <row r="12" spans="1:24" x14ac:dyDescent="0.25">
      <c r="A12" s="5" t="s">
        <v>35</v>
      </c>
      <c r="B12" s="5" t="s">
        <v>28</v>
      </c>
      <c r="C12" s="5" t="s">
        <v>15</v>
      </c>
      <c r="D12" s="5" t="s">
        <v>22</v>
      </c>
      <c r="E12" s="7">
        <v>20185</v>
      </c>
      <c r="F12" s="7">
        <f>SUMIFS('02_Fills'!D:D, '02_Fills'!B:B, A12)</f>
        <v>19918</v>
      </c>
      <c r="G12" s="9">
        <f>SUMIFS('02_Fills'!H:H, '02_Fills'!B:B, A12)</f>
        <v>8450198.1600000001</v>
      </c>
      <c r="H12" s="8">
        <f t="shared" si="0"/>
        <v>424.24933025404158</v>
      </c>
      <c r="I12" s="9">
        <f>SUMIFS('02_Fills'!I:I, '02_Fills'!B:B, A12)</f>
        <v>126.7529724</v>
      </c>
      <c r="J12" s="8">
        <f t="shared" si="1"/>
        <v>0.15</v>
      </c>
      <c r="K12" s="8">
        <f>VLOOKUP(A12, '01_Orders'!A:J, 10, FALSE)</f>
        <v>423.62562985511829</v>
      </c>
      <c r="L12" s="8">
        <f t="shared" si="2"/>
        <v>14.722914643681934</v>
      </c>
      <c r="M12" s="7">
        <f>SUMIFS('02_Fills'!D:D, '02_Fills'!B:B, A12, '02_Fills'!F:F, "LIT")</f>
        <v>19918</v>
      </c>
      <c r="N12" s="7">
        <f>SUMIFS('02_Fills'!D:D, '02_Fills'!B:B, A12, '02_Fills'!F:F, "DARK")</f>
        <v>0</v>
      </c>
      <c r="O12" s="7">
        <f>SUMIFS('02_Fills'!D:D, '02_Fills'!B:B, A12, '02_Fills'!F:F, "BLOCK")</f>
        <v>0</v>
      </c>
      <c r="P12" s="10">
        <f t="shared" si="3"/>
        <v>1</v>
      </c>
      <c r="Q12" s="10">
        <f t="shared" si="4"/>
        <v>0</v>
      </c>
      <c r="R12" s="10">
        <f t="shared" si="5"/>
        <v>0</v>
      </c>
      <c r="S12" s="8">
        <v>424.13040000000001</v>
      </c>
      <c r="T12" s="11">
        <v>5.4100000000000003E-4</v>
      </c>
      <c r="U12" s="10">
        <v>0.15</v>
      </c>
      <c r="V12" s="5">
        <f>IF(OR('99_Dashboard'!$B$4="All", '99_Dashboard'!$B$4=B12), 1, 0)</f>
        <v>1</v>
      </c>
      <c r="W12" s="5">
        <f>IF(OR('99_Dashboard'!$B$5="All", '99_Dashboard'!$B$5=D12), 1, 0)</f>
        <v>1</v>
      </c>
      <c r="X12" s="5">
        <f t="shared" si="6"/>
        <v>1</v>
      </c>
    </row>
    <row r="13" spans="1:24" x14ac:dyDescent="0.25">
      <c r="A13" s="5" t="s">
        <v>36</v>
      </c>
      <c r="B13" s="5" t="s">
        <v>24</v>
      </c>
      <c r="C13" s="5" t="s">
        <v>20</v>
      </c>
      <c r="D13" s="5" t="s">
        <v>25</v>
      </c>
      <c r="E13" s="7">
        <v>12165</v>
      </c>
      <c r="F13" s="7">
        <f>SUMIFS('02_Fills'!D:D, '02_Fills'!B:B, A13)</f>
        <v>11724</v>
      </c>
      <c r="G13" s="9">
        <f>SUMIFS('02_Fills'!H:H, '02_Fills'!B:B, A13)</f>
        <v>2866813.4</v>
      </c>
      <c r="H13" s="8">
        <f t="shared" si="0"/>
        <v>244.52519617877857</v>
      </c>
      <c r="I13" s="9">
        <f>SUMIFS('02_Fills'!I:I, '02_Fills'!B:B, A13)</f>
        <v>33.627488050000004</v>
      </c>
      <c r="J13" s="8">
        <f t="shared" si="1"/>
        <v>0.11729918679046221</v>
      </c>
      <c r="K13" s="8">
        <f>VLOOKUP(A13, '01_Orders'!A:J, 10, FALSE)</f>
        <v>244.0604200858474</v>
      </c>
      <c r="L13" s="8">
        <f t="shared" si="2"/>
        <v>-19.043484919336407</v>
      </c>
      <c r="M13" s="7">
        <f>SUMIFS('02_Fills'!D:D, '02_Fills'!B:B, A13, '02_Fills'!F:F, "LIT")</f>
        <v>5729</v>
      </c>
      <c r="N13" s="7">
        <f>SUMIFS('02_Fills'!D:D, '02_Fills'!B:B, A13, '02_Fills'!F:F, "DARK")</f>
        <v>4329</v>
      </c>
      <c r="O13" s="7">
        <f>SUMIFS('02_Fills'!D:D, '02_Fills'!B:B, A13, '02_Fills'!F:F, "BLOCK")</f>
        <v>1666</v>
      </c>
      <c r="P13" s="10">
        <f t="shared" si="3"/>
        <v>0.48865574889116342</v>
      </c>
      <c r="Q13" s="10">
        <f t="shared" si="4"/>
        <v>0.36924257932446264</v>
      </c>
      <c r="R13" s="10">
        <f t="shared" si="5"/>
        <v>0.14210167178437394</v>
      </c>
      <c r="S13" s="8">
        <v>245.4297</v>
      </c>
      <c r="T13" s="11">
        <v>1.6102999999999999E-2</v>
      </c>
      <c r="U13" s="10">
        <v>0.35</v>
      </c>
      <c r="V13" s="5">
        <f>IF(OR('99_Dashboard'!$B$4="All", '99_Dashboard'!$B$4=B13), 1, 0)</f>
        <v>1</v>
      </c>
      <c r="W13" s="5">
        <f>IF(OR('99_Dashboard'!$B$5="All", '99_Dashboard'!$B$5=D13), 1, 0)</f>
        <v>1</v>
      </c>
      <c r="X13" s="5">
        <f t="shared" si="6"/>
        <v>1</v>
      </c>
    </row>
    <row r="14" spans="1:24" x14ac:dyDescent="0.25">
      <c r="A14" s="5" t="s">
        <v>37</v>
      </c>
      <c r="B14" s="5" t="s">
        <v>32</v>
      </c>
      <c r="C14" s="5" t="s">
        <v>20</v>
      </c>
      <c r="D14" s="5" t="s">
        <v>22</v>
      </c>
      <c r="E14" s="7">
        <v>19245</v>
      </c>
      <c r="F14" s="7">
        <f>SUMIFS('02_Fills'!D:D, '02_Fills'!B:B, A14)</f>
        <v>19164</v>
      </c>
      <c r="G14" s="9">
        <f>SUMIFS('02_Fills'!H:H, '02_Fills'!B:B, A14)</f>
        <v>3339125.92</v>
      </c>
      <c r="H14" s="8">
        <f t="shared" si="0"/>
        <v>174.23950740972657</v>
      </c>
      <c r="I14" s="9">
        <f>SUMIFS('02_Fills'!I:I, '02_Fills'!B:B, A14)</f>
        <v>44.905517049999993</v>
      </c>
      <c r="J14" s="8">
        <f t="shared" si="1"/>
        <v>0.13448285008071811</v>
      </c>
      <c r="K14" s="8">
        <f>VLOOKUP(A14, '01_Orders'!A:J, 10, FALSE)</f>
        <v>174.00090999852969</v>
      </c>
      <c r="L14" s="8">
        <f t="shared" si="2"/>
        <v>-13.712423182091056</v>
      </c>
      <c r="M14" s="7">
        <f>SUMIFS('02_Fills'!D:D, '02_Fills'!B:B, A14, '02_Fills'!F:F, "LIT")</f>
        <v>13222</v>
      </c>
      <c r="N14" s="7">
        <f>SUMIFS('02_Fills'!D:D, '02_Fills'!B:B, A14, '02_Fills'!F:F, "DARK")</f>
        <v>5942</v>
      </c>
      <c r="O14" s="7">
        <f>SUMIFS('02_Fills'!D:D, '02_Fills'!B:B, A14, '02_Fills'!F:F, "BLOCK")</f>
        <v>0</v>
      </c>
      <c r="P14" s="10">
        <f t="shared" si="3"/>
        <v>0.689939469839282</v>
      </c>
      <c r="Q14" s="10">
        <f t="shared" si="4"/>
        <v>0.310060530160718</v>
      </c>
      <c r="R14" s="10">
        <f t="shared" si="5"/>
        <v>0</v>
      </c>
      <c r="S14" s="8">
        <v>174.5033</v>
      </c>
      <c r="T14" s="11">
        <v>6.1939999999999999E-3</v>
      </c>
      <c r="U14" s="10">
        <v>0.2</v>
      </c>
      <c r="V14" s="5">
        <f>IF(OR('99_Dashboard'!$B$4="All", '99_Dashboard'!$B$4=B14), 1, 0)</f>
        <v>1</v>
      </c>
      <c r="W14" s="5">
        <f>IF(OR('99_Dashboard'!$B$5="All", '99_Dashboard'!$B$5=D14), 1, 0)</f>
        <v>1</v>
      </c>
      <c r="X14" s="5">
        <f t="shared" si="6"/>
        <v>1</v>
      </c>
    </row>
    <row r="15" spans="1:24" x14ac:dyDescent="0.25">
      <c r="A15" s="5" t="s">
        <v>38</v>
      </c>
      <c r="B15" s="5" t="s">
        <v>19</v>
      </c>
      <c r="C15" s="5" t="s">
        <v>20</v>
      </c>
      <c r="D15" s="5" t="s">
        <v>16</v>
      </c>
      <c r="E15" s="7">
        <v>4446</v>
      </c>
      <c r="F15" s="7">
        <f>SUMIFS('02_Fills'!D:D, '02_Fills'!B:B, A15)</f>
        <v>4397</v>
      </c>
      <c r="G15" s="9">
        <f>SUMIFS('02_Fills'!H:H, '02_Fills'!B:B, A15)</f>
        <v>854041.98</v>
      </c>
      <c r="H15" s="8">
        <f t="shared" si="0"/>
        <v>194.23288151012054</v>
      </c>
      <c r="I15" s="9">
        <f>SUMIFS('02_Fills'!I:I, '02_Fills'!B:B, A15)</f>
        <v>10.454515600000001</v>
      </c>
      <c r="J15" s="8">
        <f t="shared" si="1"/>
        <v>0.12241219805143537</v>
      </c>
      <c r="K15" s="8">
        <f>VLOOKUP(A15, '01_Orders'!A:J, 10, FALSE)</f>
        <v>193.8145204797523</v>
      </c>
      <c r="L15" s="8">
        <f t="shared" si="2"/>
        <v>-21.585639163291553</v>
      </c>
      <c r="M15" s="7">
        <f>SUMIFS('02_Fills'!D:D, '02_Fills'!B:B, A15, '02_Fills'!F:F, "LIT")</f>
        <v>2381</v>
      </c>
      <c r="N15" s="7">
        <f>SUMIFS('02_Fills'!D:D, '02_Fills'!B:B, A15, '02_Fills'!F:F, "DARK")</f>
        <v>1605</v>
      </c>
      <c r="O15" s="7">
        <f>SUMIFS('02_Fills'!D:D, '02_Fills'!B:B, A15, '02_Fills'!F:F, "BLOCK")</f>
        <v>411</v>
      </c>
      <c r="P15" s="10">
        <f t="shared" si="3"/>
        <v>0.54150557198089611</v>
      </c>
      <c r="Q15" s="10">
        <f t="shared" si="4"/>
        <v>0.36502160564020925</v>
      </c>
      <c r="R15" s="10">
        <f t="shared" si="5"/>
        <v>9.3472822378894704E-2</v>
      </c>
      <c r="S15" s="8">
        <v>194.27539999999999</v>
      </c>
      <c r="T15" s="11">
        <v>6.4570000000000001E-3</v>
      </c>
      <c r="U15" s="10">
        <v>0.45</v>
      </c>
      <c r="V15" s="5">
        <f>IF(OR('99_Dashboard'!$B$4="All", '99_Dashboard'!$B$4=B15), 1, 0)</f>
        <v>1</v>
      </c>
      <c r="W15" s="5">
        <f>IF(OR('99_Dashboard'!$B$5="All", '99_Dashboard'!$B$5=D15), 1, 0)</f>
        <v>1</v>
      </c>
      <c r="X15" s="5">
        <f t="shared" si="6"/>
        <v>1</v>
      </c>
    </row>
    <row r="16" spans="1:24" x14ac:dyDescent="0.25">
      <c r="A16" s="5" t="s">
        <v>39</v>
      </c>
      <c r="B16" s="5" t="s">
        <v>32</v>
      </c>
      <c r="C16" s="5" t="s">
        <v>15</v>
      </c>
      <c r="D16" s="5" t="s">
        <v>25</v>
      </c>
      <c r="E16" s="7">
        <v>10818</v>
      </c>
      <c r="F16" s="7">
        <f>SUMIFS('02_Fills'!D:D, '02_Fills'!B:B, A16)</f>
        <v>10439</v>
      </c>
      <c r="G16" s="9">
        <f>SUMIFS('02_Fills'!H:H, '02_Fills'!B:B, A16)</f>
        <v>1815805.46</v>
      </c>
      <c r="H16" s="8">
        <f t="shared" si="0"/>
        <v>173.94438739342849</v>
      </c>
      <c r="I16" s="9">
        <f>SUMIFS('02_Fills'!I:I, '02_Fills'!B:B, A16)</f>
        <v>17.7805322</v>
      </c>
      <c r="J16" s="8">
        <f t="shared" si="1"/>
        <v>9.7920909434868642E-2</v>
      </c>
      <c r="K16" s="8">
        <f>VLOOKUP(A16, '01_Orders'!A:J, 10, FALSE)</f>
        <v>174.172324476266</v>
      </c>
      <c r="L16" s="8">
        <f t="shared" si="2"/>
        <v>-13.086871494820864</v>
      </c>
      <c r="M16" s="7">
        <f>SUMIFS('02_Fills'!D:D, '02_Fills'!B:B, A16, '02_Fills'!F:F, "LIT")</f>
        <v>3757</v>
      </c>
      <c r="N16" s="7">
        <f>SUMIFS('02_Fills'!D:D, '02_Fills'!B:B, A16, '02_Fills'!F:F, "DARK")</f>
        <v>2490</v>
      </c>
      <c r="O16" s="7">
        <f>SUMIFS('02_Fills'!D:D, '02_Fills'!B:B, A16, '02_Fills'!F:F, "BLOCK")</f>
        <v>4192</v>
      </c>
      <c r="P16" s="10">
        <f t="shared" si="3"/>
        <v>0.35990037359900373</v>
      </c>
      <c r="Q16" s="10">
        <f t="shared" si="4"/>
        <v>0.23852859469297824</v>
      </c>
      <c r="R16" s="10">
        <f t="shared" si="5"/>
        <v>0.401571031708018</v>
      </c>
      <c r="S16" s="8">
        <v>173.9717</v>
      </c>
      <c r="T16" s="11">
        <v>2.3549999999999999E-3</v>
      </c>
      <c r="U16" s="10">
        <v>0.35</v>
      </c>
      <c r="V16" s="5">
        <f>IF(OR('99_Dashboard'!$B$4="All", '99_Dashboard'!$B$4=B16), 1, 0)</f>
        <v>1</v>
      </c>
      <c r="W16" s="5">
        <f>IF(OR('99_Dashboard'!$B$5="All", '99_Dashboard'!$B$5=D16), 1, 0)</f>
        <v>1</v>
      </c>
      <c r="X16" s="5">
        <f t="shared" si="6"/>
        <v>1</v>
      </c>
    </row>
    <row r="17" spans="1:24" x14ac:dyDescent="0.25">
      <c r="A17" s="5" t="s">
        <v>40</v>
      </c>
      <c r="B17" s="5" t="s">
        <v>28</v>
      </c>
      <c r="C17" s="5" t="s">
        <v>20</v>
      </c>
      <c r="D17" s="5" t="s">
        <v>16</v>
      </c>
      <c r="E17" s="7">
        <v>7479</v>
      </c>
      <c r="F17" s="7">
        <f>SUMIFS('02_Fills'!D:D, '02_Fills'!B:B, A17)</f>
        <v>7392</v>
      </c>
      <c r="G17" s="9">
        <f>SUMIFS('02_Fills'!H:H, '02_Fills'!B:B, A17)</f>
        <v>3127870.2500000005</v>
      </c>
      <c r="H17" s="8">
        <f t="shared" si="0"/>
        <v>423.14262040043297</v>
      </c>
      <c r="I17" s="9">
        <f>SUMIFS('02_Fills'!I:I, '02_Fills'!B:B, A17)</f>
        <v>28.148131750000001</v>
      </c>
      <c r="J17" s="8">
        <f t="shared" si="1"/>
        <v>8.9991366329853342E-2</v>
      </c>
      <c r="K17" s="8">
        <f>VLOOKUP(A17, '01_Orders'!A:J, 10, FALSE)</f>
        <v>422.22028026990341</v>
      </c>
      <c r="L17" s="8">
        <f t="shared" si="2"/>
        <v>-21.844998301359624</v>
      </c>
      <c r="M17" s="7">
        <f>SUMIFS('02_Fills'!D:D, '02_Fills'!B:B, A17, '02_Fills'!F:F, "LIT")</f>
        <v>1171</v>
      </c>
      <c r="N17" s="7">
        <f>SUMIFS('02_Fills'!D:D, '02_Fills'!B:B, A17, '02_Fills'!F:F, "DARK")</f>
        <v>3576</v>
      </c>
      <c r="O17" s="7">
        <f>SUMIFS('02_Fills'!D:D, '02_Fills'!B:B, A17, '02_Fills'!F:F, "BLOCK")</f>
        <v>2645</v>
      </c>
      <c r="P17" s="10">
        <f t="shared" si="3"/>
        <v>0.15841450216450217</v>
      </c>
      <c r="Q17" s="10">
        <f t="shared" si="4"/>
        <v>0.48376623376623379</v>
      </c>
      <c r="R17" s="10">
        <f t="shared" si="5"/>
        <v>0.35781926406926406</v>
      </c>
      <c r="S17" s="8">
        <v>423.30020000000002</v>
      </c>
      <c r="T17" s="11">
        <v>-5.0730000000000003E-3</v>
      </c>
      <c r="U17" s="10">
        <v>0.45</v>
      </c>
      <c r="V17" s="5">
        <f>IF(OR('99_Dashboard'!$B$4="All", '99_Dashboard'!$B$4=B17), 1, 0)</f>
        <v>1</v>
      </c>
      <c r="W17" s="5">
        <f>IF(OR('99_Dashboard'!$B$5="All", '99_Dashboard'!$B$5=D17), 1, 0)</f>
        <v>1</v>
      </c>
      <c r="X17" s="5">
        <f t="shared" si="6"/>
        <v>1</v>
      </c>
    </row>
    <row r="18" spans="1:24" x14ac:dyDescent="0.25">
      <c r="A18" s="5" t="s">
        <v>41</v>
      </c>
      <c r="B18" s="5" t="s">
        <v>32</v>
      </c>
      <c r="C18" s="5" t="s">
        <v>20</v>
      </c>
      <c r="D18" s="5" t="s">
        <v>25</v>
      </c>
      <c r="E18" s="7">
        <v>14673</v>
      </c>
      <c r="F18" s="7">
        <f>SUMIFS('02_Fills'!D:D, '02_Fills'!B:B, A18)</f>
        <v>14456</v>
      </c>
      <c r="G18" s="9">
        <f>SUMIFS('02_Fills'!H:H, '02_Fills'!B:B, A18)</f>
        <v>2534411.19</v>
      </c>
      <c r="H18" s="8">
        <f t="shared" si="0"/>
        <v>175.31898104593247</v>
      </c>
      <c r="I18" s="9">
        <f>SUMIFS('02_Fills'!I:I, '02_Fills'!B:B, A18)</f>
        <v>27.160954150000002</v>
      </c>
      <c r="J18" s="8">
        <f t="shared" si="1"/>
        <v>0.10716869566062799</v>
      </c>
      <c r="K18" s="8">
        <f>VLOOKUP(A18, '01_Orders'!A:J, 10, FALSE)</f>
        <v>175.4015235678911</v>
      </c>
      <c r="L18" s="8">
        <f t="shared" si="2"/>
        <v>4.705918185863438</v>
      </c>
      <c r="M18" s="7">
        <f>SUMIFS('02_Fills'!D:D, '02_Fills'!B:B, A18, '02_Fills'!F:F, "LIT")</f>
        <v>5136</v>
      </c>
      <c r="N18" s="7">
        <f>SUMIFS('02_Fills'!D:D, '02_Fills'!B:B, A18, '02_Fills'!F:F, "DARK")</f>
        <v>6261</v>
      </c>
      <c r="O18" s="7">
        <f>SUMIFS('02_Fills'!D:D, '02_Fills'!B:B, A18, '02_Fills'!F:F, "BLOCK")</f>
        <v>3059</v>
      </c>
      <c r="P18" s="10">
        <f t="shared" si="3"/>
        <v>0.35528500276701713</v>
      </c>
      <c r="Q18" s="10">
        <f t="shared" si="4"/>
        <v>0.43310736026563362</v>
      </c>
      <c r="R18" s="10">
        <f t="shared" si="5"/>
        <v>0.21160763696734919</v>
      </c>
      <c r="S18" s="8">
        <v>175.32310000000001</v>
      </c>
      <c r="T18" s="11">
        <v>2.2659999999999998E-3</v>
      </c>
      <c r="U18" s="10">
        <v>0.35</v>
      </c>
      <c r="V18" s="5">
        <f>IF(OR('99_Dashboard'!$B$4="All", '99_Dashboard'!$B$4=B18), 1, 0)</f>
        <v>1</v>
      </c>
      <c r="W18" s="5">
        <f>IF(OR('99_Dashboard'!$B$5="All", '99_Dashboard'!$B$5=D18), 1, 0)</f>
        <v>1</v>
      </c>
      <c r="X18" s="5">
        <f t="shared" si="6"/>
        <v>1</v>
      </c>
    </row>
    <row r="19" spans="1:24" x14ac:dyDescent="0.25">
      <c r="A19" s="5" t="s">
        <v>42</v>
      </c>
      <c r="B19" s="5" t="s">
        <v>32</v>
      </c>
      <c r="C19" s="5" t="s">
        <v>20</v>
      </c>
      <c r="D19" s="5" t="s">
        <v>25</v>
      </c>
      <c r="E19" s="7">
        <v>12688</v>
      </c>
      <c r="F19" s="7">
        <f>SUMIFS('02_Fills'!D:D, '02_Fills'!B:B, A19)</f>
        <v>12357</v>
      </c>
      <c r="G19" s="9">
        <f>SUMIFS('02_Fills'!H:H, '02_Fills'!B:B, A19)</f>
        <v>2145090.5399999996</v>
      </c>
      <c r="H19" s="8">
        <f t="shared" si="0"/>
        <v>173.59314882252971</v>
      </c>
      <c r="I19" s="9">
        <f>SUMIFS('02_Fills'!I:I, '02_Fills'!B:B, A19)</f>
        <v>26.68073545</v>
      </c>
      <c r="J19" s="8">
        <f t="shared" si="1"/>
        <v>0.12438046298036448</v>
      </c>
      <c r="K19" s="8">
        <f>VLOOKUP(A19, '01_Orders'!A:J, 10, FALSE)</f>
        <v>172.2940425192306</v>
      </c>
      <c r="L19" s="8">
        <f t="shared" si="2"/>
        <v>-75.400535288625107</v>
      </c>
      <c r="M19" s="7">
        <f>SUMIFS('02_Fills'!D:D, '02_Fills'!B:B, A19, '02_Fills'!F:F, "LIT")</f>
        <v>6863</v>
      </c>
      <c r="N19" s="7">
        <f>SUMIFS('02_Fills'!D:D, '02_Fills'!B:B, A19, '02_Fills'!F:F, "DARK")</f>
        <v>4663</v>
      </c>
      <c r="O19" s="7">
        <f>SUMIFS('02_Fills'!D:D, '02_Fills'!B:B, A19, '02_Fills'!F:F, "BLOCK")</f>
        <v>831</v>
      </c>
      <c r="P19" s="10">
        <f t="shared" si="3"/>
        <v>0.55539370397345633</v>
      </c>
      <c r="Q19" s="10">
        <f t="shared" si="4"/>
        <v>0.37735696366431981</v>
      </c>
      <c r="R19" s="10">
        <f t="shared" si="5"/>
        <v>6.7249332362223843E-2</v>
      </c>
      <c r="S19" s="8">
        <v>173.43629999999999</v>
      </c>
      <c r="T19" s="11">
        <v>2.0773E-2</v>
      </c>
      <c r="U19" s="10">
        <v>0.35</v>
      </c>
      <c r="V19" s="5">
        <f>IF(OR('99_Dashboard'!$B$4="All", '99_Dashboard'!$B$4=B19), 1, 0)</f>
        <v>1</v>
      </c>
      <c r="W19" s="5">
        <f>IF(OR('99_Dashboard'!$B$5="All", '99_Dashboard'!$B$5=D19), 1, 0)</f>
        <v>1</v>
      </c>
      <c r="X19" s="5">
        <f t="shared" si="6"/>
        <v>1</v>
      </c>
    </row>
    <row r="20" spans="1:24" x14ac:dyDescent="0.25">
      <c r="A20" s="5" t="s">
        <v>43</v>
      </c>
      <c r="B20" s="5" t="s">
        <v>32</v>
      </c>
      <c r="C20" s="5" t="s">
        <v>15</v>
      </c>
      <c r="D20" s="5" t="s">
        <v>16</v>
      </c>
      <c r="E20" s="7">
        <v>6224</v>
      </c>
      <c r="F20" s="7">
        <f>SUMIFS('02_Fills'!D:D, '02_Fills'!B:B, A20)</f>
        <v>6017</v>
      </c>
      <c r="G20" s="9">
        <f>SUMIFS('02_Fills'!H:H, '02_Fills'!B:B, A20)</f>
        <v>1057115.06</v>
      </c>
      <c r="H20" s="8">
        <f t="shared" si="0"/>
        <v>175.68806049526344</v>
      </c>
      <c r="I20" s="9">
        <f>SUMIFS('02_Fills'!I:I, '02_Fills'!B:B, A20)</f>
        <v>10.6734174</v>
      </c>
      <c r="J20" s="8">
        <f t="shared" si="1"/>
        <v>0.10096741408640984</v>
      </c>
      <c r="K20" s="8">
        <f>VLOOKUP(A20, '01_Orders'!A:J, 10, FALSE)</f>
        <v>175.72858081544251</v>
      </c>
      <c r="L20" s="8">
        <f t="shared" si="2"/>
        <v>-2.3058468913275947</v>
      </c>
      <c r="M20" s="7">
        <f>SUMIFS('02_Fills'!D:D, '02_Fills'!B:B, A20, '02_Fills'!F:F, "LIT")</f>
        <v>1315</v>
      </c>
      <c r="N20" s="7">
        <f>SUMIFS('02_Fills'!D:D, '02_Fills'!B:B, A20, '02_Fills'!F:F, "DARK")</f>
        <v>3500</v>
      </c>
      <c r="O20" s="7">
        <f>SUMIFS('02_Fills'!D:D, '02_Fills'!B:B, A20, '02_Fills'!F:F, "BLOCK")</f>
        <v>1202</v>
      </c>
      <c r="P20" s="10">
        <f t="shared" si="3"/>
        <v>0.21854744889479807</v>
      </c>
      <c r="Q20" s="10">
        <f t="shared" si="4"/>
        <v>0.58168522519527999</v>
      </c>
      <c r="R20" s="10">
        <f t="shared" si="5"/>
        <v>0.19976732590992188</v>
      </c>
      <c r="S20" s="8">
        <v>175.56659999999999</v>
      </c>
      <c r="T20" s="11">
        <v>3.4520000000000002E-3</v>
      </c>
      <c r="U20" s="10">
        <v>0.45</v>
      </c>
      <c r="V20" s="5">
        <f>IF(OR('99_Dashboard'!$B$4="All", '99_Dashboard'!$B$4=B20), 1, 0)</f>
        <v>1</v>
      </c>
      <c r="W20" s="5">
        <f>IF(OR('99_Dashboard'!$B$5="All", '99_Dashboard'!$B$5=D20), 1, 0)</f>
        <v>1</v>
      </c>
      <c r="X20" s="5">
        <f t="shared" si="6"/>
        <v>1</v>
      </c>
    </row>
    <row r="21" spans="1:24" x14ac:dyDescent="0.25">
      <c r="A21" s="5" t="s">
        <v>44</v>
      </c>
      <c r="B21" s="5" t="s">
        <v>19</v>
      </c>
      <c r="C21" s="5" t="s">
        <v>20</v>
      </c>
      <c r="D21" s="5" t="s">
        <v>16</v>
      </c>
      <c r="E21" s="7">
        <v>3036</v>
      </c>
      <c r="F21" s="7">
        <f>SUMIFS('02_Fills'!D:D, '02_Fills'!B:B, A21)</f>
        <v>2861</v>
      </c>
      <c r="G21" s="9">
        <f>SUMIFS('02_Fills'!H:H, '02_Fills'!B:B, A21)</f>
        <v>566986.82999999996</v>
      </c>
      <c r="H21" s="8">
        <f t="shared" si="0"/>
        <v>198.17785040195733</v>
      </c>
      <c r="I21" s="9">
        <f>SUMIFS('02_Fills'!I:I, '02_Fills'!B:B, A21)</f>
        <v>5.5094074499999994</v>
      </c>
      <c r="J21" s="8">
        <f t="shared" si="1"/>
        <v>9.7169936910174795E-2</v>
      </c>
      <c r="K21" s="8">
        <f>VLOOKUP(A21, '01_Orders'!A:J, 10, FALSE)</f>
        <v>198.6942673784001</v>
      </c>
      <c r="L21" s="8">
        <f t="shared" si="2"/>
        <v>25.990532251204193</v>
      </c>
      <c r="M21" s="7">
        <f>SUMIFS('02_Fills'!D:D, '02_Fills'!B:B, A21, '02_Fills'!F:F, "LIT")</f>
        <v>1038</v>
      </c>
      <c r="N21" s="7">
        <f>SUMIFS('02_Fills'!D:D, '02_Fills'!B:B, A21, '02_Fills'!F:F, "DARK")</f>
        <v>624</v>
      </c>
      <c r="O21" s="7">
        <f>SUMIFS('02_Fills'!D:D, '02_Fills'!B:B, A21, '02_Fills'!F:F, "BLOCK")</f>
        <v>1199</v>
      </c>
      <c r="P21" s="10">
        <f t="shared" si="3"/>
        <v>0.36281020622160082</v>
      </c>
      <c r="Q21" s="10">
        <f t="shared" si="4"/>
        <v>0.21810555749737853</v>
      </c>
      <c r="R21" s="10">
        <f t="shared" si="5"/>
        <v>0.41908423628102059</v>
      </c>
      <c r="S21" s="8">
        <v>198.15559999999999</v>
      </c>
      <c r="T21" s="11">
        <v>-1.0468999999999999E-2</v>
      </c>
      <c r="U21" s="10">
        <v>0.45</v>
      </c>
      <c r="V21" s="5">
        <f>IF(OR('99_Dashboard'!$B$4="All", '99_Dashboard'!$B$4=B21), 1, 0)</f>
        <v>1</v>
      </c>
      <c r="W21" s="5">
        <f>IF(OR('99_Dashboard'!$B$5="All", '99_Dashboard'!$B$5=D21), 1, 0)</f>
        <v>1</v>
      </c>
      <c r="X21" s="5">
        <f t="shared" si="6"/>
        <v>1</v>
      </c>
    </row>
    <row r="22" spans="1:24" x14ac:dyDescent="0.25">
      <c r="A22" s="5" t="s">
        <v>45</v>
      </c>
      <c r="B22" s="5" t="s">
        <v>32</v>
      </c>
      <c r="C22" s="5" t="s">
        <v>15</v>
      </c>
      <c r="D22" s="5" t="s">
        <v>25</v>
      </c>
      <c r="E22" s="7">
        <v>12765</v>
      </c>
      <c r="F22" s="7">
        <f>SUMIFS('02_Fills'!D:D, '02_Fills'!B:B, A22)</f>
        <v>12147</v>
      </c>
      <c r="G22" s="9">
        <f>SUMIFS('02_Fills'!H:H, '02_Fills'!B:B, A22)</f>
        <v>2115302.29</v>
      </c>
      <c r="H22" s="8">
        <f t="shared" si="0"/>
        <v>174.14195192228533</v>
      </c>
      <c r="I22" s="9">
        <f>SUMIFS('02_Fills'!I:I, '02_Fills'!B:B, A22)</f>
        <v>24.899677449999999</v>
      </c>
      <c r="J22" s="8">
        <f t="shared" si="1"/>
        <v>0.11771214718441021</v>
      </c>
      <c r="K22" s="8">
        <f>VLOOKUP(A22, '01_Orders'!A:J, 10, FALSE)</f>
        <v>172.25425975855529</v>
      </c>
      <c r="L22" s="8">
        <f t="shared" si="2"/>
        <v>109.58754612953958</v>
      </c>
      <c r="M22" s="7">
        <f>SUMIFS('02_Fills'!D:D, '02_Fills'!B:B, A22, '02_Fills'!F:F, "LIT")</f>
        <v>8210</v>
      </c>
      <c r="N22" s="7">
        <f>SUMIFS('02_Fills'!D:D, '02_Fills'!B:B, A22, '02_Fills'!F:F, "DARK")</f>
        <v>0</v>
      </c>
      <c r="O22" s="7">
        <f>SUMIFS('02_Fills'!D:D, '02_Fills'!B:B, A22, '02_Fills'!F:F, "BLOCK")</f>
        <v>3937</v>
      </c>
      <c r="P22" s="10">
        <f t="shared" si="3"/>
        <v>0.67588705030048568</v>
      </c>
      <c r="Q22" s="10">
        <f t="shared" si="4"/>
        <v>0</v>
      </c>
      <c r="R22" s="10">
        <f t="shared" si="5"/>
        <v>0.32411294969951426</v>
      </c>
      <c r="S22" s="8">
        <v>173.74959999999999</v>
      </c>
      <c r="T22" s="11">
        <v>2.0478E-2</v>
      </c>
      <c r="U22" s="10">
        <v>0.35</v>
      </c>
      <c r="V22" s="5">
        <f>IF(OR('99_Dashboard'!$B$4="All", '99_Dashboard'!$B$4=B22), 1, 0)</f>
        <v>1</v>
      </c>
      <c r="W22" s="5">
        <f>IF(OR('99_Dashboard'!$B$5="All", '99_Dashboard'!$B$5=D22), 1, 0)</f>
        <v>1</v>
      </c>
      <c r="X22" s="5">
        <f t="shared" si="6"/>
        <v>1</v>
      </c>
    </row>
    <row r="23" spans="1:24" x14ac:dyDescent="0.25">
      <c r="A23" s="5" t="s">
        <v>46</v>
      </c>
      <c r="B23" s="5" t="s">
        <v>24</v>
      </c>
      <c r="C23" s="5" t="s">
        <v>20</v>
      </c>
      <c r="D23" s="5" t="s">
        <v>25</v>
      </c>
      <c r="E23" s="7">
        <v>15460</v>
      </c>
      <c r="F23" s="7">
        <f>SUMIFS('02_Fills'!D:D, '02_Fills'!B:B, A23)</f>
        <v>15305</v>
      </c>
      <c r="G23" s="9">
        <f>SUMIFS('02_Fills'!H:H, '02_Fills'!B:B, A23)</f>
        <v>3793913.5800000005</v>
      </c>
      <c r="H23" s="8">
        <f t="shared" si="0"/>
        <v>247.88719895459005</v>
      </c>
      <c r="I23" s="9">
        <f>SUMIFS('02_Fills'!I:I, '02_Fills'!B:B, A23)</f>
        <v>39.324408950000006</v>
      </c>
      <c r="J23" s="8">
        <f t="shared" si="1"/>
        <v>0.10365130391293731</v>
      </c>
      <c r="K23" s="8">
        <f>VLOOKUP(A23, '01_Orders'!A:J, 10, FALSE)</f>
        <v>247.8029503200132</v>
      </c>
      <c r="L23" s="8">
        <f t="shared" si="2"/>
        <v>-3.3998237094454771</v>
      </c>
      <c r="M23" s="7">
        <f>SUMIFS('02_Fills'!D:D, '02_Fills'!B:B, A23, '02_Fills'!F:F, "LIT")</f>
        <v>2597</v>
      </c>
      <c r="N23" s="7">
        <f>SUMIFS('02_Fills'!D:D, '02_Fills'!B:B, A23, '02_Fills'!F:F, "DARK")</f>
        <v>11232</v>
      </c>
      <c r="O23" s="7">
        <f>SUMIFS('02_Fills'!D:D, '02_Fills'!B:B, A23, '02_Fills'!F:F, "BLOCK")</f>
        <v>1476</v>
      </c>
      <c r="P23" s="10">
        <f t="shared" si="3"/>
        <v>0.16968311009474027</v>
      </c>
      <c r="Q23" s="10">
        <f t="shared" si="4"/>
        <v>0.73387781770663185</v>
      </c>
      <c r="R23" s="10">
        <f t="shared" si="5"/>
        <v>9.6439072198627893E-2</v>
      </c>
      <c r="S23" s="8">
        <v>247.82419999999999</v>
      </c>
      <c r="T23" s="11">
        <v>-1.0280000000000001E-3</v>
      </c>
      <c r="U23" s="10">
        <v>0.25</v>
      </c>
      <c r="V23" s="5">
        <f>IF(OR('99_Dashboard'!$B$4="All", '99_Dashboard'!$B$4=B23), 1, 0)</f>
        <v>1</v>
      </c>
      <c r="W23" s="5">
        <f>IF(OR('99_Dashboard'!$B$5="All", '99_Dashboard'!$B$5=D23), 1, 0)</f>
        <v>1</v>
      </c>
      <c r="X23" s="5">
        <f t="shared" si="6"/>
        <v>1</v>
      </c>
    </row>
    <row r="24" spans="1:24" x14ac:dyDescent="0.25">
      <c r="A24" s="5" t="s">
        <v>47</v>
      </c>
      <c r="B24" s="5" t="s">
        <v>24</v>
      </c>
      <c r="C24" s="5" t="s">
        <v>20</v>
      </c>
      <c r="D24" s="5" t="s">
        <v>25</v>
      </c>
      <c r="E24" s="7">
        <v>12726</v>
      </c>
      <c r="F24" s="7">
        <f>SUMIFS('02_Fills'!D:D, '02_Fills'!B:B, A24)</f>
        <v>12206</v>
      </c>
      <c r="G24" s="9">
        <f>SUMIFS('02_Fills'!H:H, '02_Fills'!B:B, A24)</f>
        <v>3026603.77</v>
      </c>
      <c r="H24" s="8">
        <f t="shared" si="0"/>
        <v>247.96032852695396</v>
      </c>
      <c r="I24" s="9">
        <f>SUMIFS('02_Fills'!I:I, '02_Fills'!B:B, A24)</f>
        <v>42.505594450000004</v>
      </c>
      <c r="J24" s="8">
        <f t="shared" si="1"/>
        <v>0.14043990452704685</v>
      </c>
      <c r="K24" s="8">
        <f>VLOOKUP(A24, '01_Orders'!A:J, 10, FALSE)</f>
        <v>247.1842493005997</v>
      </c>
      <c r="L24" s="8">
        <f t="shared" si="2"/>
        <v>-31.396791201306232</v>
      </c>
      <c r="M24" s="7">
        <f>SUMIFS('02_Fills'!D:D, '02_Fills'!B:B, A24, '02_Fills'!F:F, "LIT")</f>
        <v>10669</v>
      </c>
      <c r="N24" s="7">
        <f>SUMIFS('02_Fills'!D:D, '02_Fills'!B:B, A24, '02_Fills'!F:F, "DARK")</f>
        <v>743</v>
      </c>
      <c r="O24" s="7">
        <f>SUMIFS('02_Fills'!D:D, '02_Fills'!B:B, A24, '02_Fills'!F:F, "BLOCK")</f>
        <v>794</v>
      </c>
      <c r="P24" s="10">
        <f t="shared" si="3"/>
        <v>0.87407832213665415</v>
      </c>
      <c r="Q24" s="10">
        <f t="shared" si="4"/>
        <v>6.0871702441422253E-2</v>
      </c>
      <c r="R24" s="10">
        <f t="shared" si="5"/>
        <v>6.5049975421923645E-2</v>
      </c>
      <c r="S24" s="8">
        <v>248.01750000000001</v>
      </c>
      <c r="T24" s="11">
        <v>4.777E-3</v>
      </c>
      <c r="U24" s="10">
        <v>0.35</v>
      </c>
      <c r="V24" s="5">
        <f>IF(OR('99_Dashboard'!$B$4="All", '99_Dashboard'!$B$4=B24), 1, 0)</f>
        <v>1</v>
      </c>
      <c r="W24" s="5">
        <f>IF(OR('99_Dashboard'!$B$5="All", '99_Dashboard'!$B$5=D24), 1, 0)</f>
        <v>1</v>
      </c>
      <c r="X24" s="5">
        <f t="shared" si="6"/>
        <v>1</v>
      </c>
    </row>
    <row r="25" spans="1:24" x14ac:dyDescent="0.25">
      <c r="A25" s="5" t="s">
        <v>48</v>
      </c>
      <c r="B25" s="5" t="s">
        <v>19</v>
      </c>
      <c r="C25" s="5" t="s">
        <v>15</v>
      </c>
      <c r="D25" s="5" t="s">
        <v>25</v>
      </c>
      <c r="E25" s="7">
        <v>9449</v>
      </c>
      <c r="F25" s="7">
        <f>SUMIFS('02_Fills'!D:D, '02_Fills'!B:B, A25)</f>
        <v>9209</v>
      </c>
      <c r="G25" s="9">
        <f>SUMIFS('02_Fills'!H:H, '02_Fills'!B:B, A25)</f>
        <v>1790685.2799999998</v>
      </c>
      <c r="H25" s="8">
        <f t="shared" si="0"/>
        <v>194.4494820284504</v>
      </c>
      <c r="I25" s="9">
        <f>SUMIFS('02_Fills'!I:I, '02_Fills'!B:B, A25)</f>
        <v>19.203929600000002</v>
      </c>
      <c r="J25" s="8">
        <f t="shared" si="1"/>
        <v>0.10724346603217738</v>
      </c>
      <c r="K25" s="8">
        <f>VLOOKUP(A25, '01_Orders'!A:J, 10, FALSE)</f>
        <v>194.75419121537749</v>
      </c>
      <c r="L25" s="8">
        <f t="shared" si="2"/>
        <v>-15.645834630080351</v>
      </c>
      <c r="M25" s="7">
        <f>SUMIFS('02_Fills'!D:D, '02_Fills'!B:B, A25, '02_Fills'!F:F, "LIT")</f>
        <v>2224</v>
      </c>
      <c r="N25" s="7">
        <f>SUMIFS('02_Fills'!D:D, '02_Fills'!B:B, A25, '02_Fills'!F:F, "DARK")</f>
        <v>6093</v>
      </c>
      <c r="O25" s="7">
        <f>SUMIFS('02_Fills'!D:D, '02_Fills'!B:B, A25, '02_Fills'!F:F, "BLOCK")</f>
        <v>892</v>
      </c>
      <c r="P25" s="10">
        <f t="shared" si="3"/>
        <v>0.24150287761971984</v>
      </c>
      <c r="Q25" s="10">
        <f t="shared" si="4"/>
        <v>0.66163535671625584</v>
      </c>
      <c r="R25" s="10">
        <f t="shared" si="5"/>
        <v>9.6861765664024324E-2</v>
      </c>
      <c r="S25" s="8">
        <v>194.35749999999999</v>
      </c>
      <c r="T25" s="11">
        <v>2.2060000000000001E-3</v>
      </c>
      <c r="U25" s="10">
        <v>0.35</v>
      </c>
      <c r="V25" s="5">
        <f>IF(OR('99_Dashboard'!$B$4="All", '99_Dashboard'!$B$4=B25), 1, 0)</f>
        <v>1</v>
      </c>
      <c r="W25" s="5">
        <f>IF(OR('99_Dashboard'!$B$5="All", '99_Dashboard'!$B$5=D25), 1, 0)</f>
        <v>1</v>
      </c>
      <c r="X25" s="5">
        <f t="shared" si="6"/>
        <v>1</v>
      </c>
    </row>
    <row r="26" spans="1:24" x14ac:dyDescent="0.25">
      <c r="A26" s="5" t="s">
        <v>49</v>
      </c>
      <c r="B26" s="5" t="s">
        <v>19</v>
      </c>
      <c r="C26" s="5" t="s">
        <v>15</v>
      </c>
      <c r="D26" s="5" t="s">
        <v>16</v>
      </c>
      <c r="E26" s="7">
        <v>7785</v>
      </c>
      <c r="F26" s="7">
        <f>SUMIFS('02_Fills'!D:D, '02_Fills'!B:B, A26)</f>
        <v>7387</v>
      </c>
      <c r="G26" s="9">
        <f>SUMIFS('02_Fills'!H:H, '02_Fills'!B:B, A26)</f>
        <v>1440347.61</v>
      </c>
      <c r="H26" s="8">
        <f t="shared" si="0"/>
        <v>194.98410856910792</v>
      </c>
      <c r="I26" s="9">
        <f>SUMIFS('02_Fills'!I:I, '02_Fills'!B:B, A26)</f>
        <v>14.403476100000001</v>
      </c>
      <c r="J26" s="8">
        <f t="shared" si="1"/>
        <v>9.9999999999999992E-2</v>
      </c>
      <c r="K26" s="8">
        <f>VLOOKUP(A26, '01_Orders'!A:J, 10, FALSE)</f>
        <v>195.29668726101701</v>
      </c>
      <c r="L26" s="8">
        <f t="shared" si="2"/>
        <v>-16.005324836428453</v>
      </c>
      <c r="M26" s="7">
        <f>SUMIFS('02_Fills'!D:D, '02_Fills'!B:B, A26, '02_Fills'!F:F, "LIT")</f>
        <v>0</v>
      </c>
      <c r="N26" s="7">
        <f>SUMIFS('02_Fills'!D:D, '02_Fills'!B:B, A26, '02_Fills'!F:F, "DARK")</f>
        <v>7387</v>
      </c>
      <c r="O26" s="7">
        <f>SUMIFS('02_Fills'!D:D, '02_Fills'!B:B, A26, '02_Fills'!F:F, "BLOCK")</f>
        <v>0</v>
      </c>
      <c r="P26" s="10">
        <f t="shared" si="3"/>
        <v>0</v>
      </c>
      <c r="Q26" s="10">
        <f t="shared" si="4"/>
        <v>1</v>
      </c>
      <c r="R26" s="10">
        <f t="shared" si="5"/>
        <v>0</v>
      </c>
      <c r="S26" s="8">
        <v>194.86859999999999</v>
      </c>
      <c r="T26" s="11">
        <v>9.7750000000000007E-3</v>
      </c>
      <c r="U26" s="10">
        <v>0.45</v>
      </c>
      <c r="V26" s="5">
        <f>IF(OR('99_Dashboard'!$B$4="All", '99_Dashboard'!$B$4=B26), 1, 0)</f>
        <v>1</v>
      </c>
      <c r="W26" s="5">
        <f>IF(OR('99_Dashboard'!$B$5="All", '99_Dashboard'!$B$5=D26), 1, 0)</f>
        <v>1</v>
      </c>
      <c r="X26" s="5">
        <f t="shared" si="6"/>
        <v>1</v>
      </c>
    </row>
    <row r="27" spans="1:24" x14ac:dyDescent="0.25">
      <c r="A27" s="5" t="s">
        <v>50</v>
      </c>
      <c r="B27" s="5" t="s">
        <v>24</v>
      </c>
      <c r="C27" s="5" t="s">
        <v>15</v>
      </c>
      <c r="D27" s="5" t="s">
        <v>25</v>
      </c>
      <c r="E27" s="7">
        <v>12727</v>
      </c>
      <c r="F27" s="7">
        <f>SUMIFS('02_Fills'!D:D, '02_Fills'!B:B, A27)</f>
        <v>12431</v>
      </c>
      <c r="G27" s="9">
        <f>SUMIFS('02_Fills'!H:H, '02_Fills'!B:B, A27)</f>
        <v>3043327.7199999997</v>
      </c>
      <c r="H27" s="8">
        <f t="shared" si="0"/>
        <v>244.81761081168045</v>
      </c>
      <c r="I27" s="9">
        <f>SUMIFS('02_Fills'!I:I, '02_Fills'!B:B, A27)</f>
        <v>40.239955049999999</v>
      </c>
      <c r="J27" s="8">
        <f t="shared" si="1"/>
        <v>0.13222353539368412</v>
      </c>
      <c r="K27" s="8">
        <f>VLOOKUP(A27, '01_Orders'!A:J, 10, FALSE)</f>
        <v>244.6881770031269</v>
      </c>
      <c r="L27" s="8">
        <f t="shared" si="2"/>
        <v>5.2897451008392231</v>
      </c>
      <c r="M27" s="7">
        <f>SUMIFS('02_Fills'!D:D, '02_Fills'!B:B, A27, '02_Fills'!F:F, "LIT")</f>
        <v>8012</v>
      </c>
      <c r="N27" s="7">
        <f>SUMIFS('02_Fills'!D:D, '02_Fills'!B:B, A27, '02_Fills'!F:F, "DARK")</f>
        <v>4419</v>
      </c>
      <c r="O27" s="7">
        <f>SUMIFS('02_Fills'!D:D, '02_Fills'!B:B, A27, '02_Fills'!F:F, "BLOCK")</f>
        <v>0</v>
      </c>
      <c r="P27" s="10">
        <f t="shared" si="3"/>
        <v>0.64451773791328126</v>
      </c>
      <c r="Q27" s="10">
        <f t="shared" si="4"/>
        <v>0.35548226208671868</v>
      </c>
      <c r="R27" s="10">
        <f t="shared" si="5"/>
        <v>0</v>
      </c>
      <c r="S27" s="8">
        <v>244.59219999999999</v>
      </c>
      <c r="T27" s="11">
        <v>5.1580000000000003E-3</v>
      </c>
      <c r="U27" s="10">
        <v>0.35</v>
      </c>
      <c r="V27" s="5">
        <f>IF(OR('99_Dashboard'!$B$4="All", '99_Dashboard'!$B$4=B27), 1, 0)</f>
        <v>1</v>
      </c>
      <c r="W27" s="5">
        <f>IF(OR('99_Dashboard'!$B$5="All", '99_Dashboard'!$B$5=D27), 1, 0)</f>
        <v>1</v>
      </c>
      <c r="X27" s="5">
        <f t="shared" si="6"/>
        <v>1</v>
      </c>
    </row>
    <row r="28" spans="1:24" x14ac:dyDescent="0.25">
      <c r="A28" s="5" t="s">
        <v>51</v>
      </c>
      <c r="B28" s="5" t="s">
        <v>14</v>
      </c>
      <c r="C28" s="5" t="s">
        <v>20</v>
      </c>
      <c r="D28" s="5" t="s">
        <v>16</v>
      </c>
      <c r="E28" s="7">
        <v>7922</v>
      </c>
      <c r="F28" s="7">
        <f>SUMIFS('02_Fills'!D:D, '02_Fills'!B:B, A28)</f>
        <v>7726</v>
      </c>
      <c r="G28" s="9">
        <f>SUMIFS('02_Fills'!H:H, '02_Fills'!B:B, A28)</f>
        <v>1435579.12</v>
      </c>
      <c r="H28" s="8">
        <f t="shared" si="0"/>
        <v>185.81143152989907</v>
      </c>
      <c r="I28" s="9">
        <f>SUMIFS('02_Fills'!I:I, '02_Fills'!B:B, A28)</f>
        <v>18.099796649999998</v>
      </c>
      <c r="J28" s="8">
        <f t="shared" si="1"/>
        <v>0.1260801052191397</v>
      </c>
      <c r="K28" s="8">
        <f>VLOOKUP(A28, '01_Orders'!A:J, 10, FALSE)</f>
        <v>186.039191370309</v>
      </c>
      <c r="L28" s="8">
        <f t="shared" si="2"/>
        <v>12.24257312302424</v>
      </c>
      <c r="M28" s="7">
        <f>SUMIFS('02_Fills'!D:D, '02_Fills'!B:B, A28, '02_Fills'!F:F, "LIT")</f>
        <v>4546</v>
      </c>
      <c r="N28" s="7">
        <f>SUMIFS('02_Fills'!D:D, '02_Fills'!B:B, A28, '02_Fills'!F:F, "DARK")</f>
        <v>2669</v>
      </c>
      <c r="O28" s="7">
        <f>SUMIFS('02_Fills'!D:D, '02_Fills'!B:B, A28, '02_Fills'!F:F, "BLOCK")</f>
        <v>511</v>
      </c>
      <c r="P28" s="10">
        <f t="shared" si="3"/>
        <v>0.58840279575459487</v>
      </c>
      <c r="Q28" s="10">
        <f t="shared" si="4"/>
        <v>0.34545689878332903</v>
      </c>
      <c r="R28" s="10">
        <f t="shared" si="5"/>
        <v>6.614030546207611E-2</v>
      </c>
      <c r="S28" s="8">
        <v>185.95779999999999</v>
      </c>
      <c r="T28" s="11">
        <v>-4.4050000000000001E-3</v>
      </c>
      <c r="U28" s="10">
        <v>0.45</v>
      </c>
      <c r="V28" s="5">
        <f>IF(OR('99_Dashboard'!$B$4="All", '99_Dashboard'!$B$4=B28), 1, 0)</f>
        <v>1</v>
      </c>
      <c r="W28" s="5">
        <f>IF(OR('99_Dashboard'!$B$5="All", '99_Dashboard'!$B$5=D28), 1, 0)</f>
        <v>1</v>
      </c>
      <c r="X28" s="5">
        <f t="shared" si="6"/>
        <v>1</v>
      </c>
    </row>
    <row r="29" spans="1:24" x14ac:dyDescent="0.25">
      <c r="A29" s="5" t="s">
        <v>52</v>
      </c>
      <c r="B29" s="5" t="s">
        <v>32</v>
      </c>
      <c r="C29" s="5" t="s">
        <v>15</v>
      </c>
      <c r="D29" s="5" t="s">
        <v>16</v>
      </c>
      <c r="E29" s="7">
        <v>6675</v>
      </c>
      <c r="F29" s="7">
        <f>SUMIFS('02_Fills'!D:D, '02_Fills'!B:B, A29)</f>
        <v>6587</v>
      </c>
      <c r="G29" s="9">
        <f>SUMIFS('02_Fills'!H:H, '02_Fills'!B:B, A29)</f>
        <v>1138842.22</v>
      </c>
      <c r="H29" s="8">
        <f t="shared" si="0"/>
        <v>172.89239714589343</v>
      </c>
      <c r="I29" s="9">
        <f>SUMIFS('02_Fills'!I:I, '02_Fills'!B:B, A29)</f>
        <v>12.138929350000002</v>
      </c>
      <c r="J29" s="8">
        <f t="shared" si="1"/>
        <v>0.10659008892381951</v>
      </c>
      <c r="K29" s="8">
        <f>VLOOKUP(A29, '01_Orders'!A:J, 10, FALSE)</f>
        <v>173.01312580924809</v>
      </c>
      <c r="L29" s="8">
        <f t="shared" si="2"/>
        <v>-6.9780060206400458</v>
      </c>
      <c r="M29" s="7">
        <f>SUMIFS('02_Fills'!D:D, '02_Fills'!B:B, A29, '02_Fills'!F:F, "LIT")</f>
        <v>869</v>
      </c>
      <c r="N29" s="7">
        <f>SUMIFS('02_Fills'!D:D, '02_Fills'!B:B, A29, '02_Fills'!F:F, "DARK")</f>
        <v>5718</v>
      </c>
      <c r="O29" s="7">
        <f>SUMIFS('02_Fills'!D:D, '02_Fills'!B:B, A29, '02_Fills'!F:F, "BLOCK")</f>
        <v>0</v>
      </c>
      <c r="P29" s="10">
        <f t="shared" si="3"/>
        <v>0.13192652193714893</v>
      </c>
      <c r="Q29" s="10">
        <f t="shared" si="4"/>
        <v>0.86807347806285107</v>
      </c>
      <c r="R29" s="10">
        <f t="shared" si="5"/>
        <v>0</v>
      </c>
      <c r="S29" s="8">
        <v>172.80109999999999</v>
      </c>
      <c r="T29" s="11">
        <v>1.281E-3</v>
      </c>
      <c r="U29" s="10">
        <v>0.35</v>
      </c>
      <c r="V29" s="5">
        <f>IF(OR('99_Dashboard'!$B$4="All", '99_Dashboard'!$B$4=B29), 1, 0)</f>
        <v>1</v>
      </c>
      <c r="W29" s="5">
        <f>IF(OR('99_Dashboard'!$B$5="All", '99_Dashboard'!$B$5=D29), 1, 0)</f>
        <v>1</v>
      </c>
      <c r="X29" s="5">
        <f t="shared" si="6"/>
        <v>1</v>
      </c>
    </row>
    <row r="30" spans="1:24" x14ac:dyDescent="0.25">
      <c r="A30" s="5" t="s">
        <v>53</v>
      </c>
      <c r="B30" s="5" t="s">
        <v>14</v>
      </c>
      <c r="C30" s="5" t="s">
        <v>15</v>
      </c>
      <c r="D30" s="5" t="s">
        <v>16</v>
      </c>
      <c r="E30" s="7">
        <v>4004</v>
      </c>
      <c r="F30" s="7">
        <f>SUMIFS('02_Fills'!D:D, '02_Fills'!B:B, A30)</f>
        <v>3774</v>
      </c>
      <c r="G30" s="9">
        <f>SUMIFS('02_Fills'!H:H, '02_Fills'!B:B, A30)</f>
        <v>698419.11</v>
      </c>
      <c r="H30" s="8">
        <f t="shared" si="0"/>
        <v>185.06070747217805</v>
      </c>
      <c r="I30" s="9">
        <f>SUMIFS('02_Fills'!I:I, '02_Fills'!B:B, A30)</f>
        <v>8.5892189999999999</v>
      </c>
      <c r="J30" s="8">
        <f t="shared" si="1"/>
        <v>0.12298087032584203</v>
      </c>
      <c r="K30" s="8">
        <f>VLOOKUP(A30, '01_Orders'!A:J, 10, FALSE)</f>
        <v>185.29703563380889</v>
      </c>
      <c r="L30" s="8">
        <f t="shared" si="2"/>
        <v>-12.754017398199386</v>
      </c>
      <c r="M30" s="7">
        <f>SUMIFS('02_Fills'!D:D, '02_Fills'!B:B, A30, '02_Fills'!F:F, "LIT")</f>
        <v>2038</v>
      </c>
      <c r="N30" s="7">
        <f>SUMIFS('02_Fills'!D:D, '02_Fills'!B:B, A30, '02_Fills'!F:F, "DARK")</f>
        <v>1434</v>
      </c>
      <c r="O30" s="7">
        <f>SUMIFS('02_Fills'!D:D, '02_Fills'!B:B, A30, '02_Fills'!F:F, "BLOCK")</f>
        <v>302</v>
      </c>
      <c r="P30" s="10">
        <f t="shared" si="3"/>
        <v>0.54001059883412827</v>
      </c>
      <c r="Q30" s="10">
        <f t="shared" si="4"/>
        <v>0.37996820349761529</v>
      </c>
      <c r="R30" s="10">
        <f t="shared" si="5"/>
        <v>8.0021197668256494E-2</v>
      </c>
      <c r="S30" s="8">
        <v>184.89920000000001</v>
      </c>
      <c r="T30" s="11">
        <v>-3.1110000000000001E-3</v>
      </c>
      <c r="U30" s="10">
        <v>0.45</v>
      </c>
      <c r="V30" s="5">
        <f>IF(OR('99_Dashboard'!$B$4="All", '99_Dashboard'!$B$4=B30), 1, 0)</f>
        <v>1</v>
      </c>
      <c r="W30" s="5">
        <f>IF(OR('99_Dashboard'!$B$5="All", '99_Dashboard'!$B$5=D30), 1, 0)</f>
        <v>1</v>
      </c>
      <c r="X30" s="5">
        <f t="shared" si="6"/>
        <v>1</v>
      </c>
    </row>
    <row r="31" spans="1:24" x14ac:dyDescent="0.25">
      <c r="A31" s="5" t="s">
        <v>54</v>
      </c>
      <c r="B31" s="5" t="s">
        <v>24</v>
      </c>
      <c r="C31" s="5" t="s">
        <v>15</v>
      </c>
      <c r="D31" s="5" t="s">
        <v>25</v>
      </c>
      <c r="E31" s="7">
        <v>14003</v>
      </c>
      <c r="F31" s="7">
        <f>SUMIFS('02_Fills'!D:D, '02_Fills'!B:B, A31)</f>
        <v>13763</v>
      </c>
      <c r="G31" s="9">
        <f>SUMIFS('02_Fills'!H:H, '02_Fills'!B:B, A31)</f>
        <v>3368703.3499999996</v>
      </c>
      <c r="H31" s="8">
        <f t="shared" si="0"/>
        <v>244.76519290852283</v>
      </c>
      <c r="I31" s="9">
        <f>SUMIFS('02_Fills'!I:I, '02_Fills'!B:B, A31)</f>
        <v>46.801958899999995</v>
      </c>
      <c r="J31" s="8">
        <f t="shared" si="1"/>
        <v>0.13893167203339529</v>
      </c>
      <c r="K31" s="8">
        <f>VLOOKUP(A31, '01_Orders'!A:J, 10, FALSE)</f>
        <v>245.0919280476374</v>
      </c>
      <c r="L31" s="8">
        <f t="shared" si="2"/>
        <v>-13.331126068380961</v>
      </c>
      <c r="M31" s="7">
        <f>SUMIFS('02_Fills'!D:D, '02_Fills'!B:B, A31, '02_Fills'!F:F, "LIT")</f>
        <v>10714</v>
      </c>
      <c r="N31" s="7">
        <f>SUMIFS('02_Fills'!D:D, '02_Fills'!B:B, A31, '02_Fills'!F:F, "DARK")</f>
        <v>3049</v>
      </c>
      <c r="O31" s="7">
        <f>SUMIFS('02_Fills'!D:D, '02_Fills'!B:B, A31, '02_Fills'!F:F, "BLOCK")</f>
        <v>0</v>
      </c>
      <c r="P31" s="10">
        <f t="shared" si="3"/>
        <v>0.77846399767492558</v>
      </c>
      <c r="Q31" s="10">
        <f t="shared" si="4"/>
        <v>0.22153600232507448</v>
      </c>
      <c r="R31" s="10">
        <f t="shared" si="5"/>
        <v>0</v>
      </c>
      <c r="S31" s="8">
        <v>244.83019999999999</v>
      </c>
      <c r="T31" s="11">
        <v>4.4900000000000001E-3</v>
      </c>
      <c r="U31" s="10">
        <v>0.35</v>
      </c>
      <c r="V31" s="5">
        <f>IF(OR('99_Dashboard'!$B$4="All", '99_Dashboard'!$B$4=B31), 1, 0)</f>
        <v>1</v>
      </c>
      <c r="W31" s="5">
        <f>IF(OR('99_Dashboard'!$B$5="All", '99_Dashboard'!$B$5=D31), 1, 0)</f>
        <v>1</v>
      </c>
      <c r="X31" s="5">
        <f t="shared" si="6"/>
        <v>1</v>
      </c>
    </row>
    <row r="32" spans="1:24" x14ac:dyDescent="0.25">
      <c r="A32" s="5" t="s">
        <v>55</v>
      </c>
      <c r="B32" s="5" t="s">
        <v>14</v>
      </c>
      <c r="C32" s="5" t="s">
        <v>15</v>
      </c>
      <c r="D32" s="5" t="s">
        <v>25</v>
      </c>
      <c r="E32" s="7">
        <v>9505</v>
      </c>
      <c r="F32" s="7">
        <f>SUMIFS('02_Fills'!D:D, '02_Fills'!B:B, A32)</f>
        <v>8983</v>
      </c>
      <c r="G32" s="9">
        <f>SUMIFS('02_Fills'!H:H, '02_Fills'!B:B, A32)</f>
        <v>1669022.1500000001</v>
      </c>
      <c r="H32" s="8">
        <f t="shared" si="0"/>
        <v>185.79785706334189</v>
      </c>
      <c r="I32" s="9">
        <f>SUMIFS('02_Fills'!I:I, '02_Fills'!B:B, A32)</f>
        <v>22.359530749999994</v>
      </c>
      <c r="J32" s="8">
        <f t="shared" si="1"/>
        <v>0.1339678490785757</v>
      </c>
      <c r="K32" s="8">
        <f>VLOOKUP(A32, '01_Orders'!A:J, 10, FALSE)</f>
        <v>185.66525161716731</v>
      </c>
      <c r="L32" s="8">
        <f t="shared" si="2"/>
        <v>7.1421790033175281</v>
      </c>
      <c r="M32" s="7">
        <f>SUMIFS('02_Fills'!D:D, '02_Fills'!B:B, A32, '02_Fills'!F:F, "LIT")</f>
        <v>7120</v>
      </c>
      <c r="N32" s="7">
        <f>SUMIFS('02_Fills'!D:D, '02_Fills'!B:B, A32, '02_Fills'!F:F, "DARK")</f>
        <v>846</v>
      </c>
      <c r="O32" s="7">
        <f>SUMIFS('02_Fills'!D:D, '02_Fills'!B:B, A32, '02_Fills'!F:F, "BLOCK")</f>
        <v>1017</v>
      </c>
      <c r="P32" s="10">
        <f t="shared" si="3"/>
        <v>0.792608260046755</v>
      </c>
      <c r="Q32" s="10">
        <f t="shared" si="4"/>
        <v>9.417789157297117E-2</v>
      </c>
      <c r="R32" s="10">
        <f t="shared" si="5"/>
        <v>0.11321384838027385</v>
      </c>
      <c r="S32" s="8">
        <v>185.7183</v>
      </c>
      <c r="T32" s="11">
        <v>1.0399999999999999E-4</v>
      </c>
      <c r="U32" s="10">
        <v>0.25</v>
      </c>
      <c r="V32" s="5">
        <f>IF(OR('99_Dashboard'!$B$4="All", '99_Dashboard'!$B$4=B32), 1, 0)</f>
        <v>1</v>
      </c>
      <c r="W32" s="5">
        <f>IF(OR('99_Dashboard'!$B$5="All", '99_Dashboard'!$B$5=D32), 1, 0)</f>
        <v>1</v>
      </c>
      <c r="X32" s="5">
        <f t="shared" si="6"/>
        <v>1</v>
      </c>
    </row>
    <row r="33" spans="1:24" x14ac:dyDescent="0.25">
      <c r="A33" s="5" t="s">
        <v>56</v>
      </c>
      <c r="B33" s="5" t="s">
        <v>28</v>
      </c>
      <c r="C33" s="5" t="s">
        <v>15</v>
      </c>
      <c r="D33" s="5" t="s">
        <v>25</v>
      </c>
      <c r="E33" s="7">
        <v>11964</v>
      </c>
      <c r="F33" s="7">
        <f>SUMIFS('02_Fills'!D:D, '02_Fills'!B:B, A33)</f>
        <v>11812</v>
      </c>
      <c r="G33" s="9">
        <f>SUMIFS('02_Fills'!H:H, '02_Fills'!B:B, A33)</f>
        <v>4986714.8599999994</v>
      </c>
      <c r="H33" s="8">
        <f t="shared" si="0"/>
        <v>422.17362512698946</v>
      </c>
      <c r="I33" s="9">
        <f>SUMIFS('02_Fills'!I:I, '02_Fills'!B:B, A33)</f>
        <v>57.755254199999996</v>
      </c>
      <c r="J33" s="8">
        <f t="shared" si="1"/>
        <v>0.11581824070847314</v>
      </c>
      <c r="K33" s="8">
        <f>VLOOKUP(A33, '01_Orders'!A:J, 10, FALSE)</f>
        <v>423.32744416297157</v>
      </c>
      <c r="L33" s="8">
        <f t="shared" si="2"/>
        <v>-27.255946948195398</v>
      </c>
      <c r="M33" s="7">
        <f>SUMIFS('02_Fills'!D:D, '02_Fills'!B:B, A33, '02_Fills'!F:F, "LIT")</f>
        <v>4901</v>
      </c>
      <c r="N33" s="7">
        <f>SUMIFS('02_Fills'!D:D, '02_Fills'!B:B, A33, '02_Fills'!F:F, "DARK")</f>
        <v>5742</v>
      </c>
      <c r="O33" s="7">
        <f>SUMIFS('02_Fills'!D:D, '02_Fills'!B:B, A33, '02_Fills'!F:F, "BLOCK")</f>
        <v>1169</v>
      </c>
      <c r="P33" s="10">
        <f t="shared" si="3"/>
        <v>0.41491703352522857</v>
      </c>
      <c r="Q33" s="10">
        <f t="shared" si="4"/>
        <v>0.48611581442600743</v>
      </c>
      <c r="R33" s="10">
        <f t="shared" si="5"/>
        <v>9.8967152048763968E-2</v>
      </c>
      <c r="S33" s="8">
        <v>421.90839999999997</v>
      </c>
      <c r="T33" s="11">
        <v>-1.4097E-2</v>
      </c>
      <c r="U33" s="10">
        <v>0.35</v>
      </c>
      <c r="V33" s="5">
        <f>IF(OR('99_Dashboard'!$B$4="All", '99_Dashboard'!$B$4=B33), 1, 0)</f>
        <v>1</v>
      </c>
      <c r="W33" s="5">
        <f>IF(OR('99_Dashboard'!$B$5="All", '99_Dashboard'!$B$5=D33), 1, 0)</f>
        <v>1</v>
      </c>
      <c r="X33" s="5">
        <f t="shared" si="6"/>
        <v>1</v>
      </c>
    </row>
    <row r="34" spans="1:24" x14ac:dyDescent="0.25">
      <c r="A34" s="5" t="s">
        <v>57</v>
      </c>
      <c r="B34" s="5" t="s">
        <v>28</v>
      </c>
      <c r="C34" s="5" t="s">
        <v>15</v>
      </c>
      <c r="D34" s="5" t="s">
        <v>25</v>
      </c>
      <c r="E34" s="7">
        <v>7888</v>
      </c>
      <c r="F34" s="7">
        <f>SUMIFS('02_Fills'!D:D, '02_Fills'!B:B, A34)</f>
        <v>7694</v>
      </c>
      <c r="G34" s="9">
        <f>SUMIFS('02_Fills'!H:H, '02_Fills'!B:B, A34)</f>
        <v>3260508.43</v>
      </c>
      <c r="H34" s="8">
        <f t="shared" si="0"/>
        <v>423.77286586950873</v>
      </c>
      <c r="I34" s="9">
        <f>SUMIFS('02_Fills'!I:I, '02_Fills'!B:B, A34)</f>
        <v>35.063258499999996</v>
      </c>
      <c r="J34" s="8">
        <f t="shared" si="1"/>
        <v>0.10753923583629561</v>
      </c>
      <c r="K34" s="8">
        <f>VLOOKUP(A34, '01_Orders'!A:J, 10, FALSE)</f>
        <v>423.85751599845253</v>
      </c>
      <c r="L34" s="8">
        <f t="shared" si="2"/>
        <v>-1.9971364373329048</v>
      </c>
      <c r="M34" s="7">
        <f>SUMIFS('02_Fills'!D:D, '02_Fills'!B:B, A34, '02_Fills'!F:F, "LIT")</f>
        <v>1539</v>
      </c>
      <c r="N34" s="7">
        <f>SUMIFS('02_Fills'!D:D, '02_Fills'!B:B, A34, '02_Fills'!F:F, "DARK")</f>
        <v>5775</v>
      </c>
      <c r="O34" s="7">
        <f>SUMIFS('02_Fills'!D:D, '02_Fills'!B:B, A34, '02_Fills'!F:F, "BLOCK")</f>
        <v>380</v>
      </c>
      <c r="P34" s="10">
        <f t="shared" si="3"/>
        <v>0.20002599428125811</v>
      </c>
      <c r="Q34" s="10">
        <f t="shared" si="4"/>
        <v>0.75058487132830776</v>
      </c>
      <c r="R34" s="10">
        <f t="shared" si="5"/>
        <v>4.9389134390434103E-2</v>
      </c>
      <c r="S34" s="8">
        <v>423.06709999999998</v>
      </c>
      <c r="T34" s="11">
        <v>4.0130000000000001E-3</v>
      </c>
      <c r="U34" s="10">
        <v>0.35</v>
      </c>
      <c r="V34" s="5">
        <f>IF(OR('99_Dashboard'!$B$4="All", '99_Dashboard'!$B$4=B34), 1, 0)</f>
        <v>1</v>
      </c>
      <c r="W34" s="5">
        <f>IF(OR('99_Dashboard'!$B$5="All", '99_Dashboard'!$B$5=D34), 1, 0)</f>
        <v>1</v>
      </c>
      <c r="X34" s="5">
        <f t="shared" si="6"/>
        <v>1</v>
      </c>
    </row>
    <row r="35" spans="1:24" x14ac:dyDescent="0.25">
      <c r="A35" s="5" t="s">
        <v>58</v>
      </c>
      <c r="B35" s="5" t="s">
        <v>32</v>
      </c>
      <c r="C35" s="5" t="s">
        <v>20</v>
      </c>
      <c r="D35" s="5" t="s">
        <v>22</v>
      </c>
      <c r="E35" s="7">
        <v>15909</v>
      </c>
      <c r="F35" s="7">
        <f>SUMIFS('02_Fills'!D:D, '02_Fills'!B:B, A35)</f>
        <v>14987</v>
      </c>
      <c r="G35" s="9">
        <f>SUMIFS('02_Fills'!H:H, '02_Fills'!B:B, A35)</f>
        <v>2609725.4399999999</v>
      </c>
      <c r="H35" s="8">
        <f t="shared" si="0"/>
        <v>174.13261092947221</v>
      </c>
      <c r="I35" s="9">
        <f>SUMIFS('02_Fills'!I:I, '02_Fills'!B:B, A35)</f>
        <v>32.832955249999998</v>
      </c>
      <c r="J35" s="8">
        <f t="shared" si="1"/>
        <v>0.12580999804331908</v>
      </c>
      <c r="K35" s="8">
        <f>VLOOKUP(A35, '01_Orders'!A:J, 10, FALSE)</f>
        <v>174.3807938018183</v>
      </c>
      <c r="L35" s="8">
        <f t="shared" si="2"/>
        <v>14.232236643454499</v>
      </c>
      <c r="M35" s="7">
        <f>SUMIFS('02_Fills'!D:D, '02_Fills'!B:B, A35, '02_Fills'!F:F, "LIT")</f>
        <v>7732</v>
      </c>
      <c r="N35" s="7">
        <f>SUMIFS('02_Fills'!D:D, '02_Fills'!B:B, A35, '02_Fills'!F:F, "DARK")</f>
        <v>7255</v>
      </c>
      <c r="O35" s="7">
        <f>SUMIFS('02_Fills'!D:D, '02_Fills'!B:B, A35, '02_Fills'!F:F, "BLOCK")</f>
        <v>0</v>
      </c>
      <c r="P35" s="10">
        <f t="shared" si="3"/>
        <v>0.515913791953026</v>
      </c>
      <c r="Q35" s="10">
        <f t="shared" si="4"/>
        <v>0.48408620804697405</v>
      </c>
      <c r="R35" s="10">
        <f t="shared" si="5"/>
        <v>0</v>
      </c>
      <c r="S35" s="8">
        <v>174.27850000000001</v>
      </c>
      <c r="T35" s="11">
        <v>-1.45E-4</v>
      </c>
      <c r="U35" s="10">
        <v>0.15</v>
      </c>
      <c r="V35" s="5">
        <f>IF(OR('99_Dashboard'!$B$4="All", '99_Dashboard'!$B$4=B35), 1, 0)</f>
        <v>1</v>
      </c>
      <c r="W35" s="5">
        <f>IF(OR('99_Dashboard'!$B$5="All", '99_Dashboard'!$B$5=D35), 1, 0)</f>
        <v>1</v>
      </c>
      <c r="X35" s="5">
        <f t="shared" si="6"/>
        <v>1</v>
      </c>
    </row>
    <row r="36" spans="1:24" x14ac:dyDescent="0.25">
      <c r="A36" s="5" t="s">
        <v>59</v>
      </c>
      <c r="B36" s="5" t="s">
        <v>28</v>
      </c>
      <c r="C36" s="5" t="s">
        <v>20</v>
      </c>
      <c r="D36" s="5" t="s">
        <v>22</v>
      </c>
      <c r="E36" s="7">
        <v>23001</v>
      </c>
      <c r="F36" s="7">
        <f>SUMIFS('02_Fills'!D:D, '02_Fills'!B:B, A36)</f>
        <v>22085</v>
      </c>
      <c r="G36" s="9">
        <f>SUMIFS('02_Fills'!H:H, '02_Fills'!B:B, A36)</f>
        <v>9334196.4900000002</v>
      </c>
      <c r="H36" s="8">
        <f t="shared" si="0"/>
        <v>422.64869775865975</v>
      </c>
      <c r="I36" s="9">
        <f>SUMIFS('02_Fills'!I:I, '02_Fills'!B:B, A36)</f>
        <v>131.23644390000001</v>
      </c>
      <c r="J36" s="8">
        <f t="shared" si="1"/>
        <v>0.14059747300219946</v>
      </c>
      <c r="K36" s="8">
        <f>VLOOKUP(A36, '01_Orders'!A:J, 10, FALSE)</f>
        <v>422.84592500429221</v>
      </c>
      <c r="L36" s="8">
        <f t="shared" si="2"/>
        <v>4.6642815732576759</v>
      </c>
      <c r="M36" s="7">
        <f>SUMIFS('02_Fills'!D:D, '02_Fills'!B:B, A36, '02_Fills'!F:F, "LIT")</f>
        <v>17938</v>
      </c>
      <c r="N36" s="7">
        <f>SUMIFS('02_Fills'!D:D, '02_Fills'!B:B, A36, '02_Fills'!F:F, "DARK")</f>
        <v>4147</v>
      </c>
      <c r="O36" s="7">
        <f>SUMIFS('02_Fills'!D:D, '02_Fills'!B:B, A36, '02_Fills'!F:F, "BLOCK")</f>
        <v>0</v>
      </c>
      <c r="P36" s="10">
        <f t="shared" si="3"/>
        <v>0.81222549241566677</v>
      </c>
      <c r="Q36" s="10">
        <f t="shared" si="4"/>
        <v>0.18777450758433326</v>
      </c>
      <c r="R36" s="10">
        <f t="shared" si="5"/>
        <v>0</v>
      </c>
      <c r="S36" s="8">
        <v>422.89800000000002</v>
      </c>
      <c r="T36" s="11">
        <v>-3.986E-3</v>
      </c>
      <c r="U36" s="10">
        <v>0.2</v>
      </c>
      <c r="V36" s="5">
        <f>IF(OR('99_Dashboard'!$B$4="All", '99_Dashboard'!$B$4=B36), 1, 0)</f>
        <v>1</v>
      </c>
      <c r="W36" s="5">
        <f>IF(OR('99_Dashboard'!$B$5="All", '99_Dashboard'!$B$5=D36), 1, 0)</f>
        <v>1</v>
      </c>
      <c r="X36" s="5">
        <f t="shared" si="6"/>
        <v>1</v>
      </c>
    </row>
    <row r="37" spans="1:24" x14ac:dyDescent="0.25">
      <c r="A37" s="5" t="s">
        <v>60</v>
      </c>
      <c r="B37" s="5" t="s">
        <v>14</v>
      </c>
      <c r="C37" s="5" t="s">
        <v>15</v>
      </c>
      <c r="D37" s="5" t="s">
        <v>16</v>
      </c>
      <c r="E37" s="7">
        <v>4663</v>
      </c>
      <c r="F37" s="7">
        <f>SUMIFS('02_Fills'!D:D, '02_Fills'!B:B, A37)</f>
        <v>4391</v>
      </c>
      <c r="G37" s="9">
        <f>SUMIFS('02_Fills'!H:H, '02_Fills'!B:B, A37)</f>
        <v>817987.54000000015</v>
      </c>
      <c r="H37" s="8">
        <f t="shared" si="0"/>
        <v>186.28730129810981</v>
      </c>
      <c r="I37" s="9">
        <f>SUMIFS('02_Fills'!I:I, '02_Fills'!B:B, A37)</f>
        <v>9.0591457999999996</v>
      </c>
      <c r="J37" s="8">
        <f t="shared" si="1"/>
        <v>0.11074919062948071</v>
      </c>
      <c r="K37" s="8">
        <f>VLOOKUP(A37, '01_Orders'!A:J, 10, FALSE)</f>
        <v>186.214394208942</v>
      </c>
      <c r="L37" s="8">
        <f t="shared" si="2"/>
        <v>3.9152230673429016</v>
      </c>
      <c r="M37" s="7">
        <f>SUMIFS('02_Fills'!D:D, '02_Fills'!B:B, A37, '02_Fills'!F:F, "LIT")</f>
        <v>2162</v>
      </c>
      <c r="N37" s="7">
        <f>SUMIFS('02_Fills'!D:D, '02_Fills'!B:B, A37, '02_Fills'!F:F, "DARK")</f>
        <v>1011</v>
      </c>
      <c r="O37" s="7">
        <f>SUMIFS('02_Fills'!D:D, '02_Fills'!B:B, A37, '02_Fills'!F:F, "BLOCK")</f>
        <v>1218</v>
      </c>
      <c r="P37" s="10">
        <f t="shared" si="3"/>
        <v>0.49237075836939193</v>
      </c>
      <c r="Q37" s="10">
        <f t="shared" si="4"/>
        <v>0.2302436802550672</v>
      </c>
      <c r="R37" s="10">
        <f t="shared" si="5"/>
        <v>0.27738556137554088</v>
      </c>
      <c r="S37" s="8">
        <v>186.2423</v>
      </c>
      <c r="T37" s="11">
        <v>7.2719999999999998E-3</v>
      </c>
      <c r="U37" s="10">
        <v>0.45</v>
      </c>
      <c r="V37" s="5">
        <f>IF(OR('99_Dashboard'!$B$4="All", '99_Dashboard'!$B$4=B37), 1, 0)</f>
        <v>1</v>
      </c>
      <c r="W37" s="5">
        <f>IF(OR('99_Dashboard'!$B$5="All", '99_Dashboard'!$B$5=D37), 1, 0)</f>
        <v>1</v>
      </c>
      <c r="X37" s="5">
        <f t="shared" si="6"/>
        <v>1</v>
      </c>
    </row>
    <row r="38" spans="1:24" x14ac:dyDescent="0.25">
      <c r="A38" s="5" t="s">
        <v>61</v>
      </c>
      <c r="B38" s="5" t="s">
        <v>32</v>
      </c>
      <c r="C38" s="5" t="s">
        <v>20</v>
      </c>
      <c r="D38" s="5" t="s">
        <v>25</v>
      </c>
      <c r="E38" s="7">
        <v>13845</v>
      </c>
      <c r="F38" s="7">
        <f>SUMIFS('02_Fills'!D:D, '02_Fills'!B:B, A38)</f>
        <v>13303</v>
      </c>
      <c r="G38" s="9">
        <f>SUMIFS('02_Fills'!H:H, '02_Fills'!B:B, A38)</f>
        <v>2319511.8499999996</v>
      </c>
      <c r="H38" s="8">
        <f t="shared" si="0"/>
        <v>174.3600578816808</v>
      </c>
      <c r="I38" s="9">
        <f>SUMIFS('02_Fills'!I:I, '02_Fills'!B:B, A38)</f>
        <v>25.926444950000004</v>
      </c>
      <c r="J38" s="8">
        <f t="shared" si="1"/>
        <v>0.11177543649971008</v>
      </c>
      <c r="K38" s="8">
        <f>VLOOKUP(A38, '01_Orders'!A:J, 10, FALSE)</f>
        <v>174.08483227276059</v>
      </c>
      <c r="L38" s="8">
        <f t="shared" si="2"/>
        <v>-15.809855765548756</v>
      </c>
      <c r="M38" s="7">
        <f>SUMIFS('02_Fills'!D:D, '02_Fills'!B:B, A38, '02_Fills'!F:F, "LIT")</f>
        <v>5447</v>
      </c>
      <c r="N38" s="7">
        <f>SUMIFS('02_Fills'!D:D, '02_Fills'!B:B, A38, '02_Fills'!F:F, "DARK")</f>
        <v>5541</v>
      </c>
      <c r="O38" s="7">
        <f>SUMIFS('02_Fills'!D:D, '02_Fills'!B:B, A38, '02_Fills'!F:F, "BLOCK")</f>
        <v>2315</v>
      </c>
      <c r="P38" s="10">
        <f t="shared" si="3"/>
        <v>0.40945651356836804</v>
      </c>
      <c r="Q38" s="10">
        <f t="shared" si="4"/>
        <v>0.4165225888897241</v>
      </c>
      <c r="R38" s="10">
        <f t="shared" si="5"/>
        <v>0.17402089754190783</v>
      </c>
      <c r="S38" s="8">
        <v>174.3937</v>
      </c>
      <c r="T38" s="11">
        <v>1.5150000000000001E-3</v>
      </c>
      <c r="U38" s="10">
        <v>0.25</v>
      </c>
      <c r="V38" s="5">
        <f>IF(OR('99_Dashboard'!$B$4="All", '99_Dashboard'!$B$4=B38), 1, 0)</f>
        <v>1</v>
      </c>
      <c r="W38" s="5">
        <f>IF(OR('99_Dashboard'!$B$5="All", '99_Dashboard'!$B$5=D38), 1, 0)</f>
        <v>1</v>
      </c>
      <c r="X38" s="5">
        <f t="shared" si="6"/>
        <v>1</v>
      </c>
    </row>
    <row r="39" spans="1:24" x14ac:dyDescent="0.25">
      <c r="A39" s="5" t="s">
        <v>62</v>
      </c>
      <c r="B39" s="5" t="s">
        <v>19</v>
      </c>
      <c r="C39" s="5" t="s">
        <v>20</v>
      </c>
      <c r="D39" s="5" t="s">
        <v>25</v>
      </c>
      <c r="E39" s="7">
        <v>14968</v>
      </c>
      <c r="F39" s="7">
        <f>SUMIFS('02_Fills'!D:D, '02_Fills'!B:B, A39)</f>
        <v>14776</v>
      </c>
      <c r="G39" s="9">
        <f>SUMIFS('02_Fills'!H:H, '02_Fills'!B:B, A39)</f>
        <v>2866119.03</v>
      </c>
      <c r="H39" s="8">
        <f t="shared" si="0"/>
        <v>193.97123917162966</v>
      </c>
      <c r="I39" s="9">
        <f>SUMIFS('02_Fills'!I:I, '02_Fills'!B:B, A39)</f>
        <v>39.340038499999991</v>
      </c>
      <c r="J39" s="8">
        <f t="shared" si="1"/>
        <v>0.13725891384210931</v>
      </c>
      <c r="K39" s="8">
        <f>VLOOKUP(A39, '01_Orders'!A:J, 10, FALSE)</f>
        <v>194.59536334198191</v>
      </c>
      <c r="L39" s="8">
        <f t="shared" si="2"/>
        <v>32.072920938789807</v>
      </c>
      <c r="M39" s="7">
        <f>SUMIFS('02_Fills'!D:D, '02_Fills'!B:B, A39, '02_Fills'!F:F, "LIT")</f>
        <v>12844</v>
      </c>
      <c r="N39" s="7">
        <f>SUMIFS('02_Fills'!D:D, '02_Fills'!B:B, A39, '02_Fills'!F:F, "DARK")</f>
        <v>97</v>
      </c>
      <c r="O39" s="7">
        <f>SUMIFS('02_Fills'!D:D, '02_Fills'!B:B, A39, '02_Fills'!F:F, "BLOCK")</f>
        <v>1835</v>
      </c>
      <c r="P39" s="10">
        <f t="shared" si="3"/>
        <v>0.8692474282620466</v>
      </c>
      <c r="Q39" s="10">
        <f t="shared" si="4"/>
        <v>6.5646995127233354E-3</v>
      </c>
      <c r="R39" s="10">
        <f t="shared" si="5"/>
        <v>0.1241878722252301</v>
      </c>
      <c r="S39" s="8">
        <v>194.108</v>
      </c>
      <c r="T39" s="11">
        <v>-7.0549999999999996E-3</v>
      </c>
      <c r="U39" s="10">
        <v>0.35</v>
      </c>
      <c r="V39" s="5">
        <f>IF(OR('99_Dashboard'!$B$4="All", '99_Dashboard'!$B$4=B39), 1, 0)</f>
        <v>1</v>
      </c>
      <c r="W39" s="5">
        <f>IF(OR('99_Dashboard'!$B$5="All", '99_Dashboard'!$B$5=D39), 1, 0)</f>
        <v>1</v>
      </c>
      <c r="X39" s="5">
        <f t="shared" si="6"/>
        <v>1</v>
      </c>
    </row>
    <row r="40" spans="1:24" x14ac:dyDescent="0.25">
      <c r="A40" s="5" t="s">
        <v>63</v>
      </c>
      <c r="B40" s="5" t="s">
        <v>32</v>
      </c>
      <c r="C40" s="5" t="s">
        <v>20</v>
      </c>
      <c r="D40" s="5" t="s">
        <v>25</v>
      </c>
      <c r="E40" s="7">
        <v>13288</v>
      </c>
      <c r="F40" s="7">
        <f>SUMIFS('02_Fills'!D:D, '02_Fills'!B:B, A40)</f>
        <v>13006</v>
      </c>
      <c r="G40" s="9">
        <f>SUMIFS('02_Fills'!H:H, '02_Fills'!B:B, A40)</f>
        <v>2260862.0199999996</v>
      </c>
      <c r="H40" s="8">
        <f t="shared" si="0"/>
        <v>173.83223281562351</v>
      </c>
      <c r="I40" s="9">
        <f>SUMIFS('02_Fills'!I:I, '02_Fills'!B:B, A40)</f>
        <v>31.516574250000001</v>
      </c>
      <c r="J40" s="8">
        <f t="shared" si="1"/>
        <v>0.13940069748263545</v>
      </c>
      <c r="K40" s="8">
        <f>VLOOKUP(A40, '01_Orders'!A:J, 10, FALSE)</f>
        <v>174.0217361913773</v>
      </c>
      <c r="L40" s="8">
        <f t="shared" si="2"/>
        <v>10.889638265956872</v>
      </c>
      <c r="M40" s="7">
        <f>SUMIFS('02_Fills'!D:D, '02_Fills'!B:B, A40, '02_Fills'!F:F, "LIT")</f>
        <v>10256</v>
      </c>
      <c r="N40" s="7">
        <f>SUMIFS('02_Fills'!D:D, '02_Fills'!B:B, A40, '02_Fills'!F:F, "DARK")</f>
        <v>2750</v>
      </c>
      <c r="O40" s="7">
        <f>SUMIFS('02_Fills'!D:D, '02_Fills'!B:B, A40, '02_Fills'!F:F, "BLOCK")</f>
        <v>0</v>
      </c>
      <c r="P40" s="10">
        <f t="shared" si="3"/>
        <v>0.78855912655697369</v>
      </c>
      <c r="Q40" s="10">
        <f t="shared" si="4"/>
        <v>0.21144087344302628</v>
      </c>
      <c r="R40" s="10">
        <f t="shared" si="5"/>
        <v>0</v>
      </c>
      <c r="S40" s="8">
        <v>174.13319999999999</v>
      </c>
      <c r="T40" s="11">
        <v>8.0649999999999993E-3</v>
      </c>
      <c r="U40" s="10">
        <v>0.35</v>
      </c>
      <c r="V40" s="5">
        <f>IF(OR('99_Dashboard'!$B$4="All", '99_Dashboard'!$B$4=B40), 1, 0)</f>
        <v>1</v>
      </c>
      <c r="W40" s="5">
        <f>IF(OR('99_Dashboard'!$B$5="All", '99_Dashboard'!$B$5=D40), 1, 0)</f>
        <v>1</v>
      </c>
      <c r="X40" s="5">
        <f t="shared" si="6"/>
        <v>1</v>
      </c>
    </row>
    <row r="41" spans="1:24" x14ac:dyDescent="0.25">
      <c r="A41" s="5" t="s">
        <v>64</v>
      </c>
      <c r="B41" s="5" t="s">
        <v>19</v>
      </c>
      <c r="C41" s="5" t="s">
        <v>20</v>
      </c>
      <c r="D41" s="5" t="s">
        <v>16</v>
      </c>
      <c r="E41" s="7">
        <v>7069</v>
      </c>
      <c r="F41" s="7">
        <f>SUMIFS('02_Fills'!D:D, '02_Fills'!B:B, A41)</f>
        <v>6951</v>
      </c>
      <c r="G41" s="9">
        <f>SUMIFS('02_Fills'!H:H, '02_Fills'!B:B, A41)</f>
        <v>1350321.3899999997</v>
      </c>
      <c r="H41" s="8">
        <f t="shared" si="0"/>
        <v>194.26289598618899</v>
      </c>
      <c r="I41" s="9">
        <f>SUMIFS('02_Fills'!I:I, '02_Fills'!B:B, A41)</f>
        <v>12.236221799999999</v>
      </c>
      <c r="J41" s="8">
        <f t="shared" si="1"/>
        <v>9.061710708737275E-2</v>
      </c>
      <c r="K41" s="8">
        <f>VLOOKUP(A41, '01_Orders'!A:J, 10, FALSE)</f>
        <v>194.1703636332031</v>
      </c>
      <c r="L41" s="8">
        <f t="shared" si="2"/>
        <v>-4.7655240096627987</v>
      </c>
      <c r="M41" s="7">
        <f>SUMIFS('02_Fills'!D:D, '02_Fills'!B:B, A41, '02_Fills'!F:F, "LIT")</f>
        <v>2425</v>
      </c>
      <c r="N41" s="7">
        <f>SUMIFS('02_Fills'!D:D, '02_Fills'!B:B, A41, '02_Fills'!F:F, "DARK")</f>
        <v>799</v>
      </c>
      <c r="O41" s="7">
        <f>SUMIFS('02_Fills'!D:D, '02_Fills'!B:B, A41, '02_Fills'!F:F, "BLOCK")</f>
        <v>3727</v>
      </c>
      <c r="P41" s="10">
        <f t="shared" si="3"/>
        <v>0.34887066609120992</v>
      </c>
      <c r="Q41" s="10">
        <f t="shared" si="4"/>
        <v>0.11494748956984606</v>
      </c>
      <c r="R41" s="10">
        <f t="shared" si="5"/>
        <v>0.536181844338944</v>
      </c>
      <c r="S41" s="8">
        <v>194.44130000000001</v>
      </c>
      <c r="T41" s="11">
        <v>6.9069999999999999E-3</v>
      </c>
      <c r="U41" s="10">
        <v>0.45</v>
      </c>
      <c r="V41" s="5">
        <f>IF(OR('99_Dashboard'!$B$4="All", '99_Dashboard'!$B$4=B41), 1, 0)</f>
        <v>1</v>
      </c>
      <c r="W41" s="5">
        <f>IF(OR('99_Dashboard'!$B$5="All", '99_Dashboard'!$B$5=D41), 1, 0)</f>
        <v>1</v>
      </c>
      <c r="X41" s="5">
        <f t="shared" si="6"/>
        <v>1</v>
      </c>
    </row>
    <row r="42" spans="1:24" x14ac:dyDescent="0.25">
      <c r="A42" s="5" t="s">
        <v>65</v>
      </c>
      <c r="B42" s="5" t="s">
        <v>28</v>
      </c>
      <c r="C42" s="5" t="s">
        <v>20</v>
      </c>
      <c r="D42" s="5" t="s">
        <v>22</v>
      </c>
      <c r="E42" s="7">
        <v>11181</v>
      </c>
      <c r="F42" s="7">
        <f>SUMIFS('02_Fills'!D:D, '02_Fills'!B:B, A42)</f>
        <v>10693</v>
      </c>
      <c r="G42" s="9">
        <f>SUMIFS('02_Fills'!H:H, '02_Fills'!B:B, A42)</f>
        <v>4503594.09</v>
      </c>
      <c r="H42" s="8">
        <f t="shared" si="0"/>
        <v>421.17217712522211</v>
      </c>
      <c r="I42" s="9">
        <f>SUMIFS('02_Fills'!I:I, '02_Fills'!B:B, A42)</f>
        <v>60.191383549999998</v>
      </c>
      <c r="J42" s="8">
        <f t="shared" si="1"/>
        <v>0.13365188413327897</v>
      </c>
      <c r="K42" s="8">
        <f>VLOOKUP(A42, '01_Orders'!A:J, 10, FALSE)</f>
        <v>422.45214245293562</v>
      </c>
      <c r="L42" s="8">
        <f t="shared" si="2"/>
        <v>30.298469319660509</v>
      </c>
      <c r="M42" s="7">
        <f>SUMIFS('02_Fills'!D:D, '02_Fills'!B:B, A42, '02_Fills'!F:F, "LIT")</f>
        <v>7201</v>
      </c>
      <c r="N42" s="7">
        <f>SUMIFS('02_Fills'!D:D, '02_Fills'!B:B, A42, '02_Fills'!F:F, "DARK")</f>
        <v>3492</v>
      </c>
      <c r="O42" s="7">
        <f>SUMIFS('02_Fills'!D:D, '02_Fills'!B:B, A42, '02_Fills'!F:F, "BLOCK")</f>
        <v>0</v>
      </c>
      <c r="P42" s="10">
        <f t="shared" si="3"/>
        <v>0.67343121668381178</v>
      </c>
      <c r="Q42" s="10">
        <f t="shared" si="4"/>
        <v>0.32656878331618816</v>
      </c>
      <c r="R42" s="10">
        <f t="shared" si="5"/>
        <v>0</v>
      </c>
      <c r="S42" s="8">
        <v>421.38709999999998</v>
      </c>
      <c r="T42" s="11">
        <v>-1.0784999999999999E-2</v>
      </c>
      <c r="U42" s="10">
        <v>0.2</v>
      </c>
      <c r="V42" s="5">
        <f>IF(OR('99_Dashboard'!$B$4="All", '99_Dashboard'!$B$4=B42), 1, 0)</f>
        <v>1</v>
      </c>
      <c r="W42" s="5">
        <f>IF(OR('99_Dashboard'!$B$5="All", '99_Dashboard'!$B$5=D42), 1, 0)</f>
        <v>1</v>
      </c>
      <c r="X42" s="5">
        <f t="shared" si="6"/>
        <v>1</v>
      </c>
    </row>
    <row r="43" spans="1:24" x14ac:dyDescent="0.25">
      <c r="A43" s="5" t="s">
        <v>66</v>
      </c>
      <c r="B43" s="5" t="s">
        <v>24</v>
      </c>
      <c r="C43" s="5" t="s">
        <v>15</v>
      </c>
      <c r="D43" s="5" t="s">
        <v>25</v>
      </c>
      <c r="E43" s="7">
        <v>11615</v>
      </c>
      <c r="F43" s="7">
        <f>SUMIFS('02_Fills'!D:D, '02_Fills'!B:B, A43)</f>
        <v>11097</v>
      </c>
      <c r="G43" s="9">
        <f>SUMIFS('02_Fills'!H:H, '02_Fills'!B:B, A43)</f>
        <v>2699699.18</v>
      </c>
      <c r="H43" s="8">
        <f t="shared" si="0"/>
        <v>243.28189420564118</v>
      </c>
      <c r="I43" s="9">
        <f>SUMIFS('02_Fills'!I:I, '02_Fills'!B:B, A43)</f>
        <v>23.813696700000005</v>
      </c>
      <c r="J43" s="8">
        <f t="shared" si="1"/>
        <v>8.820870442313504E-2</v>
      </c>
      <c r="K43" s="8">
        <f>VLOOKUP(A43, '01_Orders'!A:J, 10, FALSE)</f>
        <v>243.04671770305839</v>
      </c>
      <c r="L43" s="8">
        <f t="shared" si="2"/>
        <v>9.6761850892434182</v>
      </c>
      <c r="M43" s="7">
        <f>SUMIFS('02_Fills'!D:D, '02_Fills'!B:B, A43, '02_Fills'!F:F, "LIT")</f>
        <v>1936</v>
      </c>
      <c r="N43" s="7">
        <f>SUMIFS('02_Fills'!D:D, '02_Fills'!B:B, A43, '02_Fills'!F:F, "DARK")</f>
        <v>4612</v>
      </c>
      <c r="O43" s="7">
        <f>SUMIFS('02_Fills'!D:D, '02_Fills'!B:B, A43, '02_Fills'!F:F, "BLOCK")</f>
        <v>4549</v>
      </c>
      <c r="P43" s="10">
        <f t="shared" si="3"/>
        <v>0.17446156618906011</v>
      </c>
      <c r="Q43" s="10">
        <f t="shared" si="4"/>
        <v>0.41560782193385598</v>
      </c>
      <c r="R43" s="10">
        <f t="shared" si="5"/>
        <v>0.40993061187708391</v>
      </c>
      <c r="S43" s="8">
        <v>243.09809999999999</v>
      </c>
      <c r="T43" s="11">
        <v>1.238E-3</v>
      </c>
      <c r="U43" s="10">
        <v>0.25</v>
      </c>
      <c r="V43" s="5">
        <f>IF(OR('99_Dashboard'!$B$4="All", '99_Dashboard'!$B$4=B43), 1, 0)</f>
        <v>1</v>
      </c>
      <c r="W43" s="5">
        <f>IF(OR('99_Dashboard'!$B$5="All", '99_Dashboard'!$B$5=D43), 1, 0)</f>
        <v>1</v>
      </c>
      <c r="X43" s="5">
        <f t="shared" si="6"/>
        <v>1</v>
      </c>
    </row>
    <row r="44" spans="1:24" x14ac:dyDescent="0.25">
      <c r="A44" s="5" t="s">
        <v>67</v>
      </c>
      <c r="B44" s="5" t="s">
        <v>28</v>
      </c>
      <c r="C44" s="5" t="s">
        <v>15</v>
      </c>
      <c r="D44" s="5" t="s">
        <v>16</v>
      </c>
      <c r="E44" s="7">
        <v>4402</v>
      </c>
      <c r="F44" s="7">
        <f>SUMIFS('02_Fills'!D:D, '02_Fills'!B:B, A44)</f>
        <v>4307</v>
      </c>
      <c r="G44" s="9">
        <f>SUMIFS('02_Fills'!H:H, '02_Fills'!B:B, A44)</f>
        <v>1823908.0499999998</v>
      </c>
      <c r="H44" s="8">
        <f t="shared" si="0"/>
        <v>423.47528442071041</v>
      </c>
      <c r="I44" s="9">
        <f>SUMIFS('02_Fills'!I:I, '02_Fills'!B:B, A44)</f>
        <v>18.5367046</v>
      </c>
      <c r="J44" s="8">
        <f t="shared" si="1"/>
        <v>0.10163179333519583</v>
      </c>
      <c r="K44" s="8">
        <f>VLOOKUP(A44, '01_Orders'!A:J, 10, FALSE)</f>
        <v>421.41044163407503</v>
      </c>
      <c r="L44" s="8">
        <f t="shared" si="2"/>
        <v>48.998377416294645</v>
      </c>
      <c r="M44" s="7">
        <f>SUMIFS('02_Fills'!D:D, '02_Fills'!B:B, A44, '02_Fills'!F:F, "LIT")</f>
        <v>685</v>
      </c>
      <c r="N44" s="7">
        <f>SUMIFS('02_Fills'!D:D, '02_Fills'!B:B, A44, '02_Fills'!F:F, "DARK")</f>
        <v>3077</v>
      </c>
      <c r="O44" s="7">
        <f>SUMIFS('02_Fills'!D:D, '02_Fills'!B:B, A44, '02_Fills'!F:F, "BLOCK")</f>
        <v>545</v>
      </c>
      <c r="P44" s="10">
        <f t="shared" si="3"/>
        <v>0.1590434176921291</v>
      </c>
      <c r="Q44" s="10">
        <f t="shared" si="4"/>
        <v>0.71441838866960761</v>
      </c>
      <c r="R44" s="10">
        <f t="shared" si="5"/>
        <v>0.1265381936382633</v>
      </c>
      <c r="S44" s="8">
        <v>422.93360000000001</v>
      </c>
      <c r="T44" s="11">
        <v>4.0200000000000001E-3</v>
      </c>
      <c r="U44" s="10">
        <v>0.45</v>
      </c>
      <c r="V44" s="5">
        <f>IF(OR('99_Dashboard'!$B$4="All", '99_Dashboard'!$B$4=B44), 1, 0)</f>
        <v>1</v>
      </c>
      <c r="W44" s="5">
        <f>IF(OR('99_Dashboard'!$B$5="All", '99_Dashboard'!$B$5=D44), 1, 0)</f>
        <v>1</v>
      </c>
      <c r="X44" s="5">
        <f t="shared" si="6"/>
        <v>1</v>
      </c>
    </row>
    <row r="45" spans="1:24" x14ac:dyDescent="0.25">
      <c r="A45" s="5" t="s">
        <v>68</v>
      </c>
      <c r="B45" s="5" t="s">
        <v>28</v>
      </c>
      <c r="C45" s="5" t="s">
        <v>15</v>
      </c>
      <c r="D45" s="5" t="s">
        <v>25</v>
      </c>
      <c r="E45" s="7">
        <v>6517</v>
      </c>
      <c r="F45" s="7">
        <f>SUMIFS('02_Fills'!D:D, '02_Fills'!B:B, A45)</f>
        <v>6430</v>
      </c>
      <c r="G45" s="9">
        <f>SUMIFS('02_Fills'!H:H, '02_Fills'!B:B, A45)</f>
        <v>2721123.22</v>
      </c>
      <c r="H45" s="8">
        <f t="shared" si="0"/>
        <v>423.19179160186627</v>
      </c>
      <c r="I45" s="9">
        <f>SUMIFS('02_Fills'!I:I, '02_Fills'!B:B, A45)</f>
        <v>35.477084099999999</v>
      </c>
      <c r="J45" s="8">
        <f t="shared" si="1"/>
        <v>0.13037661741756773</v>
      </c>
      <c r="K45" s="8">
        <f>VLOOKUP(A45, '01_Orders'!A:J, 10, FALSE)</f>
        <v>422.74812806583537</v>
      </c>
      <c r="L45" s="8">
        <f t="shared" si="2"/>
        <v>10.494748683116683</v>
      </c>
      <c r="M45" s="7">
        <f>SUMIFS('02_Fills'!D:D, '02_Fills'!B:B, A45, '02_Fills'!F:F, "LIT")</f>
        <v>4128</v>
      </c>
      <c r="N45" s="7">
        <f>SUMIFS('02_Fills'!D:D, '02_Fills'!B:B, A45, '02_Fills'!F:F, "DARK")</f>
        <v>2081</v>
      </c>
      <c r="O45" s="7">
        <f>SUMIFS('02_Fills'!D:D, '02_Fills'!B:B, A45, '02_Fills'!F:F, "BLOCK")</f>
        <v>221</v>
      </c>
      <c r="P45" s="10">
        <f t="shared" si="3"/>
        <v>0.64199066874027999</v>
      </c>
      <c r="Q45" s="10">
        <f t="shared" si="4"/>
        <v>0.32363919129082425</v>
      </c>
      <c r="R45" s="10">
        <f t="shared" si="5"/>
        <v>3.4370139968895798E-2</v>
      </c>
      <c r="S45" s="8">
        <v>423.01499999999999</v>
      </c>
      <c r="T45" s="11">
        <v>-1.2520000000000001E-3</v>
      </c>
      <c r="U45" s="10">
        <v>0.25</v>
      </c>
      <c r="V45" s="5">
        <f>IF(OR('99_Dashboard'!$B$4="All", '99_Dashboard'!$B$4=B45), 1, 0)</f>
        <v>1</v>
      </c>
      <c r="W45" s="5">
        <f>IF(OR('99_Dashboard'!$B$5="All", '99_Dashboard'!$B$5=D45), 1, 0)</f>
        <v>1</v>
      </c>
      <c r="X45" s="5">
        <f t="shared" si="6"/>
        <v>1</v>
      </c>
    </row>
    <row r="46" spans="1:24" x14ac:dyDescent="0.25">
      <c r="A46" s="5" t="s">
        <v>69</v>
      </c>
      <c r="B46" s="5" t="s">
        <v>14</v>
      </c>
      <c r="C46" s="5" t="s">
        <v>20</v>
      </c>
      <c r="D46" s="5" t="s">
        <v>22</v>
      </c>
      <c r="E46" s="7">
        <v>21291</v>
      </c>
      <c r="F46" s="7">
        <f>SUMIFS('02_Fills'!D:D, '02_Fills'!B:B, A46)</f>
        <v>20828</v>
      </c>
      <c r="G46" s="9">
        <f>SUMIFS('02_Fills'!H:H, '02_Fills'!B:B, A46)</f>
        <v>3850230.24</v>
      </c>
      <c r="H46" s="8">
        <f t="shared" si="0"/>
        <v>184.8583752640676</v>
      </c>
      <c r="I46" s="9">
        <f>SUMIFS('02_Fills'!I:I, '02_Fills'!B:B, A46)</f>
        <v>50.314827450000003</v>
      </c>
      <c r="J46" s="8">
        <f t="shared" si="1"/>
        <v>0.13068004850016449</v>
      </c>
      <c r="K46" s="8">
        <f>VLOOKUP(A46, '01_Orders'!A:J, 10, FALSE)</f>
        <v>185.38602240395019</v>
      </c>
      <c r="L46" s="8">
        <f t="shared" si="2"/>
        <v>28.462077833077558</v>
      </c>
      <c r="M46" s="7">
        <f>SUMIFS('02_Fills'!D:D, '02_Fills'!B:B, A46, '02_Fills'!F:F, "LIT")</f>
        <v>16292</v>
      </c>
      <c r="N46" s="7">
        <f>SUMIFS('02_Fills'!D:D, '02_Fills'!B:B, A46, '02_Fills'!F:F, "DARK")</f>
        <v>1021</v>
      </c>
      <c r="O46" s="7">
        <f>SUMIFS('02_Fills'!D:D, '02_Fills'!B:B, A46, '02_Fills'!F:F, "BLOCK")</f>
        <v>3515</v>
      </c>
      <c r="P46" s="10">
        <f t="shared" si="3"/>
        <v>0.78221624735932394</v>
      </c>
      <c r="Q46" s="10">
        <f t="shared" si="4"/>
        <v>4.9020549260610717E-2</v>
      </c>
      <c r="R46" s="10">
        <f t="shared" si="5"/>
        <v>0.16876320338006529</v>
      </c>
      <c r="S46" s="8">
        <v>184.90960000000001</v>
      </c>
      <c r="T46" s="11">
        <v>3.1050000000000001E-3</v>
      </c>
      <c r="U46" s="10">
        <v>0.2</v>
      </c>
      <c r="V46" s="5">
        <f>IF(OR('99_Dashboard'!$B$4="All", '99_Dashboard'!$B$4=B46), 1, 0)</f>
        <v>1</v>
      </c>
      <c r="W46" s="5">
        <f>IF(OR('99_Dashboard'!$B$5="All", '99_Dashboard'!$B$5=D46), 1, 0)</f>
        <v>1</v>
      </c>
      <c r="X46" s="5">
        <f t="shared" si="6"/>
        <v>1</v>
      </c>
    </row>
    <row r="47" spans="1:24" x14ac:dyDescent="0.25">
      <c r="A47" s="5" t="s">
        <v>70</v>
      </c>
      <c r="B47" s="5" t="s">
        <v>24</v>
      </c>
      <c r="C47" s="5" t="s">
        <v>15</v>
      </c>
      <c r="D47" s="5" t="s">
        <v>25</v>
      </c>
      <c r="E47" s="7">
        <v>15185</v>
      </c>
      <c r="F47" s="7">
        <f>SUMIFS('02_Fills'!D:D, '02_Fills'!B:B, A47)</f>
        <v>14785</v>
      </c>
      <c r="G47" s="9">
        <f>SUMIFS('02_Fills'!H:H, '02_Fills'!B:B, A47)</f>
        <v>3607027.4299999997</v>
      </c>
      <c r="H47" s="8">
        <f t="shared" si="0"/>
        <v>243.96533175515722</v>
      </c>
      <c r="I47" s="9">
        <f>SUMIFS('02_Fills'!I:I, '02_Fills'!B:B, A47)</f>
        <v>49.856520749999994</v>
      </c>
      <c r="J47" s="8">
        <f t="shared" si="1"/>
        <v>0.13822052013061623</v>
      </c>
      <c r="K47" s="8">
        <f>VLOOKUP(A47, '01_Orders'!A:J, 10, FALSE)</f>
        <v>244.48814808168251</v>
      </c>
      <c r="L47" s="8">
        <f t="shared" si="2"/>
        <v>-21.384117415401935</v>
      </c>
      <c r="M47" s="7">
        <f>SUMIFS('02_Fills'!D:D, '02_Fills'!B:B, A47, '02_Fills'!F:F, "LIT")</f>
        <v>11941</v>
      </c>
      <c r="N47" s="7">
        <f>SUMIFS('02_Fills'!D:D, '02_Fills'!B:B, A47, '02_Fills'!F:F, "DARK")</f>
        <v>2208</v>
      </c>
      <c r="O47" s="7">
        <f>SUMIFS('02_Fills'!D:D, '02_Fills'!B:B, A47, '02_Fills'!F:F, "BLOCK")</f>
        <v>636</v>
      </c>
      <c r="P47" s="10">
        <f t="shared" si="3"/>
        <v>0.8076428812986135</v>
      </c>
      <c r="Q47" s="10">
        <f t="shared" si="4"/>
        <v>0.14934054785255327</v>
      </c>
      <c r="R47" s="10">
        <f t="shared" si="5"/>
        <v>4.3016570848833278E-2</v>
      </c>
      <c r="S47" s="8">
        <v>243.90289999999999</v>
      </c>
      <c r="T47" s="11">
        <v>-5.594E-3</v>
      </c>
      <c r="U47" s="10">
        <v>0.35</v>
      </c>
      <c r="V47" s="5">
        <f>IF(OR('99_Dashboard'!$B$4="All", '99_Dashboard'!$B$4=B47), 1, 0)</f>
        <v>1</v>
      </c>
      <c r="W47" s="5">
        <f>IF(OR('99_Dashboard'!$B$5="All", '99_Dashboard'!$B$5=D47), 1, 0)</f>
        <v>1</v>
      </c>
      <c r="X47" s="5">
        <f t="shared" si="6"/>
        <v>1</v>
      </c>
    </row>
    <row r="48" spans="1:24" x14ac:dyDescent="0.25">
      <c r="A48" s="5" t="s">
        <v>71</v>
      </c>
      <c r="B48" s="5" t="s">
        <v>28</v>
      </c>
      <c r="C48" s="5" t="s">
        <v>15</v>
      </c>
      <c r="D48" s="5" t="s">
        <v>25</v>
      </c>
      <c r="E48" s="7">
        <v>7312</v>
      </c>
      <c r="F48" s="7">
        <f>SUMIFS('02_Fills'!D:D, '02_Fills'!B:B, A48)</f>
        <v>7246</v>
      </c>
      <c r="G48" s="9">
        <f>SUMIFS('02_Fills'!H:H, '02_Fills'!B:B, A48)</f>
        <v>3068426.2199999997</v>
      </c>
      <c r="H48" s="8">
        <f t="shared" si="0"/>
        <v>423.46483853160362</v>
      </c>
      <c r="I48" s="9">
        <f>SUMIFS('02_Fills'!I:I, '02_Fills'!B:B, A48)</f>
        <v>46.026393300000002</v>
      </c>
      <c r="J48" s="8">
        <f t="shared" si="1"/>
        <v>0.15000000000000002</v>
      </c>
      <c r="K48" s="8">
        <f>VLOOKUP(A48, '01_Orders'!A:J, 10, FALSE)</f>
        <v>424.03776625083458</v>
      </c>
      <c r="L48" s="8">
        <f t="shared" si="2"/>
        <v>-13.511242743695906</v>
      </c>
      <c r="M48" s="7">
        <f>SUMIFS('02_Fills'!D:D, '02_Fills'!B:B, A48, '02_Fills'!F:F, "LIT")</f>
        <v>7246</v>
      </c>
      <c r="N48" s="7">
        <f>SUMIFS('02_Fills'!D:D, '02_Fills'!B:B, A48, '02_Fills'!F:F, "DARK")</f>
        <v>0</v>
      </c>
      <c r="O48" s="7">
        <f>SUMIFS('02_Fills'!D:D, '02_Fills'!B:B, A48, '02_Fills'!F:F, "BLOCK")</f>
        <v>0</v>
      </c>
      <c r="P48" s="10">
        <f t="shared" si="3"/>
        <v>1</v>
      </c>
      <c r="Q48" s="10">
        <f t="shared" si="4"/>
        <v>0</v>
      </c>
      <c r="R48" s="10">
        <f t="shared" si="5"/>
        <v>0</v>
      </c>
      <c r="S48" s="8">
        <v>422.98759999999999</v>
      </c>
      <c r="T48" s="11">
        <v>-6.0350000000000004E-3</v>
      </c>
      <c r="U48" s="10">
        <v>0.35</v>
      </c>
      <c r="V48" s="5">
        <f>IF(OR('99_Dashboard'!$B$4="All", '99_Dashboard'!$B$4=B48), 1, 0)</f>
        <v>1</v>
      </c>
      <c r="W48" s="5">
        <f>IF(OR('99_Dashboard'!$B$5="All", '99_Dashboard'!$B$5=D48), 1, 0)</f>
        <v>1</v>
      </c>
      <c r="X48" s="5">
        <f t="shared" si="6"/>
        <v>1</v>
      </c>
    </row>
    <row r="49" spans="1:24" x14ac:dyDescent="0.25">
      <c r="A49" s="5" t="s">
        <v>72</v>
      </c>
      <c r="B49" s="5" t="s">
        <v>24</v>
      </c>
      <c r="C49" s="5" t="s">
        <v>20</v>
      </c>
      <c r="D49" s="5" t="s">
        <v>16</v>
      </c>
      <c r="E49" s="7">
        <v>7136</v>
      </c>
      <c r="F49" s="7">
        <f>SUMIFS('02_Fills'!D:D, '02_Fills'!B:B, A49)</f>
        <v>6988</v>
      </c>
      <c r="G49" s="9">
        <f>SUMIFS('02_Fills'!H:H, '02_Fills'!B:B, A49)</f>
        <v>1704424.67</v>
      </c>
      <c r="H49" s="8">
        <f t="shared" si="0"/>
        <v>243.90736548368631</v>
      </c>
      <c r="I49" s="9">
        <f>SUMIFS('02_Fills'!I:I, '02_Fills'!B:B, A49)</f>
        <v>17.9521184</v>
      </c>
      <c r="J49" s="8">
        <f t="shared" si="1"/>
        <v>0.10532655808132607</v>
      </c>
      <c r="K49" s="8">
        <f>VLOOKUP(A49, '01_Orders'!A:J, 10, FALSE)</f>
        <v>244.54904154140581</v>
      </c>
      <c r="L49" s="8">
        <f t="shared" si="2"/>
        <v>26.239156517440794</v>
      </c>
      <c r="M49" s="7">
        <f>SUMIFS('02_Fills'!D:D, '02_Fills'!B:B, A49, '02_Fills'!F:F, "LIT")</f>
        <v>743</v>
      </c>
      <c r="N49" s="7">
        <f>SUMIFS('02_Fills'!D:D, '02_Fills'!B:B, A49, '02_Fills'!F:F, "DARK")</f>
        <v>6245</v>
      </c>
      <c r="O49" s="7">
        <f>SUMIFS('02_Fills'!D:D, '02_Fills'!B:B, A49, '02_Fills'!F:F, "BLOCK")</f>
        <v>0</v>
      </c>
      <c r="P49" s="10">
        <f t="shared" si="3"/>
        <v>0.10632512879221523</v>
      </c>
      <c r="Q49" s="10">
        <f t="shared" si="4"/>
        <v>0.89367487120778477</v>
      </c>
      <c r="R49" s="10">
        <f t="shared" si="5"/>
        <v>0</v>
      </c>
      <c r="S49" s="8">
        <v>244.02940000000001</v>
      </c>
      <c r="T49" s="11">
        <v>-3.1710000000000002E-3</v>
      </c>
      <c r="U49" s="10">
        <v>0.45</v>
      </c>
      <c r="V49" s="5">
        <f>IF(OR('99_Dashboard'!$B$4="All", '99_Dashboard'!$B$4=B49), 1, 0)</f>
        <v>1</v>
      </c>
      <c r="W49" s="5">
        <f>IF(OR('99_Dashboard'!$B$5="All", '99_Dashboard'!$B$5=D49), 1, 0)</f>
        <v>1</v>
      </c>
      <c r="X49" s="5">
        <f t="shared" si="6"/>
        <v>1</v>
      </c>
    </row>
    <row r="50" spans="1:24" x14ac:dyDescent="0.25">
      <c r="A50" s="5" t="s">
        <v>73</v>
      </c>
      <c r="B50" s="5" t="s">
        <v>19</v>
      </c>
      <c r="C50" s="5" t="s">
        <v>15</v>
      </c>
      <c r="D50" s="5" t="s">
        <v>16</v>
      </c>
      <c r="E50" s="7">
        <v>6897</v>
      </c>
      <c r="F50" s="7">
        <f>SUMIFS('02_Fills'!D:D, '02_Fills'!B:B, A50)</f>
        <v>6836</v>
      </c>
      <c r="G50" s="9">
        <f>SUMIFS('02_Fills'!H:H, '02_Fills'!B:B, A50)</f>
        <v>1336582.3999999999</v>
      </c>
      <c r="H50" s="8">
        <f t="shared" si="0"/>
        <v>195.52112346401404</v>
      </c>
      <c r="I50" s="9">
        <f>SUMIFS('02_Fills'!I:I, '02_Fills'!B:B, A50)</f>
        <v>8.9880270000000007</v>
      </c>
      <c r="J50" s="8">
        <f t="shared" si="1"/>
        <v>6.7246336626907571E-2</v>
      </c>
      <c r="K50" s="8">
        <f>VLOOKUP(A50, '01_Orders'!A:J, 10, FALSE)</f>
        <v>195.94850041577871</v>
      </c>
      <c r="L50" s="8">
        <f t="shared" si="2"/>
        <v>-21.810677339088063</v>
      </c>
      <c r="M50" s="7">
        <f>SUMIFS('02_Fills'!D:D, '02_Fills'!B:B, A50, '02_Fills'!F:F, "LIT")</f>
        <v>1175</v>
      </c>
      <c r="N50" s="7">
        <f>SUMIFS('02_Fills'!D:D, '02_Fills'!B:B, A50, '02_Fills'!F:F, "DARK")</f>
        <v>0</v>
      </c>
      <c r="O50" s="7">
        <f>SUMIFS('02_Fills'!D:D, '02_Fills'!B:B, A50, '02_Fills'!F:F, "BLOCK")</f>
        <v>5661</v>
      </c>
      <c r="P50" s="10">
        <f t="shared" si="3"/>
        <v>0.1718841427735518</v>
      </c>
      <c r="Q50" s="10">
        <f t="shared" si="4"/>
        <v>0</v>
      </c>
      <c r="R50" s="10">
        <f t="shared" si="5"/>
        <v>0.8281158572264482</v>
      </c>
      <c r="S50" s="8">
        <v>195.42</v>
      </c>
      <c r="T50" s="11">
        <v>-3.9649999999999998E-3</v>
      </c>
      <c r="U50" s="10">
        <v>0.45</v>
      </c>
      <c r="V50" s="5">
        <f>IF(OR('99_Dashboard'!$B$4="All", '99_Dashboard'!$B$4=B50), 1, 0)</f>
        <v>1</v>
      </c>
      <c r="W50" s="5">
        <f>IF(OR('99_Dashboard'!$B$5="All", '99_Dashboard'!$B$5=D50), 1, 0)</f>
        <v>1</v>
      </c>
      <c r="X50" s="5">
        <f t="shared" si="6"/>
        <v>1</v>
      </c>
    </row>
    <row r="51" spans="1:24" x14ac:dyDescent="0.25">
      <c r="A51" s="5" t="s">
        <v>74</v>
      </c>
      <c r="B51" s="5" t="s">
        <v>24</v>
      </c>
      <c r="C51" s="5" t="s">
        <v>15</v>
      </c>
      <c r="D51" s="5" t="s">
        <v>25</v>
      </c>
      <c r="E51" s="7">
        <v>10756</v>
      </c>
      <c r="F51" s="7">
        <f>SUMIFS('02_Fills'!D:D, '02_Fills'!B:B, A51)</f>
        <v>10118</v>
      </c>
      <c r="G51" s="9">
        <f>SUMIFS('02_Fills'!H:H, '02_Fills'!B:B, A51)</f>
        <v>2514388.56</v>
      </c>
      <c r="H51" s="8">
        <f t="shared" si="0"/>
        <v>248.50647954141135</v>
      </c>
      <c r="I51" s="9">
        <f>SUMIFS('02_Fills'!I:I, '02_Fills'!B:B, A51)</f>
        <v>30.782939349999999</v>
      </c>
      <c r="J51" s="8">
        <f t="shared" si="1"/>
        <v>0.12242713731564225</v>
      </c>
      <c r="K51" s="8">
        <f>VLOOKUP(A51, '01_Orders'!A:J, 10, FALSE)</f>
        <v>248.4414794136365</v>
      </c>
      <c r="L51" s="8">
        <f t="shared" si="2"/>
        <v>2.6163154368691863</v>
      </c>
      <c r="M51" s="7">
        <f>SUMIFS('02_Fills'!D:D, '02_Fills'!B:B, A51, '02_Fills'!F:F, "LIT")</f>
        <v>5505</v>
      </c>
      <c r="N51" s="7">
        <f>SUMIFS('02_Fills'!D:D, '02_Fills'!B:B, A51, '02_Fills'!F:F, "DARK")</f>
        <v>3649</v>
      </c>
      <c r="O51" s="7">
        <f>SUMIFS('02_Fills'!D:D, '02_Fills'!B:B, A51, '02_Fills'!F:F, "BLOCK")</f>
        <v>964</v>
      </c>
      <c r="P51" s="10">
        <f t="shared" si="3"/>
        <v>0.54407985767938327</v>
      </c>
      <c r="Q51" s="10">
        <f t="shared" si="4"/>
        <v>0.36064439612571653</v>
      </c>
      <c r="R51" s="10">
        <f t="shared" si="5"/>
        <v>9.5275746194900174E-2</v>
      </c>
      <c r="S51" s="8">
        <v>248.46639999999999</v>
      </c>
      <c r="T51" s="11">
        <v>-7.6000000000000004E-4</v>
      </c>
      <c r="U51" s="10">
        <v>0.25</v>
      </c>
      <c r="V51" s="5">
        <f>IF(OR('99_Dashboard'!$B$4="All", '99_Dashboard'!$B$4=B51), 1, 0)</f>
        <v>1</v>
      </c>
      <c r="W51" s="5">
        <f>IF(OR('99_Dashboard'!$B$5="All", '99_Dashboard'!$B$5=D51), 1, 0)</f>
        <v>1</v>
      </c>
      <c r="X51" s="5">
        <f t="shared" si="6"/>
        <v>1</v>
      </c>
    </row>
    <row r="52" spans="1:24" x14ac:dyDescent="0.25">
      <c r="A52" s="5" t="s">
        <v>75</v>
      </c>
      <c r="B52" s="5" t="s">
        <v>24</v>
      </c>
      <c r="C52" s="5" t="s">
        <v>20</v>
      </c>
      <c r="D52" s="5" t="s">
        <v>16</v>
      </c>
      <c r="E52" s="7">
        <v>5425</v>
      </c>
      <c r="F52" s="7">
        <f>SUMIFS('02_Fills'!D:D, '02_Fills'!B:B, A52)</f>
        <v>5357</v>
      </c>
      <c r="G52" s="9">
        <f>SUMIFS('02_Fills'!H:H, '02_Fills'!B:B, A52)</f>
        <v>1328593.0999999999</v>
      </c>
      <c r="H52" s="8">
        <f t="shared" si="0"/>
        <v>248.01065895090534</v>
      </c>
      <c r="I52" s="9">
        <f>SUMIFS('02_Fills'!I:I, '02_Fills'!B:B, A52)</f>
        <v>11.43520275</v>
      </c>
      <c r="J52" s="8">
        <f t="shared" si="1"/>
        <v>8.6070014589116867E-2</v>
      </c>
      <c r="K52" s="8">
        <f>VLOOKUP(A52, '01_Orders'!A:J, 10, FALSE)</f>
        <v>247.68102117355221</v>
      </c>
      <c r="L52" s="8">
        <f t="shared" si="2"/>
        <v>-13.30896391621979</v>
      </c>
      <c r="M52" s="7">
        <f>SUMIFS('02_Fills'!D:D, '02_Fills'!B:B, A52, '02_Fills'!F:F, "LIT")</f>
        <v>749</v>
      </c>
      <c r="N52" s="7">
        <f>SUMIFS('02_Fills'!D:D, '02_Fills'!B:B, A52, '02_Fills'!F:F, "DARK")</f>
        <v>2367</v>
      </c>
      <c r="O52" s="7">
        <f>SUMIFS('02_Fills'!D:D, '02_Fills'!B:B, A52, '02_Fills'!F:F, "BLOCK")</f>
        <v>2241</v>
      </c>
      <c r="P52" s="10">
        <f t="shared" si="3"/>
        <v>0.13981706178831435</v>
      </c>
      <c r="Q52" s="10">
        <f t="shared" si="4"/>
        <v>0.44185178271420572</v>
      </c>
      <c r="R52" s="10">
        <f t="shared" si="5"/>
        <v>0.41833115549747996</v>
      </c>
      <c r="S52" s="8">
        <v>247.78550000000001</v>
      </c>
      <c r="T52" s="11">
        <v>-4.0800000000000003E-3</v>
      </c>
      <c r="U52" s="10">
        <v>0.45</v>
      </c>
      <c r="V52" s="5">
        <f>IF(OR('99_Dashboard'!$B$4="All", '99_Dashboard'!$B$4=B52), 1, 0)</f>
        <v>1</v>
      </c>
      <c r="W52" s="5">
        <f>IF(OR('99_Dashboard'!$B$5="All", '99_Dashboard'!$B$5=D52), 1, 0)</f>
        <v>1</v>
      </c>
      <c r="X52" s="5">
        <f t="shared" si="6"/>
        <v>1</v>
      </c>
    </row>
    <row r="53" spans="1:24" x14ac:dyDescent="0.25">
      <c r="A53" s="5" t="s">
        <v>76</v>
      </c>
      <c r="B53" s="5" t="s">
        <v>24</v>
      </c>
      <c r="C53" s="5" t="s">
        <v>20</v>
      </c>
      <c r="D53" s="5" t="s">
        <v>25</v>
      </c>
      <c r="E53" s="7">
        <v>15700</v>
      </c>
      <c r="F53" s="7">
        <f>SUMIFS('02_Fills'!D:D, '02_Fills'!B:B, A53)</f>
        <v>14978</v>
      </c>
      <c r="G53" s="9">
        <f>SUMIFS('02_Fills'!H:H, '02_Fills'!B:B, A53)</f>
        <v>3718062.7399999993</v>
      </c>
      <c r="H53" s="8">
        <f t="shared" si="0"/>
        <v>248.23492722659896</v>
      </c>
      <c r="I53" s="9">
        <f>SUMIFS('02_Fills'!I:I, '02_Fills'!B:B, A53)</f>
        <v>45.765446450000006</v>
      </c>
      <c r="J53" s="8">
        <f t="shared" si="1"/>
        <v>0.12308949485344084</v>
      </c>
      <c r="K53" s="8">
        <f>VLOOKUP(A53, '01_Orders'!A:J, 10, FALSE)</f>
        <v>248.0520684550678</v>
      </c>
      <c r="L53" s="8">
        <f t="shared" si="2"/>
        <v>-7.3717898290487982</v>
      </c>
      <c r="M53" s="7">
        <f>SUMIFS('02_Fills'!D:D, '02_Fills'!B:B, A53, '02_Fills'!F:F, "LIT")</f>
        <v>9673</v>
      </c>
      <c r="N53" s="7">
        <f>SUMIFS('02_Fills'!D:D, '02_Fills'!B:B, A53, '02_Fills'!F:F, "DARK")</f>
        <v>2553</v>
      </c>
      <c r="O53" s="7">
        <f>SUMIFS('02_Fills'!D:D, '02_Fills'!B:B, A53, '02_Fills'!F:F, "BLOCK")</f>
        <v>2752</v>
      </c>
      <c r="P53" s="10">
        <f t="shared" si="3"/>
        <v>0.64581386032848176</v>
      </c>
      <c r="Q53" s="10">
        <f t="shared" si="4"/>
        <v>0.17044999332354119</v>
      </c>
      <c r="R53" s="10">
        <f t="shared" si="5"/>
        <v>0.18373614634797703</v>
      </c>
      <c r="S53" s="8">
        <v>248.34530000000001</v>
      </c>
      <c r="T53" s="11">
        <v>3.4919999999999999E-3</v>
      </c>
      <c r="U53" s="10">
        <v>0.35</v>
      </c>
      <c r="V53" s="5">
        <f>IF(OR('99_Dashboard'!$B$4="All", '99_Dashboard'!$B$4=B53), 1, 0)</f>
        <v>1</v>
      </c>
      <c r="W53" s="5">
        <f>IF(OR('99_Dashboard'!$B$5="All", '99_Dashboard'!$B$5=D53), 1, 0)</f>
        <v>1</v>
      </c>
      <c r="X53" s="5">
        <f t="shared" si="6"/>
        <v>1</v>
      </c>
    </row>
    <row r="54" spans="1:24" x14ac:dyDescent="0.25">
      <c r="A54" s="5" t="s">
        <v>77</v>
      </c>
      <c r="B54" s="5" t="s">
        <v>28</v>
      </c>
      <c r="C54" s="5" t="s">
        <v>20</v>
      </c>
      <c r="D54" s="5" t="s">
        <v>16</v>
      </c>
      <c r="E54" s="7">
        <v>4516</v>
      </c>
      <c r="F54" s="7">
        <f>SUMIFS('02_Fills'!D:D, '02_Fills'!B:B, A54)</f>
        <v>4429</v>
      </c>
      <c r="G54" s="9">
        <f>SUMIFS('02_Fills'!H:H, '02_Fills'!B:B, A54)</f>
        <v>1873971.88</v>
      </c>
      <c r="H54" s="8">
        <f t="shared" si="0"/>
        <v>423.11399412960031</v>
      </c>
      <c r="I54" s="9">
        <f>SUMIFS('02_Fills'!I:I, '02_Fills'!B:B, A54)</f>
        <v>15.425463800000003</v>
      </c>
      <c r="J54" s="8">
        <f t="shared" si="1"/>
        <v>8.231427570834203E-2</v>
      </c>
      <c r="K54" s="8">
        <f>VLOOKUP(A54, '01_Orders'!A:J, 10, FALSE)</f>
        <v>421.75601291920572</v>
      </c>
      <c r="L54" s="8">
        <f t="shared" si="2"/>
        <v>-32.198265556316841</v>
      </c>
      <c r="M54" s="7">
        <f>SUMIFS('02_Fills'!D:D, '02_Fills'!B:B, A54, '02_Fills'!F:F, "LIT")</f>
        <v>964</v>
      </c>
      <c r="N54" s="7">
        <f>SUMIFS('02_Fills'!D:D, '02_Fills'!B:B, A54, '02_Fills'!F:F, "DARK")</f>
        <v>935</v>
      </c>
      <c r="O54" s="7">
        <f>SUMIFS('02_Fills'!D:D, '02_Fills'!B:B, A54, '02_Fills'!F:F, "BLOCK")</f>
        <v>2530</v>
      </c>
      <c r="P54" s="10">
        <f t="shared" si="3"/>
        <v>0.21765635583653195</v>
      </c>
      <c r="Q54" s="10">
        <f t="shared" si="4"/>
        <v>0.21110860239331677</v>
      </c>
      <c r="R54" s="10">
        <f t="shared" si="5"/>
        <v>0.57123504177015128</v>
      </c>
      <c r="S54" s="8">
        <v>422.96809999999999</v>
      </c>
      <c r="T54" s="11">
        <v>1.5219999999999999E-3</v>
      </c>
      <c r="U54" s="10">
        <v>0.35</v>
      </c>
      <c r="V54" s="5">
        <f>IF(OR('99_Dashboard'!$B$4="All", '99_Dashboard'!$B$4=B54), 1, 0)</f>
        <v>1</v>
      </c>
      <c r="W54" s="5">
        <f>IF(OR('99_Dashboard'!$B$5="All", '99_Dashboard'!$B$5=D54), 1, 0)</f>
        <v>1</v>
      </c>
      <c r="X54" s="5">
        <f t="shared" si="6"/>
        <v>1</v>
      </c>
    </row>
    <row r="55" spans="1:24" x14ac:dyDescent="0.25">
      <c r="A55" s="5" t="s">
        <v>78</v>
      </c>
      <c r="B55" s="5" t="s">
        <v>28</v>
      </c>
      <c r="C55" s="5" t="s">
        <v>15</v>
      </c>
      <c r="D55" s="5" t="s">
        <v>25</v>
      </c>
      <c r="E55" s="7">
        <v>14762</v>
      </c>
      <c r="F55" s="7">
        <f>SUMIFS('02_Fills'!D:D, '02_Fills'!B:B, A55)</f>
        <v>14190</v>
      </c>
      <c r="G55" s="9">
        <f>SUMIFS('02_Fills'!H:H, '02_Fills'!B:B, A55)</f>
        <v>5993829.3200000003</v>
      </c>
      <c r="H55" s="8">
        <f t="shared" si="0"/>
        <v>422.39811980267797</v>
      </c>
      <c r="I55" s="9">
        <f>SUMIFS('02_Fills'!I:I, '02_Fills'!B:B, A55)</f>
        <v>75.745701249999996</v>
      </c>
      <c r="J55" s="8">
        <f t="shared" si="1"/>
        <v>0.12637280310477708</v>
      </c>
      <c r="K55" s="8">
        <f>VLOOKUP(A55, '01_Orders'!A:J, 10, FALSE)</f>
        <v>422.07325785634288</v>
      </c>
      <c r="L55" s="8">
        <f t="shared" si="2"/>
        <v>7.6968142446414074</v>
      </c>
      <c r="M55" s="7">
        <f>SUMIFS('02_Fills'!D:D, '02_Fills'!B:B, A55, '02_Fills'!F:F, "LIT")</f>
        <v>10662</v>
      </c>
      <c r="N55" s="7">
        <f>SUMIFS('02_Fills'!D:D, '02_Fills'!B:B, A55, '02_Fills'!F:F, "DARK")</f>
        <v>353</v>
      </c>
      <c r="O55" s="7">
        <f>SUMIFS('02_Fills'!D:D, '02_Fills'!B:B, A55, '02_Fills'!F:F, "BLOCK")</f>
        <v>3175</v>
      </c>
      <c r="P55" s="10">
        <f t="shared" si="3"/>
        <v>0.75137420718816073</v>
      </c>
      <c r="Q55" s="10">
        <f t="shared" si="4"/>
        <v>2.4876673713883017E-2</v>
      </c>
      <c r="R55" s="10">
        <f t="shared" si="5"/>
        <v>0.22374911909795631</v>
      </c>
      <c r="S55" s="8">
        <v>422.09359999999998</v>
      </c>
      <c r="T55" s="11">
        <v>2.3E-3</v>
      </c>
      <c r="U55" s="10">
        <v>0.35</v>
      </c>
      <c r="V55" s="5">
        <f>IF(OR('99_Dashboard'!$B$4="All", '99_Dashboard'!$B$4=B55), 1, 0)</f>
        <v>1</v>
      </c>
      <c r="W55" s="5">
        <f>IF(OR('99_Dashboard'!$B$5="All", '99_Dashboard'!$B$5=D55), 1, 0)</f>
        <v>1</v>
      </c>
      <c r="X55" s="5">
        <f t="shared" si="6"/>
        <v>1</v>
      </c>
    </row>
    <row r="56" spans="1:24" x14ac:dyDescent="0.25">
      <c r="A56" s="5" t="s">
        <v>79</v>
      </c>
      <c r="B56" s="5" t="s">
        <v>28</v>
      </c>
      <c r="C56" s="5" t="s">
        <v>20</v>
      </c>
      <c r="D56" s="5" t="s">
        <v>22</v>
      </c>
      <c r="E56" s="7">
        <v>12123</v>
      </c>
      <c r="F56" s="7">
        <f>SUMIFS('02_Fills'!D:D, '02_Fills'!B:B, A56)</f>
        <v>11533</v>
      </c>
      <c r="G56" s="9">
        <f>SUMIFS('02_Fills'!H:H, '02_Fills'!B:B, A56)</f>
        <v>4881475.67</v>
      </c>
      <c r="H56" s="8">
        <f t="shared" si="0"/>
        <v>423.2615685424434</v>
      </c>
      <c r="I56" s="9">
        <f>SUMIFS('02_Fills'!I:I, '02_Fills'!B:B, A56)</f>
        <v>69.832715800000003</v>
      </c>
      <c r="J56" s="8">
        <f t="shared" si="1"/>
        <v>0.14305656838396166</v>
      </c>
      <c r="K56" s="8">
        <f>VLOOKUP(A56, '01_Orders'!A:J, 10, FALSE)</f>
        <v>422.59268786608112</v>
      </c>
      <c r="L56" s="8">
        <f t="shared" si="2"/>
        <v>-15.828022953729974</v>
      </c>
      <c r="M56" s="7">
        <f>SUMIFS('02_Fills'!D:D, '02_Fills'!B:B, A56, '02_Fills'!F:F, "LIT")</f>
        <v>9930</v>
      </c>
      <c r="N56" s="7">
        <f>SUMIFS('02_Fills'!D:D, '02_Fills'!B:B, A56, '02_Fills'!F:F, "DARK")</f>
        <v>1603</v>
      </c>
      <c r="O56" s="7">
        <f>SUMIFS('02_Fills'!D:D, '02_Fills'!B:B, A56, '02_Fills'!F:F, "BLOCK")</f>
        <v>0</v>
      </c>
      <c r="P56" s="10">
        <f t="shared" si="3"/>
        <v>0.86100754357062348</v>
      </c>
      <c r="Q56" s="10">
        <f t="shared" si="4"/>
        <v>0.13899245642937658</v>
      </c>
      <c r="R56" s="10">
        <f t="shared" si="5"/>
        <v>0</v>
      </c>
      <c r="S56" s="8">
        <v>423.39389999999997</v>
      </c>
      <c r="T56" s="11">
        <v>9.4799999999999995E-4</v>
      </c>
      <c r="U56" s="10">
        <v>0.15</v>
      </c>
      <c r="V56" s="5">
        <f>IF(OR('99_Dashboard'!$B$4="All", '99_Dashboard'!$B$4=B56), 1, 0)</f>
        <v>1</v>
      </c>
      <c r="W56" s="5">
        <f>IF(OR('99_Dashboard'!$B$5="All", '99_Dashboard'!$B$5=D56), 1, 0)</f>
        <v>1</v>
      </c>
      <c r="X56" s="5">
        <f t="shared" si="6"/>
        <v>1</v>
      </c>
    </row>
    <row r="57" spans="1:24" x14ac:dyDescent="0.25">
      <c r="A57" s="5" t="s">
        <v>80</v>
      </c>
      <c r="B57" s="5" t="s">
        <v>19</v>
      </c>
      <c r="C57" s="5" t="s">
        <v>15</v>
      </c>
      <c r="D57" s="5" t="s">
        <v>22</v>
      </c>
      <c r="E57" s="7">
        <v>11482</v>
      </c>
      <c r="F57" s="7">
        <f>SUMIFS('02_Fills'!D:D, '02_Fills'!B:B, A57)</f>
        <v>11334</v>
      </c>
      <c r="G57" s="9">
        <f>SUMIFS('02_Fills'!H:H, '02_Fills'!B:B, A57)</f>
        <v>2239981.13</v>
      </c>
      <c r="H57" s="8">
        <f t="shared" si="0"/>
        <v>197.63376830774661</v>
      </c>
      <c r="I57" s="9">
        <f>SUMIFS('02_Fills'!I:I, '02_Fills'!B:B, A57)</f>
        <v>32.454570750000002</v>
      </c>
      <c r="J57" s="8">
        <f t="shared" si="1"/>
        <v>0.14488769711198415</v>
      </c>
      <c r="K57" s="8">
        <f>VLOOKUP(A57, '01_Orders'!A:J, 10, FALSE)</f>
        <v>197.6087253882859</v>
      </c>
      <c r="L57" s="8">
        <f t="shared" si="2"/>
        <v>1.2672982638542325</v>
      </c>
      <c r="M57" s="7">
        <f>SUMIFS('02_Fills'!D:D, '02_Fills'!B:B, A57, '02_Fills'!F:F, "LIT")</f>
        <v>10176</v>
      </c>
      <c r="N57" s="7">
        <f>SUMIFS('02_Fills'!D:D, '02_Fills'!B:B, A57, '02_Fills'!F:F, "DARK")</f>
        <v>1158</v>
      </c>
      <c r="O57" s="7">
        <f>SUMIFS('02_Fills'!D:D, '02_Fills'!B:B, A57, '02_Fills'!F:F, "BLOCK")</f>
        <v>0</v>
      </c>
      <c r="P57" s="10">
        <f t="shared" si="3"/>
        <v>0.89782953943885657</v>
      </c>
      <c r="Q57" s="10">
        <f t="shared" si="4"/>
        <v>0.10217046056114346</v>
      </c>
      <c r="R57" s="10">
        <f t="shared" si="5"/>
        <v>0</v>
      </c>
      <c r="S57" s="8">
        <v>197.71449999999999</v>
      </c>
      <c r="T57" s="11">
        <v>-1.454E-3</v>
      </c>
      <c r="U57" s="10">
        <v>0.15</v>
      </c>
      <c r="V57" s="5">
        <f>IF(OR('99_Dashboard'!$B$4="All", '99_Dashboard'!$B$4=B57), 1, 0)</f>
        <v>1</v>
      </c>
      <c r="W57" s="5">
        <f>IF(OR('99_Dashboard'!$B$5="All", '99_Dashboard'!$B$5=D57), 1, 0)</f>
        <v>1</v>
      </c>
      <c r="X57" s="5">
        <f t="shared" si="6"/>
        <v>1</v>
      </c>
    </row>
    <row r="58" spans="1:24" x14ac:dyDescent="0.25">
      <c r="A58" s="5" t="s">
        <v>81</v>
      </c>
      <c r="B58" s="5" t="s">
        <v>32</v>
      </c>
      <c r="C58" s="5" t="s">
        <v>20</v>
      </c>
      <c r="D58" s="5" t="s">
        <v>25</v>
      </c>
      <c r="E58" s="7">
        <v>9085</v>
      </c>
      <c r="F58" s="7">
        <f>SUMIFS('02_Fills'!D:D, '02_Fills'!B:B, A58)</f>
        <v>8919</v>
      </c>
      <c r="G58" s="9">
        <f>SUMIFS('02_Fills'!H:H, '02_Fills'!B:B, A58)</f>
        <v>1546310.01</v>
      </c>
      <c r="H58" s="8">
        <f t="shared" si="0"/>
        <v>173.37257652203161</v>
      </c>
      <c r="I58" s="9">
        <f>SUMIFS('02_Fills'!I:I, '02_Fills'!B:B, A58)</f>
        <v>21.354917399999998</v>
      </c>
      <c r="J58" s="8">
        <f t="shared" si="1"/>
        <v>0.13810243264220995</v>
      </c>
      <c r="K58" s="8">
        <f>VLOOKUP(A58, '01_Orders'!A:J, 10, FALSE)</f>
        <v>172.52807241309699</v>
      </c>
      <c r="L58" s="8">
        <f t="shared" si="2"/>
        <v>-48.948794078714037</v>
      </c>
      <c r="M58" s="7">
        <f>SUMIFS('02_Fills'!D:D, '02_Fills'!B:B, A58, '02_Fills'!F:F, "LIT")</f>
        <v>6804</v>
      </c>
      <c r="N58" s="7">
        <f>SUMIFS('02_Fills'!D:D, '02_Fills'!B:B, A58, '02_Fills'!F:F, "DARK")</f>
        <v>2115</v>
      </c>
      <c r="O58" s="7">
        <f>SUMIFS('02_Fills'!D:D, '02_Fills'!B:B, A58, '02_Fills'!F:F, "BLOCK")</f>
        <v>0</v>
      </c>
      <c r="P58" s="10">
        <f t="shared" si="3"/>
        <v>0.7628657921291625</v>
      </c>
      <c r="Q58" s="10">
        <f t="shared" si="4"/>
        <v>0.23713420787083753</v>
      </c>
      <c r="R58" s="10">
        <f t="shared" si="5"/>
        <v>0</v>
      </c>
      <c r="S58" s="8">
        <v>173.5179</v>
      </c>
      <c r="T58" s="11">
        <v>1.8384000000000001E-2</v>
      </c>
      <c r="U58" s="10">
        <v>0.35</v>
      </c>
      <c r="V58" s="5">
        <f>IF(OR('99_Dashboard'!$B$4="All", '99_Dashboard'!$B$4=B58), 1, 0)</f>
        <v>1</v>
      </c>
      <c r="W58" s="5">
        <f>IF(OR('99_Dashboard'!$B$5="All", '99_Dashboard'!$B$5=D58), 1, 0)</f>
        <v>1</v>
      </c>
      <c r="X58" s="5">
        <f t="shared" si="6"/>
        <v>1</v>
      </c>
    </row>
    <row r="59" spans="1:24" x14ac:dyDescent="0.25">
      <c r="A59" s="5" t="s">
        <v>82</v>
      </c>
      <c r="B59" s="5" t="s">
        <v>14</v>
      </c>
      <c r="C59" s="5" t="s">
        <v>15</v>
      </c>
      <c r="D59" s="5" t="s">
        <v>25</v>
      </c>
      <c r="E59" s="7">
        <v>9790</v>
      </c>
      <c r="F59" s="7">
        <f>SUMIFS('02_Fills'!D:D, '02_Fills'!B:B, A59)</f>
        <v>9211</v>
      </c>
      <c r="G59" s="9">
        <f>SUMIFS('02_Fills'!H:H, '02_Fills'!B:B, A59)</f>
        <v>1713913.38</v>
      </c>
      <c r="H59" s="8">
        <f t="shared" si="0"/>
        <v>186.07245467375964</v>
      </c>
      <c r="I59" s="9">
        <f>SUMIFS('02_Fills'!I:I, '02_Fills'!B:B, A59)</f>
        <v>20.310235349999999</v>
      </c>
      <c r="J59" s="8">
        <f t="shared" si="1"/>
        <v>0.11850211094098582</v>
      </c>
      <c r="K59" s="8">
        <f>VLOOKUP(A59, '01_Orders'!A:J, 10, FALSE)</f>
        <v>186.2122893961014</v>
      </c>
      <c r="L59" s="8">
        <f t="shared" si="2"/>
        <v>-7.5094250113810066</v>
      </c>
      <c r="M59" s="7">
        <f>SUMIFS('02_Fills'!D:D, '02_Fills'!B:B, A59, '02_Fills'!F:F, "LIT")</f>
        <v>4630</v>
      </c>
      <c r="N59" s="7">
        <f>SUMIFS('02_Fills'!D:D, '02_Fills'!B:B, A59, '02_Fills'!F:F, "DARK")</f>
        <v>3356</v>
      </c>
      <c r="O59" s="7">
        <f>SUMIFS('02_Fills'!D:D, '02_Fills'!B:B, A59, '02_Fills'!F:F, "BLOCK")</f>
        <v>1225</v>
      </c>
      <c r="P59" s="10">
        <f t="shared" si="3"/>
        <v>0.50265986320703504</v>
      </c>
      <c r="Q59" s="10">
        <f t="shared" si="4"/>
        <v>0.36434697644121161</v>
      </c>
      <c r="R59" s="10">
        <f t="shared" si="5"/>
        <v>0.13299316035175335</v>
      </c>
      <c r="S59" s="8">
        <v>186.15629999999999</v>
      </c>
      <c r="T59" s="11">
        <v>-6.3810000000000004E-3</v>
      </c>
      <c r="U59" s="10">
        <v>0.35</v>
      </c>
      <c r="V59" s="5">
        <f>IF(OR('99_Dashboard'!$B$4="All", '99_Dashboard'!$B$4=B59), 1, 0)</f>
        <v>1</v>
      </c>
      <c r="W59" s="5">
        <f>IF(OR('99_Dashboard'!$B$5="All", '99_Dashboard'!$B$5=D59), 1, 0)</f>
        <v>1</v>
      </c>
      <c r="X59" s="5">
        <f t="shared" si="6"/>
        <v>1</v>
      </c>
    </row>
    <row r="60" spans="1:24" x14ac:dyDescent="0.25">
      <c r="A60" s="5" t="s">
        <v>83</v>
      </c>
      <c r="B60" s="5" t="s">
        <v>24</v>
      </c>
      <c r="C60" s="5" t="s">
        <v>15</v>
      </c>
      <c r="D60" s="5" t="s">
        <v>22</v>
      </c>
      <c r="E60" s="7">
        <v>24514</v>
      </c>
      <c r="F60" s="7">
        <f>SUMIFS('02_Fills'!D:D, '02_Fills'!B:B, A60)</f>
        <v>24116</v>
      </c>
      <c r="G60" s="9">
        <f>SUMIFS('02_Fills'!H:H, '02_Fills'!B:B, A60)</f>
        <v>5977814.2799999993</v>
      </c>
      <c r="H60" s="8">
        <f t="shared" si="0"/>
        <v>247.87752031846074</v>
      </c>
      <c r="I60" s="9">
        <f>SUMIFS('02_Fills'!I:I, '02_Fills'!B:B, A60)</f>
        <v>65.5189412</v>
      </c>
      <c r="J60" s="8">
        <f t="shared" si="1"/>
        <v>0.1096035074545675</v>
      </c>
      <c r="K60" s="8">
        <f>VLOOKUP(A60, '01_Orders'!A:J, 10, FALSE)</f>
        <v>249.02059118437981</v>
      </c>
      <c r="L60" s="8">
        <f t="shared" si="2"/>
        <v>-45.902664533983014</v>
      </c>
      <c r="M60" s="7">
        <f>SUMIFS('02_Fills'!D:D, '02_Fills'!B:B, A60, '02_Fills'!F:F, "LIT")</f>
        <v>4618</v>
      </c>
      <c r="N60" s="7">
        <f>SUMIFS('02_Fills'!D:D, '02_Fills'!B:B, A60, '02_Fills'!F:F, "DARK")</f>
        <v>19498</v>
      </c>
      <c r="O60" s="7">
        <f>SUMIFS('02_Fills'!D:D, '02_Fills'!B:B, A60, '02_Fills'!F:F, "BLOCK")</f>
        <v>0</v>
      </c>
      <c r="P60" s="10">
        <f t="shared" si="3"/>
        <v>0.19149112622325426</v>
      </c>
      <c r="Q60" s="10">
        <f t="shared" si="4"/>
        <v>0.80850887377674574</v>
      </c>
      <c r="R60" s="10">
        <f t="shared" si="5"/>
        <v>0</v>
      </c>
      <c r="S60" s="8">
        <v>248.3441</v>
      </c>
      <c r="T60" s="11">
        <v>3.2390000000000001E-3</v>
      </c>
      <c r="U60" s="10">
        <v>0.2</v>
      </c>
      <c r="V60" s="5">
        <f>IF(OR('99_Dashboard'!$B$4="All", '99_Dashboard'!$B$4=B60), 1, 0)</f>
        <v>1</v>
      </c>
      <c r="W60" s="5">
        <f>IF(OR('99_Dashboard'!$B$5="All", '99_Dashboard'!$B$5=D60), 1, 0)</f>
        <v>1</v>
      </c>
      <c r="X60" s="5">
        <f t="shared" si="6"/>
        <v>1</v>
      </c>
    </row>
    <row r="61" spans="1:24" x14ac:dyDescent="0.25">
      <c r="A61" s="5" t="s">
        <v>84</v>
      </c>
      <c r="B61" s="5" t="s">
        <v>28</v>
      </c>
      <c r="C61" s="5" t="s">
        <v>15</v>
      </c>
      <c r="D61" s="5" t="s">
        <v>16</v>
      </c>
      <c r="E61" s="7">
        <v>4291</v>
      </c>
      <c r="F61" s="7">
        <f>SUMIFS('02_Fills'!D:D, '02_Fills'!B:B, A61)</f>
        <v>4243</v>
      </c>
      <c r="G61" s="9">
        <f>SUMIFS('02_Fills'!H:H, '02_Fills'!B:B, A61)</f>
        <v>1758980.38</v>
      </c>
      <c r="H61" s="8">
        <f t="shared" si="0"/>
        <v>414.56054206929059</v>
      </c>
      <c r="I61" s="9">
        <f>SUMIFS('02_Fills'!I:I, '02_Fills'!B:B, A61)</f>
        <v>21.054699399999997</v>
      </c>
      <c r="J61" s="8">
        <f t="shared" si="1"/>
        <v>0.11969831863616351</v>
      </c>
      <c r="K61" s="8">
        <f>VLOOKUP(A61, '01_Orders'!A:J, 10, FALSE)</f>
        <v>415.25821572354891</v>
      </c>
      <c r="L61" s="8">
        <f t="shared" si="2"/>
        <v>-16.800959688243431</v>
      </c>
      <c r="M61" s="7">
        <f>SUMIFS('02_Fills'!D:D, '02_Fills'!B:B, A61, '02_Fills'!F:F, "LIT")</f>
        <v>2412</v>
      </c>
      <c r="N61" s="7">
        <f>SUMIFS('02_Fills'!D:D, '02_Fills'!B:B, A61, '02_Fills'!F:F, "DARK")</f>
        <v>1089</v>
      </c>
      <c r="O61" s="7">
        <f>SUMIFS('02_Fills'!D:D, '02_Fills'!B:B, A61, '02_Fills'!F:F, "BLOCK")</f>
        <v>742</v>
      </c>
      <c r="P61" s="10">
        <f t="shared" si="3"/>
        <v>0.56846570822531228</v>
      </c>
      <c r="Q61" s="10">
        <f t="shared" si="4"/>
        <v>0.25665802498232382</v>
      </c>
      <c r="R61" s="10">
        <f t="shared" si="5"/>
        <v>0.1748762667923639</v>
      </c>
      <c r="S61" s="8">
        <v>414.48700000000002</v>
      </c>
      <c r="T61" s="11">
        <v>6.8339999999999998E-3</v>
      </c>
      <c r="U61" s="10">
        <v>0.45</v>
      </c>
      <c r="V61" s="5">
        <f>IF(OR('99_Dashboard'!$B$4="All", '99_Dashboard'!$B$4=B61), 1, 0)</f>
        <v>1</v>
      </c>
      <c r="W61" s="5">
        <f>IF(OR('99_Dashboard'!$B$5="All", '99_Dashboard'!$B$5=D61), 1, 0)</f>
        <v>1</v>
      </c>
      <c r="X61" s="5">
        <f t="shared" si="6"/>
        <v>1</v>
      </c>
    </row>
    <row r="62" spans="1:24" x14ac:dyDescent="0.25">
      <c r="A62" s="5" t="s">
        <v>85</v>
      </c>
      <c r="B62" s="5" t="s">
        <v>28</v>
      </c>
      <c r="C62" s="5" t="s">
        <v>20</v>
      </c>
      <c r="D62" s="5" t="s">
        <v>22</v>
      </c>
      <c r="E62" s="7">
        <v>14880</v>
      </c>
      <c r="F62" s="7">
        <f>SUMIFS('02_Fills'!D:D, '02_Fills'!B:B, A62)</f>
        <v>14493</v>
      </c>
      <c r="G62" s="9">
        <f>SUMIFS('02_Fills'!H:H, '02_Fills'!B:B, A62)</f>
        <v>6141033.4400000004</v>
      </c>
      <c r="H62" s="8">
        <f t="shared" si="0"/>
        <v>423.72410405023118</v>
      </c>
      <c r="I62" s="9">
        <f>SUMIFS('02_Fills'!I:I, '02_Fills'!B:B, A62)</f>
        <v>69.666905700000015</v>
      </c>
      <c r="J62" s="8">
        <f t="shared" si="1"/>
        <v>0.1134449215765873</v>
      </c>
      <c r="K62" s="8">
        <f>VLOOKUP(A62, '01_Orders'!A:J, 10, FALSE)</f>
        <v>423.22138547717373</v>
      </c>
      <c r="L62" s="8">
        <f t="shared" si="2"/>
        <v>-11.878383047459781</v>
      </c>
      <c r="M62" s="7">
        <f>SUMIFS('02_Fills'!D:D, '02_Fills'!B:B, A62, '02_Fills'!F:F, "LIT")</f>
        <v>6627</v>
      </c>
      <c r="N62" s="7">
        <f>SUMIFS('02_Fills'!D:D, '02_Fills'!B:B, A62, '02_Fills'!F:F, "DARK")</f>
        <v>5142</v>
      </c>
      <c r="O62" s="7">
        <f>SUMIFS('02_Fills'!D:D, '02_Fills'!B:B, A62, '02_Fills'!F:F, "BLOCK")</f>
        <v>2724</v>
      </c>
      <c r="P62" s="10">
        <f t="shared" si="3"/>
        <v>0.45725522666114676</v>
      </c>
      <c r="Q62" s="10">
        <f t="shared" si="4"/>
        <v>0.35479196853653489</v>
      </c>
      <c r="R62" s="10">
        <f t="shared" si="5"/>
        <v>0.18795280480231835</v>
      </c>
      <c r="S62" s="8">
        <v>423.79239999999999</v>
      </c>
      <c r="T62" s="11">
        <v>9.6299999999999999E-4</v>
      </c>
      <c r="U62" s="10">
        <v>0.15</v>
      </c>
      <c r="V62" s="5">
        <f>IF(OR('99_Dashboard'!$B$4="All", '99_Dashboard'!$B$4=B62), 1, 0)</f>
        <v>1</v>
      </c>
      <c r="W62" s="5">
        <f>IF(OR('99_Dashboard'!$B$5="All", '99_Dashboard'!$B$5=D62), 1, 0)</f>
        <v>1</v>
      </c>
      <c r="X62" s="5">
        <f t="shared" si="6"/>
        <v>1</v>
      </c>
    </row>
    <row r="63" spans="1:24" x14ac:dyDescent="0.25">
      <c r="A63" s="5" t="s">
        <v>86</v>
      </c>
      <c r="B63" s="5" t="s">
        <v>24</v>
      </c>
      <c r="C63" s="5" t="s">
        <v>15</v>
      </c>
      <c r="D63" s="5" t="s">
        <v>25</v>
      </c>
      <c r="E63" s="7">
        <v>9063</v>
      </c>
      <c r="F63" s="7">
        <f>SUMIFS('02_Fills'!D:D, '02_Fills'!B:B, A63)</f>
        <v>8664</v>
      </c>
      <c r="G63" s="9">
        <f>SUMIFS('02_Fills'!H:H, '02_Fills'!B:B, A63)</f>
        <v>2148155.11</v>
      </c>
      <c r="H63" s="8">
        <f t="shared" si="0"/>
        <v>247.94034048938133</v>
      </c>
      <c r="I63" s="9">
        <f>SUMIFS('02_Fills'!I:I, '02_Fills'!B:B, A63)</f>
        <v>21.171345249999998</v>
      </c>
      <c r="J63" s="8">
        <f t="shared" si="1"/>
        <v>9.855594296447244E-2</v>
      </c>
      <c r="K63" s="8">
        <f>VLOOKUP(A63, '01_Orders'!A:J, 10, FALSE)</f>
        <v>247.7853591957014</v>
      </c>
      <c r="L63" s="8">
        <f t="shared" si="2"/>
        <v>6.2546590397021653</v>
      </c>
      <c r="M63" s="7">
        <f>SUMIFS('02_Fills'!D:D, '02_Fills'!B:B, A63, '02_Fills'!F:F, "LIT")</f>
        <v>3367</v>
      </c>
      <c r="N63" s="7">
        <f>SUMIFS('02_Fills'!D:D, '02_Fills'!B:B, A63, '02_Fills'!F:F, "DARK")</f>
        <v>1674</v>
      </c>
      <c r="O63" s="7">
        <f>SUMIFS('02_Fills'!D:D, '02_Fills'!B:B, A63, '02_Fills'!F:F, "BLOCK")</f>
        <v>3623</v>
      </c>
      <c r="P63" s="10">
        <f t="shared" si="3"/>
        <v>0.38861957525392427</v>
      </c>
      <c r="Q63" s="10">
        <f t="shared" si="4"/>
        <v>0.19321329639889195</v>
      </c>
      <c r="R63" s="10">
        <f t="shared" si="5"/>
        <v>0.41816712834718373</v>
      </c>
      <c r="S63" s="8">
        <v>247.81209999999999</v>
      </c>
      <c r="T63" s="11">
        <v>-3.7959999999999999E-3</v>
      </c>
      <c r="U63" s="10">
        <v>0.35</v>
      </c>
      <c r="V63" s="5">
        <f>IF(OR('99_Dashboard'!$B$4="All", '99_Dashboard'!$B$4=B63), 1, 0)</f>
        <v>1</v>
      </c>
      <c r="W63" s="5">
        <f>IF(OR('99_Dashboard'!$B$5="All", '99_Dashboard'!$B$5=D63), 1, 0)</f>
        <v>1</v>
      </c>
      <c r="X63" s="5">
        <f t="shared" si="6"/>
        <v>1</v>
      </c>
    </row>
    <row r="64" spans="1:24" x14ac:dyDescent="0.25">
      <c r="A64" s="5" t="s">
        <v>87</v>
      </c>
      <c r="B64" s="5" t="s">
        <v>28</v>
      </c>
      <c r="C64" s="5" t="s">
        <v>15</v>
      </c>
      <c r="D64" s="5" t="s">
        <v>22</v>
      </c>
      <c r="E64" s="7">
        <v>20733</v>
      </c>
      <c r="F64" s="7">
        <f>SUMIFS('02_Fills'!D:D, '02_Fills'!B:B, A64)</f>
        <v>20468</v>
      </c>
      <c r="G64" s="9">
        <f>SUMIFS('02_Fills'!H:H, '02_Fills'!B:B, A64)</f>
        <v>8641483.5200000014</v>
      </c>
      <c r="H64" s="8">
        <f t="shared" si="0"/>
        <v>422.1948172757476</v>
      </c>
      <c r="I64" s="9">
        <f>SUMIFS('02_Fills'!I:I, '02_Fills'!B:B, A64)</f>
        <v>113.78885289999998</v>
      </c>
      <c r="J64" s="8">
        <f t="shared" si="1"/>
        <v>0.13167745172069709</v>
      </c>
      <c r="K64" s="8">
        <f>VLOOKUP(A64, '01_Orders'!A:J, 10, FALSE)</f>
        <v>422.07325785634288</v>
      </c>
      <c r="L64" s="8">
        <f t="shared" si="2"/>
        <v>2.8800549938203504</v>
      </c>
      <c r="M64" s="7">
        <f>SUMIFS('02_Fills'!D:D, '02_Fills'!B:B, A64, '02_Fills'!F:F, "LIT")</f>
        <v>14607</v>
      </c>
      <c r="N64" s="7">
        <f>SUMIFS('02_Fills'!D:D, '02_Fills'!B:B, A64, '02_Fills'!F:F, "DARK")</f>
        <v>4221</v>
      </c>
      <c r="O64" s="7">
        <f>SUMIFS('02_Fills'!D:D, '02_Fills'!B:B, A64, '02_Fills'!F:F, "BLOCK")</f>
        <v>1640</v>
      </c>
      <c r="P64" s="10">
        <f t="shared" si="3"/>
        <v>0.71365057650967367</v>
      </c>
      <c r="Q64" s="10">
        <f t="shared" si="4"/>
        <v>0.20622435020519836</v>
      </c>
      <c r="R64" s="10">
        <f t="shared" si="5"/>
        <v>8.012507328512801E-2</v>
      </c>
      <c r="S64" s="8">
        <v>422.21879999999999</v>
      </c>
      <c r="T64" s="11">
        <v>4.4279999999999996E-3</v>
      </c>
      <c r="U64" s="10">
        <v>0.2</v>
      </c>
      <c r="V64" s="5">
        <f>IF(OR('99_Dashboard'!$B$4="All", '99_Dashboard'!$B$4=B64), 1, 0)</f>
        <v>1</v>
      </c>
      <c r="W64" s="5">
        <f>IF(OR('99_Dashboard'!$B$5="All", '99_Dashboard'!$B$5=D64), 1, 0)</f>
        <v>1</v>
      </c>
      <c r="X64" s="5">
        <f t="shared" si="6"/>
        <v>1</v>
      </c>
    </row>
    <row r="65" spans="1:24" x14ac:dyDescent="0.25">
      <c r="A65" s="5" t="s">
        <v>88</v>
      </c>
      <c r="B65" s="5" t="s">
        <v>19</v>
      </c>
      <c r="C65" s="5" t="s">
        <v>15</v>
      </c>
      <c r="D65" s="5" t="s">
        <v>16</v>
      </c>
      <c r="E65" s="7">
        <v>5296</v>
      </c>
      <c r="F65" s="7">
        <f>SUMIFS('02_Fills'!D:D, '02_Fills'!B:B, A65)</f>
        <v>5139</v>
      </c>
      <c r="G65" s="9">
        <f>SUMIFS('02_Fills'!H:H, '02_Fills'!B:B, A65)</f>
        <v>1004121.3300000001</v>
      </c>
      <c r="H65" s="8">
        <f t="shared" si="0"/>
        <v>195.39235843549329</v>
      </c>
      <c r="I65" s="9">
        <f>SUMIFS('02_Fills'!I:I, '02_Fills'!B:B, A65)</f>
        <v>8.4350907500000005</v>
      </c>
      <c r="J65" s="8">
        <f t="shared" si="1"/>
        <v>8.4004696424484868E-2</v>
      </c>
      <c r="K65" s="8">
        <f>VLOOKUP(A65, '01_Orders'!A:J, 10, FALSE)</f>
        <v>195.48522744704059</v>
      </c>
      <c r="L65" s="8">
        <f t="shared" si="2"/>
        <v>-4.7506920476869583</v>
      </c>
      <c r="M65" s="7">
        <f>SUMIFS('02_Fills'!D:D, '02_Fills'!B:B, A65, '02_Fills'!F:F, "LIT")</f>
        <v>1475</v>
      </c>
      <c r="N65" s="7">
        <f>SUMIFS('02_Fills'!D:D, '02_Fills'!B:B, A65, '02_Fills'!F:F, "DARK")</f>
        <v>542</v>
      </c>
      <c r="O65" s="7">
        <f>SUMIFS('02_Fills'!D:D, '02_Fills'!B:B, A65, '02_Fills'!F:F, "BLOCK")</f>
        <v>3122</v>
      </c>
      <c r="P65" s="10">
        <f t="shared" si="3"/>
        <v>0.28702082117143413</v>
      </c>
      <c r="Q65" s="10">
        <f t="shared" si="4"/>
        <v>0.10546798988129986</v>
      </c>
      <c r="R65" s="10">
        <f t="shared" si="5"/>
        <v>0.60751118894726597</v>
      </c>
      <c r="S65" s="8">
        <v>195.35310000000001</v>
      </c>
      <c r="T65" s="11">
        <v>-1.0063000000000001E-2</v>
      </c>
      <c r="U65" s="10">
        <v>0.45</v>
      </c>
      <c r="V65" s="5">
        <f>IF(OR('99_Dashboard'!$B$4="All", '99_Dashboard'!$B$4=B65), 1, 0)</f>
        <v>1</v>
      </c>
      <c r="W65" s="5">
        <f>IF(OR('99_Dashboard'!$B$5="All", '99_Dashboard'!$B$5=D65), 1, 0)</f>
        <v>1</v>
      </c>
      <c r="X65" s="5">
        <f t="shared" si="6"/>
        <v>1</v>
      </c>
    </row>
    <row r="66" spans="1:24" x14ac:dyDescent="0.25">
      <c r="A66" s="5" t="s">
        <v>89</v>
      </c>
      <c r="B66" s="5" t="s">
        <v>14</v>
      </c>
      <c r="C66" s="5" t="s">
        <v>15</v>
      </c>
      <c r="D66" s="5" t="s">
        <v>25</v>
      </c>
      <c r="E66" s="7">
        <v>11208</v>
      </c>
      <c r="F66" s="7">
        <f>SUMIFS('02_Fills'!D:D, '02_Fills'!B:B, A66)</f>
        <v>10555</v>
      </c>
      <c r="G66" s="9">
        <f>SUMIFS('02_Fills'!H:H, '02_Fills'!B:B, A66)</f>
        <v>1962823.14</v>
      </c>
      <c r="H66" s="8">
        <f t="shared" si="0"/>
        <v>185.96145333964944</v>
      </c>
      <c r="I66" s="9">
        <f>SUMIFS('02_Fills'!I:I, '02_Fills'!B:B, A66)</f>
        <v>23.717970300000005</v>
      </c>
      <c r="J66" s="8">
        <f t="shared" si="1"/>
        <v>0.12083600308482202</v>
      </c>
      <c r="K66" s="8">
        <f>VLOOKUP(A66, '01_Orders'!A:J, 10, FALSE)</f>
        <v>186.2853857611195</v>
      </c>
      <c r="L66" s="8">
        <f t="shared" si="2"/>
        <v>-17.389041021470781</v>
      </c>
      <c r="M66" s="7">
        <f>SUMIFS('02_Fills'!D:D, '02_Fills'!B:B, A66, '02_Fills'!F:F, "LIT")</f>
        <v>5777</v>
      </c>
      <c r="N66" s="7">
        <f>SUMIFS('02_Fills'!D:D, '02_Fills'!B:B, A66, '02_Fills'!F:F, "DARK")</f>
        <v>3400</v>
      </c>
      <c r="O66" s="7">
        <f>SUMIFS('02_Fills'!D:D, '02_Fills'!B:B, A66, '02_Fills'!F:F, "BLOCK")</f>
        <v>1378</v>
      </c>
      <c r="P66" s="10">
        <f t="shared" si="3"/>
        <v>0.5473235433443866</v>
      </c>
      <c r="Q66" s="10">
        <f t="shared" si="4"/>
        <v>0.32212221695878729</v>
      </c>
      <c r="R66" s="10">
        <f t="shared" si="5"/>
        <v>0.13055423969682614</v>
      </c>
      <c r="S66" s="8">
        <v>186.01439999999999</v>
      </c>
      <c r="T66" s="11">
        <v>-5.1219999999999998E-3</v>
      </c>
      <c r="U66" s="10">
        <v>0.35</v>
      </c>
      <c r="V66" s="5">
        <f>IF(OR('99_Dashboard'!$B$4="All", '99_Dashboard'!$B$4=B66), 1, 0)</f>
        <v>1</v>
      </c>
      <c r="W66" s="5">
        <f>IF(OR('99_Dashboard'!$B$5="All", '99_Dashboard'!$B$5=D66), 1, 0)</f>
        <v>1</v>
      </c>
      <c r="X66" s="5">
        <f t="shared" si="6"/>
        <v>1</v>
      </c>
    </row>
    <row r="67" spans="1:24" x14ac:dyDescent="0.25">
      <c r="A67" s="5" t="s">
        <v>90</v>
      </c>
      <c r="B67" s="5" t="s">
        <v>28</v>
      </c>
      <c r="C67" s="5" t="s">
        <v>15</v>
      </c>
      <c r="D67" s="5" t="s">
        <v>16</v>
      </c>
      <c r="E67" s="7">
        <v>7555</v>
      </c>
      <c r="F67" s="7">
        <f>SUMIFS('02_Fills'!D:D, '02_Fills'!B:B, A67)</f>
        <v>7538</v>
      </c>
      <c r="G67" s="9">
        <f>SUMIFS('02_Fills'!H:H, '02_Fills'!B:B, A67)</f>
        <v>3124407.1700000004</v>
      </c>
      <c r="H67" s="8">
        <f t="shared" ref="H67:H121" si="7">IF(F67&gt;0, G67/F67, 0)</f>
        <v>414.48755240116748</v>
      </c>
      <c r="I67" s="9">
        <f>SUMIFS('02_Fills'!I:I, '02_Fills'!B:B, A67)</f>
        <v>46.866107550000002</v>
      </c>
      <c r="J67" s="8">
        <f t="shared" ref="J67:J121" si="8">IF(G67&gt;0, (I67/G67)*10000, 0)</f>
        <v>0.15</v>
      </c>
      <c r="K67" s="8">
        <f>VLOOKUP(A67, '01_Orders'!A:J, 10, FALSE)</f>
        <v>414.5596728754652</v>
      </c>
      <c r="L67" s="8">
        <f t="shared" ref="L67:L121" si="9">IF(AND(K67&lt;&gt;"", H67&gt;0), IF(C67="BUY", (H67-K67)/K67*10000, (K67-H67)/K67*10000), "")</f>
        <v>-1.7396886146083115</v>
      </c>
      <c r="M67" s="7">
        <f>SUMIFS('02_Fills'!D:D, '02_Fills'!B:B, A67, '02_Fills'!F:F, "LIT")</f>
        <v>7538</v>
      </c>
      <c r="N67" s="7">
        <f>SUMIFS('02_Fills'!D:D, '02_Fills'!B:B, A67, '02_Fills'!F:F, "DARK")</f>
        <v>0</v>
      </c>
      <c r="O67" s="7">
        <f>SUMIFS('02_Fills'!D:D, '02_Fills'!B:B, A67, '02_Fills'!F:F, "BLOCK")</f>
        <v>0</v>
      </c>
      <c r="P67" s="10">
        <f t="shared" ref="P67:P121" si="10">IF(F67&gt;0, M67/F67, 0)</f>
        <v>1</v>
      </c>
      <c r="Q67" s="10">
        <f t="shared" ref="Q67:Q121" si="11">IF(F67&gt;0, N67/F67, 0)</f>
        <v>0</v>
      </c>
      <c r="R67" s="10">
        <f t="shared" ref="R67:R121" si="12">IF(F67&gt;0, O67/F67, 0)</f>
        <v>0</v>
      </c>
      <c r="S67" s="8">
        <v>414.43029999999999</v>
      </c>
      <c r="T67" s="11">
        <v>8.8859999999999998E-3</v>
      </c>
      <c r="U67" s="10">
        <v>0.45</v>
      </c>
      <c r="V67" s="5">
        <f>IF(OR('99_Dashboard'!$B$4="All", '99_Dashboard'!$B$4=B67), 1, 0)</f>
        <v>1</v>
      </c>
      <c r="W67" s="5">
        <f>IF(OR('99_Dashboard'!$B$5="All", '99_Dashboard'!$B$5=D67), 1, 0)</f>
        <v>1</v>
      </c>
      <c r="X67" s="5">
        <f t="shared" ref="X67:X121" si="13">V67 * W67</f>
        <v>1</v>
      </c>
    </row>
    <row r="68" spans="1:24" x14ac:dyDescent="0.25">
      <c r="A68" s="5" t="s">
        <v>91</v>
      </c>
      <c r="B68" s="5" t="s">
        <v>14</v>
      </c>
      <c r="C68" s="5" t="s">
        <v>15</v>
      </c>
      <c r="D68" s="5" t="s">
        <v>16</v>
      </c>
      <c r="E68" s="7">
        <v>4329</v>
      </c>
      <c r="F68" s="7">
        <f>SUMIFS('02_Fills'!D:D, '02_Fills'!B:B, A68)</f>
        <v>4165</v>
      </c>
      <c r="G68" s="9">
        <f>SUMIFS('02_Fills'!H:H, '02_Fills'!B:B, A68)</f>
        <v>773483.5</v>
      </c>
      <c r="H68" s="8">
        <f t="shared" si="7"/>
        <v>185.71032412965187</v>
      </c>
      <c r="I68" s="9">
        <f>SUMIFS('02_Fills'!I:I, '02_Fills'!B:B, A68)</f>
        <v>3.9546118999999997</v>
      </c>
      <c r="J68" s="8">
        <f t="shared" si="8"/>
        <v>5.1127294893814797E-2</v>
      </c>
      <c r="K68" s="8">
        <f>VLOOKUP(A68, '01_Orders'!A:J, 10, FALSE)</f>
        <v>185.31146880643311</v>
      </c>
      <c r="L68" s="8">
        <f t="shared" si="9"/>
        <v>21.523509893247788</v>
      </c>
      <c r="M68" s="7">
        <f>SUMIFS('02_Fills'!D:D, '02_Fills'!B:B, A68, '02_Fills'!F:F, "LIT")</f>
        <v>0</v>
      </c>
      <c r="N68" s="7">
        <f>SUMIFS('02_Fills'!D:D, '02_Fills'!B:B, A68, '02_Fills'!F:F, "DARK")</f>
        <v>94</v>
      </c>
      <c r="O68" s="7">
        <f>SUMIFS('02_Fills'!D:D, '02_Fills'!B:B, A68, '02_Fills'!F:F, "BLOCK")</f>
        <v>4071</v>
      </c>
      <c r="P68" s="10">
        <f t="shared" si="10"/>
        <v>0</v>
      </c>
      <c r="Q68" s="10">
        <f t="shared" si="11"/>
        <v>2.2569027611044418E-2</v>
      </c>
      <c r="R68" s="10">
        <f t="shared" si="12"/>
        <v>0.9774309723889556</v>
      </c>
      <c r="S68" s="8">
        <v>185.29759999999999</v>
      </c>
      <c r="T68" s="11">
        <v>-2.0209999999999998E-3</v>
      </c>
      <c r="U68" s="10">
        <v>0.45</v>
      </c>
      <c r="V68" s="5">
        <f>IF(OR('99_Dashboard'!$B$4="All", '99_Dashboard'!$B$4=B68), 1, 0)</f>
        <v>1</v>
      </c>
      <c r="W68" s="5">
        <f>IF(OR('99_Dashboard'!$B$5="All", '99_Dashboard'!$B$5=D68), 1, 0)</f>
        <v>1</v>
      </c>
      <c r="X68" s="5">
        <f t="shared" si="13"/>
        <v>1</v>
      </c>
    </row>
    <row r="69" spans="1:24" x14ac:dyDescent="0.25">
      <c r="A69" s="5" t="s">
        <v>92</v>
      </c>
      <c r="B69" s="5" t="s">
        <v>19</v>
      </c>
      <c r="C69" s="5" t="s">
        <v>15</v>
      </c>
      <c r="D69" s="5" t="s">
        <v>16</v>
      </c>
      <c r="E69" s="7">
        <v>5600</v>
      </c>
      <c r="F69" s="7">
        <f>SUMIFS('02_Fills'!D:D, '02_Fills'!B:B, A69)</f>
        <v>5479</v>
      </c>
      <c r="G69" s="9">
        <f>SUMIFS('02_Fills'!H:H, '02_Fills'!B:B, A69)</f>
        <v>1056377.1300000001</v>
      </c>
      <c r="H69" s="8">
        <f t="shared" si="7"/>
        <v>192.8047326154408</v>
      </c>
      <c r="I69" s="9">
        <f>SUMIFS('02_Fills'!I:I, '02_Fills'!B:B, A69)</f>
        <v>7.7182514500000003</v>
      </c>
      <c r="J69" s="8">
        <f t="shared" si="8"/>
        <v>7.3063409182287015E-2</v>
      </c>
      <c r="K69" s="8">
        <f>VLOOKUP(A69, '01_Orders'!A:J, 10, FALSE)</f>
        <v>193.01897481680371</v>
      </c>
      <c r="L69" s="8">
        <f t="shared" si="9"/>
        <v>-11.099540942347598</v>
      </c>
      <c r="M69" s="7">
        <f>SUMIFS('02_Fills'!D:D, '02_Fills'!B:B, A69, '02_Fills'!F:F, "LIT")</f>
        <v>907</v>
      </c>
      <c r="N69" s="7">
        <f>SUMIFS('02_Fills'!D:D, '02_Fills'!B:B, A69, '02_Fills'!F:F, "DARK")</f>
        <v>710</v>
      </c>
      <c r="O69" s="7">
        <f>SUMIFS('02_Fills'!D:D, '02_Fills'!B:B, A69, '02_Fills'!F:F, "BLOCK")</f>
        <v>3862</v>
      </c>
      <c r="P69" s="10">
        <f t="shared" si="10"/>
        <v>0.1655411571454645</v>
      </c>
      <c r="Q69" s="10">
        <f t="shared" si="11"/>
        <v>0.12958569081949262</v>
      </c>
      <c r="R69" s="10">
        <f t="shared" si="12"/>
        <v>0.70487315203504286</v>
      </c>
      <c r="S69" s="8">
        <v>192.9068</v>
      </c>
      <c r="T69" s="11">
        <v>-4.052E-3</v>
      </c>
      <c r="U69" s="10">
        <v>0.45</v>
      </c>
      <c r="V69" s="5">
        <f>IF(OR('99_Dashboard'!$B$4="All", '99_Dashboard'!$B$4=B69), 1, 0)</f>
        <v>1</v>
      </c>
      <c r="W69" s="5">
        <f>IF(OR('99_Dashboard'!$B$5="All", '99_Dashboard'!$B$5=D69), 1, 0)</f>
        <v>1</v>
      </c>
      <c r="X69" s="5">
        <f t="shared" si="13"/>
        <v>1</v>
      </c>
    </row>
    <row r="70" spans="1:24" x14ac:dyDescent="0.25">
      <c r="A70" s="5" t="s">
        <v>93</v>
      </c>
      <c r="B70" s="5" t="s">
        <v>28</v>
      </c>
      <c r="C70" s="5" t="s">
        <v>20</v>
      </c>
      <c r="D70" s="5" t="s">
        <v>22</v>
      </c>
      <c r="E70" s="7">
        <v>18586</v>
      </c>
      <c r="F70" s="7">
        <f>SUMIFS('02_Fills'!D:D, '02_Fills'!B:B, A70)</f>
        <v>18479</v>
      </c>
      <c r="G70" s="9">
        <f>SUMIFS('02_Fills'!H:H, '02_Fills'!B:B, A70)</f>
        <v>7813827.5099999998</v>
      </c>
      <c r="H70" s="8">
        <f t="shared" si="7"/>
        <v>422.84904540288977</v>
      </c>
      <c r="I70" s="9">
        <f>SUMIFS('02_Fills'!I:I, '02_Fills'!B:B, A70)</f>
        <v>95.959432250000006</v>
      </c>
      <c r="J70" s="8">
        <f t="shared" si="8"/>
        <v>0.12280720572241043</v>
      </c>
      <c r="K70" s="8">
        <f>VLOOKUP(A70, '01_Orders'!A:J, 10, FALSE)</f>
        <v>422.59079833986328</v>
      </c>
      <c r="L70" s="8">
        <f t="shared" si="9"/>
        <v>-6.1110432134586139</v>
      </c>
      <c r="M70" s="7">
        <f>SUMIFS('02_Fills'!D:D, '02_Fills'!B:B, A70, '02_Fills'!F:F, "LIT")</f>
        <v>11007</v>
      </c>
      <c r="N70" s="7">
        <f>SUMIFS('02_Fills'!D:D, '02_Fills'!B:B, A70, '02_Fills'!F:F, "DARK")</f>
        <v>4908</v>
      </c>
      <c r="O70" s="7">
        <f>SUMIFS('02_Fills'!D:D, '02_Fills'!B:B, A70, '02_Fills'!F:F, "BLOCK")</f>
        <v>2564</v>
      </c>
      <c r="P70" s="10">
        <f t="shared" si="10"/>
        <v>0.59564911521186215</v>
      </c>
      <c r="Q70" s="10">
        <f t="shared" si="11"/>
        <v>0.26559878781319335</v>
      </c>
      <c r="R70" s="10">
        <f t="shared" si="12"/>
        <v>0.13875209697494453</v>
      </c>
      <c r="S70" s="8">
        <v>423.19749999999999</v>
      </c>
      <c r="T70" s="11">
        <v>-8.6700000000000004E-4</v>
      </c>
      <c r="U70" s="10">
        <v>0.15</v>
      </c>
      <c r="V70" s="5">
        <f>IF(OR('99_Dashboard'!$B$4="All", '99_Dashboard'!$B$4=B70), 1, 0)</f>
        <v>1</v>
      </c>
      <c r="W70" s="5">
        <f>IF(OR('99_Dashboard'!$B$5="All", '99_Dashboard'!$B$5=D70), 1, 0)</f>
        <v>1</v>
      </c>
      <c r="X70" s="5">
        <f t="shared" si="13"/>
        <v>1</v>
      </c>
    </row>
    <row r="71" spans="1:24" x14ac:dyDescent="0.25">
      <c r="A71" s="5" t="s">
        <v>94</v>
      </c>
      <c r="B71" s="5" t="s">
        <v>24</v>
      </c>
      <c r="C71" s="5" t="s">
        <v>15</v>
      </c>
      <c r="D71" s="5" t="s">
        <v>25</v>
      </c>
      <c r="E71" s="7">
        <v>9719</v>
      </c>
      <c r="F71" s="7">
        <f>SUMIFS('02_Fills'!D:D, '02_Fills'!B:B, A71)</f>
        <v>9576</v>
      </c>
      <c r="G71" s="9">
        <f>SUMIFS('02_Fills'!H:H, '02_Fills'!B:B, A71)</f>
        <v>2379584.5099999998</v>
      </c>
      <c r="H71" s="8">
        <f t="shared" si="7"/>
        <v>248.494623015873</v>
      </c>
      <c r="I71" s="9">
        <f>SUMIFS('02_Fills'!I:I, '02_Fills'!B:B, A71)</f>
        <v>22.713430299999999</v>
      </c>
      <c r="J71" s="8">
        <f t="shared" si="8"/>
        <v>9.5451244553613285E-2</v>
      </c>
      <c r="K71" s="8">
        <f>VLOOKUP(A71, '01_Orders'!A:J, 10, FALSE)</f>
        <v>248.0520684550678</v>
      </c>
      <c r="L71" s="8">
        <f t="shared" si="9"/>
        <v>17.841196147306896</v>
      </c>
      <c r="M71" s="7">
        <f>SUMIFS('02_Fills'!D:D, '02_Fills'!B:B, A71, '02_Fills'!F:F, "LIT")</f>
        <v>302</v>
      </c>
      <c r="N71" s="7">
        <f>SUMIFS('02_Fills'!D:D, '02_Fills'!B:B, A71, '02_Fills'!F:F, "DARK")</f>
        <v>8099</v>
      </c>
      <c r="O71" s="7">
        <f>SUMIFS('02_Fills'!D:D, '02_Fills'!B:B, A71, '02_Fills'!F:F, "BLOCK")</f>
        <v>1175</v>
      </c>
      <c r="P71" s="10">
        <f t="shared" si="10"/>
        <v>3.1537176274018378E-2</v>
      </c>
      <c r="Q71" s="10">
        <f t="shared" si="11"/>
        <v>0.8457602339181286</v>
      </c>
      <c r="R71" s="10">
        <f t="shared" si="12"/>
        <v>0.12270258980785297</v>
      </c>
      <c r="S71" s="8">
        <v>248.36949999999999</v>
      </c>
      <c r="T71" s="11">
        <v>5.8300000000000001E-3</v>
      </c>
      <c r="U71" s="10">
        <v>0.35</v>
      </c>
      <c r="V71" s="5">
        <f>IF(OR('99_Dashboard'!$B$4="All", '99_Dashboard'!$B$4=B71), 1, 0)</f>
        <v>1</v>
      </c>
      <c r="W71" s="5">
        <f>IF(OR('99_Dashboard'!$B$5="All", '99_Dashboard'!$B$5=D71), 1, 0)</f>
        <v>1</v>
      </c>
      <c r="X71" s="5">
        <f t="shared" si="13"/>
        <v>1</v>
      </c>
    </row>
    <row r="72" spans="1:24" x14ac:dyDescent="0.25">
      <c r="A72" s="5" t="s">
        <v>95</v>
      </c>
      <c r="B72" s="5" t="s">
        <v>28</v>
      </c>
      <c r="C72" s="5" t="s">
        <v>15</v>
      </c>
      <c r="D72" s="5" t="s">
        <v>22</v>
      </c>
      <c r="E72" s="7">
        <v>9921</v>
      </c>
      <c r="F72" s="7">
        <f>SUMIFS('02_Fills'!D:D, '02_Fills'!B:B, A72)</f>
        <v>9557</v>
      </c>
      <c r="G72" s="9">
        <f>SUMIFS('02_Fills'!H:H, '02_Fills'!B:B, A72)</f>
        <v>4051222.1300000004</v>
      </c>
      <c r="H72" s="8">
        <f t="shared" si="7"/>
        <v>423.90102856544945</v>
      </c>
      <c r="I72" s="9">
        <f>SUMIFS('02_Fills'!I:I, '02_Fills'!B:B, A72)</f>
        <v>49.545539650000002</v>
      </c>
      <c r="J72" s="8">
        <f t="shared" si="8"/>
        <v>0.12229776116966462</v>
      </c>
      <c r="K72" s="8">
        <f>VLOOKUP(A72, '01_Orders'!A:J, 10, FALSE)</f>
        <v>423.74011114463389</v>
      </c>
      <c r="L72" s="8">
        <f t="shared" si="9"/>
        <v>3.7975498798281002</v>
      </c>
      <c r="M72" s="7">
        <f>SUMIFS('02_Fills'!D:D, '02_Fills'!B:B, A72, '02_Fills'!F:F, "LIT")</f>
        <v>4262</v>
      </c>
      <c r="N72" s="7">
        <f>SUMIFS('02_Fills'!D:D, '02_Fills'!B:B, A72, '02_Fills'!F:F, "DARK")</f>
        <v>5295</v>
      </c>
      <c r="O72" s="7">
        <f>SUMIFS('02_Fills'!D:D, '02_Fills'!B:B, A72, '02_Fills'!F:F, "BLOCK")</f>
        <v>0</v>
      </c>
      <c r="P72" s="10">
        <f t="shared" si="10"/>
        <v>0.44595584388406406</v>
      </c>
      <c r="Q72" s="10">
        <f t="shared" si="11"/>
        <v>0.55404415611593594</v>
      </c>
      <c r="R72" s="10">
        <f t="shared" si="12"/>
        <v>0</v>
      </c>
      <c r="S72" s="8">
        <v>423.86919999999998</v>
      </c>
      <c r="T72" s="11">
        <v>-2.2439999999999999E-3</v>
      </c>
      <c r="U72" s="10">
        <v>0.2</v>
      </c>
      <c r="V72" s="5">
        <f>IF(OR('99_Dashboard'!$B$4="All", '99_Dashboard'!$B$4=B72), 1, 0)</f>
        <v>1</v>
      </c>
      <c r="W72" s="5">
        <f>IF(OR('99_Dashboard'!$B$5="All", '99_Dashboard'!$B$5=D72), 1, 0)</f>
        <v>1</v>
      </c>
      <c r="X72" s="5">
        <f t="shared" si="13"/>
        <v>1</v>
      </c>
    </row>
    <row r="73" spans="1:24" x14ac:dyDescent="0.25">
      <c r="A73" s="5" t="s">
        <v>96</v>
      </c>
      <c r="B73" s="5" t="s">
        <v>14</v>
      </c>
      <c r="C73" s="5" t="s">
        <v>20</v>
      </c>
      <c r="D73" s="5" t="s">
        <v>16</v>
      </c>
      <c r="E73" s="7">
        <v>7312</v>
      </c>
      <c r="F73" s="7">
        <f>SUMIFS('02_Fills'!D:D, '02_Fills'!B:B, A73)</f>
        <v>6907</v>
      </c>
      <c r="G73" s="9">
        <f>SUMIFS('02_Fills'!H:H, '02_Fills'!B:B, A73)</f>
        <v>1279141.1499999999</v>
      </c>
      <c r="H73" s="8">
        <f t="shared" si="7"/>
        <v>185.19489648183</v>
      </c>
      <c r="I73" s="9">
        <f>SUMIFS('02_Fills'!I:I, '02_Fills'!B:B, A73)</f>
        <v>15.171461100000002</v>
      </c>
      <c r="J73" s="8">
        <f t="shared" si="8"/>
        <v>0.11860662210734134</v>
      </c>
      <c r="K73" s="8">
        <f>VLOOKUP(A73, '01_Orders'!A:J, 10, FALSE)</f>
        <v>185.08029715369119</v>
      </c>
      <c r="L73" s="8">
        <f t="shared" si="9"/>
        <v>-6.1918707664298323</v>
      </c>
      <c r="M73" s="7">
        <f>SUMIFS('02_Fills'!D:D, '02_Fills'!B:B, A73, '02_Fills'!F:F, "LIT")</f>
        <v>4024</v>
      </c>
      <c r="N73" s="7">
        <f>SUMIFS('02_Fills'!D:D, '02_Fills'!B:B, A73, '02_Fills'!F:F, "DARK")</f>
        <v>1435</v>
      </c>
      <c r="O73" s="7">
        <f>SUMIFS('02_Fills'!D:D, '02_Fills'!B:B, A73, '02_Fills'!F:F, "BLOCK")</f>
        <v>1448</v>
      </c>
      <c r="P73" s="10">
        <f t="shared" si="10"/>
        <v>0.58259736499203707</v>
      </c>
      <c r="Q73" s="10">
        <f t="shared" si="11"/>
        <v>0.20776024323150427</v>
      </c>
      <c r="R73" s="10">
        <f t="shared" si="12"/>
        <v>0.20964239177645866</v>
      </c>
      <c r="S73" s="8">
        <v>185.376</v>
      </c>
      <c r="T73" s="11">
        <v>3.7910000000000001E-3</v>
      </c>
      <c r="U73" s="10">
        <v>0.45</v>
      </c>
      <c r="V73" s="5">
        <f>IF(OR('99_Dashboard'!$B$4="All", '99_Dashboard'!$B$4=B73), 1, 0)</f>
        <v>1</v>
      </c>
      <c r="W73" s="5">
        <f>IF(OR('99_Dashboard'!$B$5="All", '99_Dashboard'!$B$5=D73), 1, 0)</f>
        <v>1</v>
      </c>
      <c r="X73" s="5">
        <f t="shared" si="13"/>
        <v>1</v>
      </c>
    </row>
    <row r="74" spans="1:24" x14ac:dyDescent="0.25">
      <c r="A74" s="5" t="s">
        <v>97</v>
      </c>
      <c r="B74" s="5" t="s">
        <v>14</v>
      </c>
      <c r="C74" s="5" t="s">
        <v>20</v>
      </c>
      <c r="D74" s="5" t="s">
        <v>16</v>
      </c>
      <c r="E74" s="7">
        <v>3905</v>
      </c>
      <c r="F74" s="7">
        <f>SUMIFS('02_Fills'!D:D, '02_Fills'!B:B, A74)</f>
        <v>3782</v>
      </c>
      <c r="G74" s="9">
        <f>SUMIFS('02_Fills'!H:H, '02_Fills'!B:B, A74)</f>
        <v>703345.27</v>
      </c>
      <c r="H74" s="8">
        <f t="shared" si="7"/>
        <v>185.9717794817557</v>
      </c>
      <c r="I74" s="9">
        <f>SUMIFS('02_Fills'!I:I, '02_Fills'!B:B, A74)</f>
        <v>8.7894319000000003</v>
      </c>
      <c r="J74" s="8">
        <f t="shared" si="8"/>
        <v>0.12496610519610092</v>
      </c>
      <c r="K74" s="8">
        <f>VLOOKUP(A74, '01_Orders'!A:J, 10, FALSE)</f>
        <v>186.00141819376029</v>
      </c>
      <c r="L74" s="8">
        <f t="shared" si="9"/>
        <v>1.5934669903273804</v>
      </c>
      <c r="M74" s="7">
        <f>SUMIFS('02_Fills'!D:D, '02_Fills'!B:B, A74, '02_Fills'!F:F, "LIT")</f>
        <v>2271</v>
      </c>
      <c r="N74" s="7">
        <f>SUMIFS('02_Fills'!D:D, '02_Fills'!B:B, A74, '02_Fills'!F:F, "DARK")</f>
        <v>1129</v>
      </c>
      <c r="O74" s="7">
        <f>SUMIFS('02_Fills'!D:D, '02_Fills'!B:B, A74, '02_Fills'!F:F, "BLOCK")</f>
        <v>382</v>
      </c>
      <c r="P74" s="10">
        <f t="shared" si="10"/>
        <v>0.60047593865679538</v>
      </c>
      <c r="Q74" s="10">
        <f t="shared" si="11"/>
        <v>0.29851930195663667</v>
      </c>
      <c r="R74" s="10">
        <f t="shared" si="12"/>
        <v>0.10100475938656796</v>
      </c>
      <c r="S74" s="8">
        <v>185.9973</v>
      </c>
      <c r="T74" s="11">
        <v>-6.1419999999999999E-3</v>
      </c>
      <c r="U74" s="10">
        <v>0.45</v>
      </c>
      <c r="V74" s="5">
        <f>IF(OR('99_Dashboard'!$B$4="All", '99_Dashboard'!$B$4=B74), 1, 0)</f>
        <v>1</v>
      </c>
      <c r="W74" s="5">
        <f>IF(OR('99_Dashboard'!$B$5="All", '99_Dashboard'!$B$5=D74), 1, 0)</f>
        <v>1</v>
      </c>
      <c r="X74" s="5">
        <f t="shared" si="13"/>
        <v>1</v>
      </c>
    </row>
    <row r="75" spans="1:24" x14ac:dyDescent="0.25">
      <c r="A75" s="5" t="s">
        <v>98</v>
      </c>
      <c r="B75" s="5" t="s">
        <v>14</v>
      </c>
      <c r="C75" s="5" t="s">
        <v>20</v>
      </c>
      <c r="D75" s="5" t="s">
        <v>25</v>
      </c>
      <c r="E75" s="7">
        <v>15641</v>
      </c>
      <c r="F75" s="7">
        <f>SUMIFS('02_Fills'!D:D, '02_Fills'!B:B, A75)</f>
        <v>15457</v>
      </c>
      <c r="G75" s="9">
        <f>SUMIFS('02_Fills'!H:H, '02_Fills'!B:B, A75)</f>
        <v>2859024.76</v>
      </c>
      <c r="H75" s="8">
        <f t="shared" si="7"/>
        <v>184.96634275732677</v>
      </c>
      <c r="I75" s="9">
        <f>SUMIFS('02_Fills'!I:I, '02_Fills'!B:B, A75)</f>
        <v>42.885371399999997</v>
      </c>
      <c r="J75" s="8">
        <f t="shared" si="8"/>
        <v>0.15</v>
      </c>
      <c r="K75" s="8">
        <f>VLOOKUP(A75, '01_Orders'!A:J, 10, FALSE)</f>
        <v>185.15528845340199</v>
      </c>
      <c r="L75" s="8">
        <f t="shared" si="9"/>
        <v>10.204715061259222</v>
      </c>
      <c r="M75" s="7">
        <f>SUMIFS('02_Fills'!D:D, '02_Fills'!B:B, A75, '02_Fills'!F:F, "LIT")</f>
        <v>15457</v>
      </c>
      <c r="N75" s="7">
        <f>SUMIFS('02_Fills'!D:D, '02_Fills'!B:B, A75, '02_Fills'!F:F, "DARK")</f>
        <v>0</v>
      </c>
      <c r="O75" s="7">
        <f>SUMIFS('02_Fills'!D:D, '02_Fills'!B:B, A75, '02_Fills'!F:F, "BLOCK")</f>
        <v>0</v>
      </c>
      <c r="P75" s="10">
        <f t="shared" si="10"/>
        <v>1</v>
      </c>
      <c r="Q75" s="10">
        <f t="shared" si="11"/>
        <v>0</v>
      </c>
      <c r="R75" s="10">
        <f t="shared" si="12"/>
        <v>0</v>
      </c>
      <c r="S75" s="8">
        <v>185.14150000000001</v>
      </c>
      <c r="T75" s="11">
        <v>1.516E-3</v>
      </c>
      <c r="U75" s="10">
        <v>0.25</v>
      </c>
      <c r="V75" s="5">
        <f>IF(OR('99_Dashboard'!$B$4="All", '99_Dashboard'!$B$4=B75), 1, 0)</f>
        <v>1</v>
      </c>
      <c r="W75" s="5">
        <f>IF(OR('99_Dashboard'!$B$5="All", '99_Dashboard'!$B$5=D75), 1, 0)</f>
        <v>1</v>
      </c>
      <c r="X75" s="5">
        <f t="shared" si="13"/>
        <v>1</v>
      </c>
    </row>
    <row r="76" spans="1:24" x14ac:dyDescent="0.25">
      <c r="A76" s="5" t="s">
        <v>99</v>
      </c>
      <c r="B76" s="5" t="s">
        <v>24</v>
      </c>
      <c r="C76" s="5" t="s">
        <v>20</v>
      </c>
      <c r="D76" s="5" t="s">
        <v>22</v>
      </c>
      <c r="E76" s="7">
        <v>12648</v>
      </c>
      <c r="F76" s="7">
        <f>SUMIFS('02_Fills'!D:D, '02_Fills'!B:B, A76)</f>
        <v>12522</v>
      </c>
      <c r="G76" s="9">
        <f>SUMIFS('02_Fills'!H:H, '02_Fills'!B:B, A76)</f>
        <v>3057408.38</v>
      </c>
      <c r="H76" s="8">
        <f t="shared" si="7"/>
        <v>244.16294361923013</v>
      </c>
      <c r="I76" s="9">
        <f>SUMIFS('02_Fills'!I:I, '02_Fills'!B:B, A76)</f>
        <v>38.132300099999995</v>
      </c>
      <c r="J76" s="8">
        <f t="shared" si="8"/>
        <v>0.12472099033103322</v>
      </c>
      <c r="K76" s="8">
        <f>VLOOKUP(A76, '01_Orders'!A:J, 10, FALSE)</f>
        <v>245.0299502617944</v>
      </c>
      <c r="L76" s="8">
        <f t="shared" si="9"/>
        <v>35.38370071242057</v>
      </c>
      <c r="M76" s="7">
        <f>SUMIFS('02_Fills'!D:D, '02_Fills'!B:B, A76, '02_Fills'!F:F, "LIT")</f>
        <v>9256</v>
      </c>
      <c r="N76" s="7">
        <f>SUMIFS('02_Fills'!D:D, '02_Fills'!B:B, A76, '02_Fills'!F:F, "DARK")</f>
        <v>202</v>
      </c>
      <c r="O76" s="7">
        <f>SUMIFS('02_Fills'!D:D, '02_Fills'!B:B, A76, '02_Fills'!F:F, "BLOCK")</f>
        <v>3064</v>
      </c>
      <c r="P76" s="10">
        <f t="shared" si="10"/>
        <v>0.73917904488100938</v>
      </c>
      <c r="Q76" s="10">
        <f t="shared" si="11"/>
        <v>1.6131608369270085E-2</v>
      </c>
      <c r="R76" s="10">
        <f t="shared" si="12"/>
        <v>0.24468934674972048</v>
      </c>
      <c r="S76" s="8">
        <v>244.50550000000001</v>
      </c>
      <c r="T76" s="11">
        <v>-5.476E-3</v>
      </c>
      <c r="U76" s="10">
        <v>0.2</v>
      </c>
      <c r="V76" s="5">
        <f>IF(OR('99_Dashboard'!$B$4="All", '99_Dashboard'!$B$4=B76), 1, 0)</f>
        <v>1</v>
      </c>
      <c r="W76" s="5">
        <f>IF(OR('99_Dashboard'!$B$5="All", '99_Dashboard'!$B$5=D76), 1, 0)</f>
        <v>1</v>
      </c>
      <c r="X76" s="5">
        <f t="shared" si="13"/>
        <v>1</v>
      </c>
    </row>
    <row r="77" spans="1:24" x14ac:dyDescent="0.25">
      <c r="A77" s="5" t="s">
        <v>100</v>
      </c>
      <c r="B77" s="5" t="s">
        <v>28</v>
      </c>
      <c r="C77" s="5" t="s">
        <v>20</v>
      </c>
      <c r="D77" s="5" t="s">
        <v>16</v>
      </c>
      <c r="E77" s="7">
        <v>5437</v>
      </c>
      <c r="F77" s="7">
        <f>SUMIFS('02_Fills'!D:D, '02_Fills'!B:B, A77)</f>
        <v>5129</v>
      </c>
      <c r="G77" s="9">
        <f>SUMIFS('02_Fills'!H:H, '02_Fills'!B:B, A77)</f>
        <v>2132163.16</v>
      </c>
      <c r="H77" s="8">
        <f t="shared" si="7"/>
        <v>415.70738155585889</v>
      </c>
      <c r="I77" s="9">
        <f>SUMIFS('02_Fills'!I:I, '02_Fills'!B:B, A77)</f>
        <v>23.878572199999997</v>
      </c>
      <c r="J77" s="8">
        <f t="shared" si="8"/>
        <v>0.11199223702936502</v>
      </c>
      <c r="K77" s="8">
        <f>VLOOKUP(A77, '01_Orders'!A:J, 10, FALSE)</f>
        <v>414.44813846502961</v>
      </c>
      <c r="L77" s="8">
        <f t="shared" si="9"/>
        <v>-30.38361073337347</v>
      </c>
      <c r="M77" s="7">
        <f>SUMIFS('02_Fills'!D:D, '02_Fills'!B:B, A77, '02_Fills'!F:F, "LIT")</f>
        <v>3181</v>
      </c>
      <c r="N77" s="7">
        <f>SUMIFS('02_Fills'!D:D, '02_Fills'!B:B, A77, '02_Fills'!F:F, "DARK")</f>
        <v>0</v>
      </c>
      <c r="O77" s="7">
        <f>SUMIFS('02_Fills'!D:D, '02_Fills'!B:B, A77, '02_Fills'!F:F, "BLOCK")</f>
        <v>1948</v>
      </c>
      <c r="P77" s="10">
        <f t="shared" si="10"/>
        <v>0.62019886917527778</v>
      </c>
      <c r="Q77" s="10">
        <f t="shared" si="11"/>
        <v>0</v>
      </c>
      <c r="R77" s="10">
        <f t="shared" si="12"/>
        <v>0.37980113082472217</v>
      </c>
      <c r="S77" s="8">
        <v>416.16609999999997</v>
      </c>
      <c r="T77" s="11">
        <v>6.7910000000000002E-3</v>
      </c>
      <c r="U77" s="10">
        <v>0.45</v>
      </c>
      <c r="V77" s="5">
        <f>IF(OR('99_Dashboard'!$B$4="All", '99_Dashboard'!$B$4=B77), 1, 0)</f>
        <v>1</v>
      </c>
      <c r="W77" s="5">
        <f>IF(OR('99_Dashboard'!$B$5="All", '99_Dashboard'!$B$5=D77), 1, 0)</f>
        <v>1</v>
      </c>
      <c r="X77" s="5">
        <f t="shared" si="13"/>
        <v>1</v>
      </c>
    </row>
    <row r="78" spans="1:24" x14ac:dyDescent="0.25">
      <c r="A78" s="5" t="s">
        <v>101</v>
      </c>
      <c r="B78" s="5" t="s">
        <v>28</v>
      </c>
      <c r="C78" s="5" t="s">
        <v>20</v>
      </c>
      <c r="D78" s="5" t="s">
        <v>16</v>
      </c>
      <c r="E78" s="7">
        <v>6987</v>
      </c>
      <c r="F78" s="7">
        <f>SUMIFS('02_Fills'!D:D, '02_Fills'!B:B, A78)</f>
        <v>6788</v>
      </c>
      <c r="G78" s="9">
        <f>SUMIFS('02_Fills'!H:H, '02_Fills'!B:B, A78)</f>
        <v>2864694.4899999998</v>
      </c>
      <c r="H78" s="8">
        <f t="shared" si="7"/>
        <v>422.02334855627572</v>
      </c>
      <c r="I78" s="9">
        <f>SUMIFS('02_Fills'!I:I, '02_Fills'!B:B, A78)</f>
        <v>26.562938800000001</v>
      </c>
      <c r="J78" s="8">
        <f t="shared" si="8"/>
        <v>9.2725206449501718E-2</v>
      </c>
      <c r="K78" s="8">
        <f>VLOOKUP(A78, '01_Orders'!A:J, 10, FALSE)</f>
        <v>418.3979169146333</v>
      </c>
      <c r="L78" s="8">
        <f t="shared" si="9"/>
        <v>-86.65032723817616</v>
      </c>
      <c r="M78" s="7">
        <f>SUMIFS('02_Fills'!D:D, '02_Fills'!B:B, A78, '02_Fills'!F:F, "LIT")</f>
        <v>1927</v>
      </c>
      <c r="N78" s="7">
        <f>SUMIFS('02_Fills'!D:D, '02_Fills'!B:B, A78, '02_Fills'!F:F, "DARK")</f>
        <v>1961</v>
      </c>
      <c r="O78" s="7">
        <f>SUMIFS('02_Fills'!D:D, '02_Fills'!B:B, A78, '02_Fills'!F:F, "BLOCK")</f>
        <v>2900</v>
      </c>
      <c r="P78" s="10">
        <f t="shared" si="10"/>
        <v>0.28388332351208012</v>
      </c>
      <c r="Q78" s="10">
        <f t="shared" si="11"/>
        <v>0.28889216263995288</v>
      </c>
      <c r="R78" s="10">
        <f t="shared" si="12"/>
        <v>0.427224513847967</v>
      </c>
      <c r="S78" s="8">
        <v>422.11790000000002</v>
      </c>
      <c r="T78" s="11">
        <v>1.2505E-2</v>
      </c>
      <c r="U78" s="10">
        <v>0.45</v>
      </c>
      <c r="V78" s="5">
        <f>IF(OR('99_Dashboard'!$B$4="All", '99_Dashboard'!$B$4=B78), 1, 0)</f>
        <v>1</v>
      </c>
      <c r="W78" s="5">
        <f>IF(OR('99_Dashboard'!$B$5="All", '99_Dashboard'!$B$5=D78), 1, 0)</f>
        <v>1</v>
      </c>
      <c r="X78" s="5">
        <f t="shared" si="13"/>
        <v>1</v>
      </c>
    </row>
    <row r="79" spans="1:24" x14ac:dyDescent="0.25">
      <c r="A79" s="5" t="s">
        <v>102</v>
      </c>
      <c r="B79" s="5" t="s">
        <v>28</v>
      </c>
      <c r="C79" s="5" t="s">
        <v>20</v>
      </c>
      <c r="D79" s="5" t="s">
        <v>25</v>
      </c>
      <c r="E79" s="7">
        <v>8917</v>
      </c>
      <c r="F79" s="7">
        <f>SUMIFS('02_Fills'!D:D, '02_Fills'!B:B, A79)</f>
        <v>8703</v>
      </c>
      <c r="G79" s="9">
        <f>SUMIFS('02_Fills'!H:H, '02_Fills'!B:B, A79)</f>
        <v>3690443.9</v>
      </c>
      <c r="H79" s="8">
        <f t="shared" si="7"/>
        <v>424.0427323911295</v>
      </c>
      <c r="I79" s="9">
        <f>SUMIFS('02_Fills'!I:I, '02_Fills'!B:B, A79)</f>
        <v>35.675211399999995</v>
      </c>
      <c r="J79" s="8">
        <f t="shared" si="8"/>
        <v>9.6669160585261829E-2</v>
      </c>
      <c r="K79" s="8">
        <f>VLOOKUP(A79, '01_Orders'!A:J, 10, FALSE)</f>
        <v>424.81819877571729</v>
      </c>
      <c r="L79" s="8">
        <f t="shared" si="9"/>
        <v>18.25407637484934</v>
      </c>
      <c r="M79" s="7">
        <f>SUMIFS('02_Fills'!D:D, '02_Fills'!B:B, A79, '02_Fills'!F:F, "LIT")</f>
        <v>1758</v>
      </c>
      <c r="N79" s="7">
        <f>SUMIFS('02_Fills'!D:D, '02_Fills'!B:B, A79, '02_Fills'!F:F, "DARK")</f>
        <v>4609</v>
      </c>
      <c r="O79" s="7">
        <f>SUMIFS('02_Fills'!D:D, '02_Fills'!B:B, A79, '02_Fills'!F:F, "BLOCK")</f>
        <v>2336</v>
      </c>
      <c r="P79" s="10">
        <f t="shared" si="10"/>
        <v>0.20199931058255774</v>
      </c>
      <c r="Q79" s="10">
        <f t="shared" si="11"/>
        <v>0.52958749856371368</v>
      </c>
      <c r="R79" s="10">
        <f t="shared" si="12"/>
        <v>0.26841319085372861</v>
      </c>
      <c r="S79" s="8">
        <v>424.17009999999999</v>
      </c>
      <c r="T79" s="11">
        <v>-1.877E-3</v>
      </c>
      <c r="U79" s="10">
        <v>0.25</v>
      </c>
      <c r="V79" s="5">
        <f>IF(OR('99_Dashboard'!$B$4="All", '99_Dashboard'!$B$4=B79), 1, 0)</f>
        <v>1</v>
      </c>
      <c r="W79" s="5">
        <f>IF(OR('99_Dashboard'!$B$5="All", '99_Dashboard'!$B$5=D79), 1, 0)</f>
        <v>1</v>
      </c>
      <c r="X79" s="5">
        <f t="shared" si="13"/>
        <v>1</v>
      </c>
    </row>
    <row r="80" spans="1:24" x14ac:dyDescent="0.25">
      <c r="A80" s="5" t="s">
        <v>103</v>
      </c>
      <c r="B80" s="5" t="s">
        <v>28</v>
      </c>
      <c r="C80" s="5" t="s">
        <v>15</v>
      </c>
      <c r="D80" s="5" t="s">
        <v>22</v>
      </c>
      <c r="E80" s="7">
        <v>18601</v>
      </c>
      <c r="F80" s="7">
        <f>SUMIFS('02_Fills'!D:D, '02_Fills'!B:B, A80)</f>
        <v>18135</v>
      </c>
      <c r="G80" s="9">
        <f>SUMIFS('02_Fills'!H:H, '02_Fills'!B:B, A80)</f>
        <v>7587069.6200000001</v>
      </c>
      <c r="H80" s="8">
        <f t="shared" si="7"/>
        <v>418.36612186379926</v>
      </c>
      <c r="I80" s="9">
        <f>SUMIFS('02_Fills'!I:I, '02_Fills'!B:B, A80)</f>
        <v>110.83615499999999</v>
      </c>
      <c r="J80" s="8">
        <f t="shared" si="8"/>
        <v>0.14608559107962948</v>
      </c>
      <c r="K80" s="8">
        <f>VLOOKUP(A80, '01_Orders'!A:J, 10, FALSE)</f>
        <v>417.98222055630561</v>
      </c>
      <c r="L80" s="8">
        <f t="shared" si="9"/>
        <v>9.1846324703168598</v>
      </c>
      <c r="M80" s="7">
        <f>SUMIFS('02_Fills'!D:D, '02_Fills'!B:B, A80, '02_Fills'!F:F, "LIT")</f>
        <v>16714</v>
      </c>
      <c r="N80" s="7">
        <f>SUMIFS('02_Fills'!D:D, '02_Fills'!B:B, A80, '02_Fills'!F:F, "DARK")</f>
        <v>1421</v>
      </c>
      <c r="O80" s="7">
        <f>SUMIFS('02_Fills'!D:D, '02_Fills'!B:B, A80, '02_Fills'!F:F, "BLOCK")</f>
        <v>0</v>
      </c>
      <c r="P80" s="10">
        <f t="shared" si="10"/>
        <v>0.92164323132065062</v>
      </c>
      <c r="Q80" s="10">
        <f t="shared" si="11"/>
        <v>7.835676867934932E-2</v>
      </c>
      <c r="R80" s="10">
        <f t="shared" si="12"/>
        <v>0</v>
      </c>
      <c r="S80" s="8">
        <v>418.24200000000002</v>
      </c>
      <c r="T80" s="11">
        <v>-3.2499999999999999E-3</v>
      </c>
      <c r="U80" s="10">
        <v>0.2</v>
      </c>
      <c r="V80" s="5">
        <f>IF(OR('99_Dashboard'!$B$4="All", '99_Dashboard'!$B$4=B80), 1, 0)</f>
        <v>1</v>
      </c>
      <c r="W80" s="5">
        <f>IF(OR('99_Dashboard'!$B$5="All", '99_Dashboard'!$B$5=D80), 1, 0)</f>
        <v>1</v>
      </c>
      <c r="X80" s="5">
        <f t="shared" si="13"/>
        <v>1</v>
      </c>
    </row>
    <row r="81" spans="1:24" x14ac:dyDescent="0.25">
      <c r="A81" s="5" t="s">
        <v>104</v>
      </c>
      <c r="B81" s="5" t="s">
        <v>24</v>
      </c>
      <c r="C81" s="5" t="s">
        <v>20</v>
      </c>
      <c r="D81" s="5" t="s">
        <v>25</v>
      </c>
      <c r="E81" s="7">
        <v>7727</v>
      </c>
      <c r="F81" s="7">
        <f>SUMIFS('02_Fills'!D:D, '02_Fills'!B:B, A81)</f>
        <v>7394</v>
      </c>
      <c r="G81" s="9">
        <f>SUMIFS('02_Fills'!H:H, '02_Fills'!B:B, A81)</f>
        <v>1838936.68</v>
      </c>
      <c r="H81" s="8">
        <f t="shared" si="7"/>
        <v>248.70661076548552</v>
      </c>
      <c r="I81" s="9">
        <f>SUMIFS('02_Fills'!I:I, '02_Fills'!B:B, A81)</f>
        <v>26.396812100000002</v>
      </c>
      <c r="J81" s="8">
        <f t="shared" si="8"/>
        <v>0.14354388809080693</v>
      </c>
      <c r="K81" s="8">
        <f>VLOOKUP(A81, '01_Orders'!A:J, 10, FALSE)</f>
        <v>248.64083996776171</v>
      </c>
      <c r="L81" s="8">
        <f t="shared" si="9"/>
        <v>-2.6452129799892239</v>
      </c>
      <c r="M81" s="7">
        <f>SUMIFS('02_Fills'!D:D, '02_Fills'!B:B, A81, '02_Fills'!F:F, "LIT")</f>
        <v>6744</v>
      </c>
      <c r="N81" s="7">
        <f>SUMIFS('02_Fills'!D:D, '02_Fills'!B:B, A81, '02_Fills'!F:F, "DARK")</f>
        <v>343</v>
      </c>
      <c r="O81" s="7">
        <f>SUMIFS('02_Fills'!D:D, '02_Fills'!B:B, A81, '02_Fills'!F:F, "BLOCK")</f>
        <v>307</v>
      </c>
      <c r="P81" s="10">
        <f t="shared" si="10"/>
        <v>0.91209088450094666</v>
      </c>
      <c r="Q81" s="10">
        <f t="shared" si="11"/>
        <v>4.6388964024885043E-2</v>
      </c>
      <c r="R81" s="10">
        <f t="shared" si="12"/>
        <v>4.1520151474168245E-2</v>
      </c>
      <c r="S81" s="8">
        <v>248.2894</v>
      </c>
      <c r="T81" s="11">
        <v>3.431E-3</v>
      </c>
      <c r="U81" s="10">
        <v>0.35</v>
      </c>
      <c r="V81" s="5">
        <f>IF(OR('99_Dashboard'!$B$4="All", '99_Dashboard'!$B$4=B81), 1, 0)</f>
        <v>1</v>
      </c>
      <c r="W81" s="5">
        <f>IF(OR('99_Dashboard'!$B$5="All", '99_Dashboard'!$B$5=D81), 1, 0)</f>
        <v>1</v>
      </c>
      <c r="X81" s="5">
        <f t="shared" si="13"/>
        <v>1</v>
      </c>
    </row>
    <row r="82" spans="1:24" x14ac:dyDescent="0.25">
      <c r="A82" s="5" t="s">
        <v>105</v>
      </c>
      <c r="B82" s="5" t="s">
        <v>24</v>
      </c>
      <c r="C82" s="5" t="s">
        <v>20</v>
      </c>
      <c r="D82" s="5" t="s">
        <v>22</v>
      </c>
      <c r="E82" s="7">
        <v>20629</v>
      </c>
      <c r="F82" s="7">
        <f>SUMIFS('02_Fills'!D:D, '02_Fills'!B:B, A82)</f>
        <v>19436</v>
      </c>
      <c r="G82" s="9">
        <f>SUMIFS('02_Fills'!H:H, '02_Fills'!B:B, A82)</f>
        <v>4717217.32</v>
      </c>
      <c r="H82" s="8">
        <f t="shared" si="7"/>
        <v>242.70515126569254</v>
      </c>
      <c r="I82" s="9">
        <f>SUMIFS('02_Fills'!I:I, '02_Fills'!B:B, A82)</f>
        <v>61.040925849999994</v>
      </c>
      <c r="J82" s="8">
        <f t="shared" si="8"/>
        <v>0.12940028349170901</v>
      </c>
      <c r="K82" s="8">
        <f>VLOOKUP(A82, '01_Orders'!A:J, 10, FALSE)</f>
        <v>243.08988446844921</v>
      </c>
      <c r="L82" s="8">
        <f t="shared" si="9"/>
        <v>15.826787840142014</v>
      </c>
      <c r="M82" s="7">
        <f>SUMIFS('02_Fills'!D:D, '02_Fills'!B:B, A82, '02_Fills'!F:F, "LIT")</f>
        <v>12081</v>
      </c>
      <c r="N82" s="7">
        <f>SUMIFS('02_Fills'!D:D, '02_Fills'!B:B, A82, '02_Fills'!F:F, "DARK")</f>
        <v>6695</v>
      </c>
      <c r="O82" s="7">
        <f>SUMIFS('02_Fills'!D:D, '02_Fills'!B:B, A82, '02_Fills'!F:F, "BLOCK")</f>
        <v>660</v>
      </c>
      <c r="P82" s="10">
        <f t="shared" si="10"/>
        <v>0.62157851409755094</v>
      </c>
      <c r="Q82" s="10">
        <f t="shared" si="11"/>
        <v>0.34446388145708995</v>
      </c>
      <c r="R82" s="10">
        <f t="shared" si="12"/>
        <v>3.3957604445359127E-2</v>
      </c>
      <c r="S82" s="8">
        <v>242.94120000000001</v>
      </c>
      <c r="T82" s="11">
        <v>1.5349E-2</v>
      </c>
      <c r="U82" s="10">
        <v>0.2</v>
      </c>
      <c r="V82" s="5">
        <f>IF(OR('99_Dashboard'!$B$4="All", '99_Dashboard'!$B$4=B82), 1, 0)</f>
        <v>1</v>
      </c>
      <c r="W82" s="5">
        <f>IF(OR('99_Dashboard'!$B$5="All", '99_Dashboard'!$B$5=D82), 1, 0)</f>
        <v>1</v>
      </c>
      <c r="X82" s="5">
        <f t="shared" si="13"/>
        <v>1</v>
      </c>
    </row>
    <row r="83" spans="1:24" x14ac:dyDescent="0.25">
      <c r="A83" s="5" t="s">
        <v>106</v>
      </c>
      <c r="B83" s="5" t="s">
        <v>24</v>
      </c>
      <c r="C83" s="5" t="s">
        <v>15</v>
      </c>
      <c r="D83" s="5" t="s">
        <v>25</v>
      </c>
      <c r="E83" s="7">
        <v>14707</v>
      </c>
      <c r="F83" s="7">
        <f>SUMIFS('02_Fills'!D:D, '02_Fills'!B:B, A83)</f>
        <v>14594</v>
      </c>
      <c r="G83" s="9">
        <f>SUMIFS('02_Fills'!H:H, '02_Fills'!B:B, A83)</f>
        <v>3547243.63</v>
      </c>
      <c r="H83" s="8">
        <f t="shared" si="7"/>
        <v>243.06178086885021</v>
      </c>
      <c r="I83" s="9">
        <f>SUMIFS('02_Fills'!I:I, '02_Fills'!B:B, A83)</f>
        <v>50.919481650000002</v>
      </c>
      <c r="J83" s="8">
        <f t="shared" si="8"/>
        <v>0.1435466152348831</v>
      </c>
      <c r="K83" s="8">
        <f>VLOOKUP(A83, '01_Orders'!A:J, 10, FALSE)</f>
        <v>244.305348469222</v>
      </c>
      <c r="L83" s="8">
        <f t="shared" si="9"/>
        <v>-50.9021848340114</v>
      </c>
      <c r="M83" s="7">
        <f>SUMIFS('02_Fills'!D:D, '02_Fills'!B:B, A83, '02_Fills'!F:F, "LIT")</f>
        <v>13657</v>
      </c>
      <c r="N83" s="7">
        <f>SUMIFS('02_Fills'!D:D, '02_Fills'!B:B, A83, '02_Fills'!F:F, "DARK")</f>
        <v>0</v>
      </c>
      <c r="O83" s="7">
        <f>SUMIFS('02_Fills'!D:D, '02_Fills'!B:B, A83, '02_Fills'!F:F, "BLOCK")</f>
        <v>937</v>
      </c>
      <c r="P83" s="10">
        <f t="shared" si="10"/>
        <v>0.93579553241057967</v>
      </c>
      <c r="Q83" s="10">
        <f t="shared" si="11"/>
        <v>0</v>
      </c>
      <c r="R83" s="10">
        <f t="shared" si="12"/>
        <v>6.4204467589420305E-2</v>
      </c>
      <c r="S83" s="8">
        <v>243.11439999999999</v>
      </c>
      <c r="T83" s="11">
        <v>-1.4456E-2</v>
      </c>
      <c r="U83" s="10">
        <v>0.35</v>
      </c>
      <c r="V83" s="5">
        <f>IF(OR('99_Dashboard'!$B$4="All", '99_Dashboard'!$B$4=B83), 1, 0)</f>
        <v>1</v>
      </c>
      <c r="W83" s="5">
        <f>IF(OR('99_Dashboard'!$B$5="All", '99_Dashboard'!$B$5=D83), 1, 0)</f>
        <v>1</v>
      </c>
      <c r="X83" s="5">
        <f t="shared" si="13"/>
        <v>1</v>
      </c>
    </row>
    <row r="84" spans="1:24" x14ac:dyDescent="0.25">
      <c r="A84" s="5" t="s">
        <v>107</v>
      </c>
      <c r="B84" s="5" t="s">
        <v>24</v>
      </c>
      <c r="C84" s="5" t="s">
        <v>20</v>
      </c>
      <c r="D84" s="5" t="s">
        <v>16</v>
      </c>
      <c r="E84" s="7">
        <v>8039</v>
      </c>
      <c r="F84" s="7">
        <f>SUMIFS('02_Fills'!D:D, '02_Fills'!B:B, A84)</f>
        <v>7950</v>
      </c>
      <c r="G84" s="9">
        <f>SUMIFS('02_Fills'!H:H, '02_Fills'!B:B, A84)</f>
        <v>1930923.15</v>
      </c>
      <c r="H84" s="8">
        <f t="shared" si="7"/>
        <v>242.8834150943396</v>
      </c>
      <c r="I84" s="9">
        <f>SUMIFS('02_Fills'!I:I, '02_Fills'!B:B, A84)</f>
        <v>25.464955150000002</v>
      </c>
      <c r="J84" s="8">
        <f t="shared" si="8"/>
        <v>0.13187969262267119</v>
      </c>
      <c r="K84" s="8">
        <f>VLOOKUP(A84, '01_Orders'!A:J, 10, FALSE)</f>
        <v>243.34616776569209</v>
      </c>
      <c r="L84" s="8">
        <f t="shared" si="9"/>
        <v>19.016230072628694</v>
      </c>
      <c r="M84" s="7">
        <f>SUMIFS('02_Fills'!D:D, '02_Fills'!B:B, A84, '02_Fills'!F:F, "LIT")</f>
        <v>5068</v>
      </c>
      <c r="N84" s="7">
        <f>SUMIFS('02_Fills'!D:D, '02_Fills'!B:B, A84, '02_Fills'!F:F, "DARK")</f>
        <v>2882</v>
      </c>
      <c r="O84" s="7">
        <f>SUMIFS('02_Fills'!D:D, '02_Fills'!B:B, A84, '02_Fills'!F:F, "BLOCK")</f>
        <v>0</v>
      </c>
      <c r="P84" s="10">
        <f t="shared" si="10"/>
        <v>0.63748427672955976</v>
      </c>
      <c r="Q84" s="10">
        <f t="shared" si="11"/>
        <v>0.36251572327044024</v>
      </c>
      <c r="R84" s="10">
        <f t="shared" si="12"/>
        <v>0</v>
      </c>
      <c r="S84" s="8">
        <v>242.75450000000001</v>
      </c>
      <c r="T84" s="11">
        <v>-1.16E-4</v>
      </c>
      <c r="U84" s="10">
        <v>0.35</v>
      </c>
      <c r="V84" s="5">
        <f>IF(OR('99_Dashboard'!$B$4="All", '99_Dashboard'!$B$4=B84), 1, 0)</f>
        <v>1</v>
      </c>
      <c r="W84" s="5">
        <f>IF(OR('99_Dashboard'!$B$5="All", '99_Dashboard'!$B$5=D84), 1, 0)</f>
        <v>1</v>
      </c>
      <c r="X84" s="5">
        <f t="shared" si="13"/>
        <v>1</v>
      </c>
    </row>
    <row r="85" spans="1:24" x14ac:dyDescent="0.25">
      <c r="A85" s="5" t="s">
        <v>108</v>
      </c>
      <c r="B85" s="5" t="s">
        <v>32</v>
      </c>
      <c r="C85" s="5" t="s">
        <v>15</v>
      </c>
      <c r="D85" s="5" t="s">
        <v>25</v>
      </c>
      <c r="E85" s="7">
        <v>10775</v>
      </c>
      <c r="F85" s="7">
        <f>SUMIFS('02_Fills'!D:D, '02_Fills'!B:B, A85)</f>
        <v>10157</v>
      </c>
      <c r="G85" s="9">
        <f>SUMIFS('02_Fills'!H:H, '02_Fills'!B:B, A85)</f>
        <v>1754636.94</v>
      </c>
      <c r="H85" s="8">
        <f t="shared" si="7"/>
        <v>172.75149552033079</v>
      </c>
      <c r="I85" s="9">
        <f>SUMIFS('02_Fills'!I:I, '02_Fills'!B:B, A85)</f>
        <v>25.471077649999998</v>
      </c>
      <c r="J85" s="8">
        <f t="shared" si="8"/>
        <v>0.14516437599905993</v>
      </c>
      <c r="K85" s="8">
        <f>VLOOKUP(A85, '01_Orders'!A:J, 10, FALSE)</f>
        <v>172.83215807629699</v>
      </c>
      <c r="L85" s="8">
        <f t="shared" si="9"/>
        <v>-4.6671034409343504</v>
      </c>
      <c r="M85" s="7">
        <f>SUMIFS('02_Fills'!D:D, '02_Fills'!B:B, A85, '02_Fills'!F:F, "LIT")</f>
        <v>9174</v>
      </c>
      <c r="N85" s="7">
        <f>SUMIFS('02_Fills'!D:D, '02_Fills'!B:B, A85, '02_Fills'!F:F, "DARK")</f>
        <v>983</v>
      </c>
      <c r="O85" s="7">
        <f>SUMIFS('02_Fills'!D:D, '02_Fills'!B:B, A85, '02_Fills'!F:F, "BLOCK")</f>
        <v>0</v>
      </c>
      <c r="P85" s="10">
        <f t="shared" si="10"/>
        <v>0.90321945456335528</v>
      </c>
      <c r="Q85" s="10">
        <f t="shared" si="11"/>
        <v>9.6780545436644674E-2</v>
      </c>
      <c r="R85" s="10">
        <f t="shared" si="12"/>
        <v>0</v>
      </c>
      <c r="S85" s="8">
        <v>172.71850000000001</v>
      </c>
      <c r="T85" s="11">
        <v>-1.627E-3</v>
      </c>
      <c r="U85" s="10">
        <v>0.25</v>
      </c>
      <c r="V85" s="5">
        <f>IF(OR('99_Dashboard'!$B$4="All", '99_Dashboard'!$B$4=B85), 1, 0)</f>
        <v>1</v>
      </c>
      <c r="W85" s="5">
        <f>IF(OR('99_Dashboard'!$B$5="All", '99_Dashboard'!$B$5=D85), 1, 0)</f>
        <v>1</v>
      </c>
      <c r="X85" s="5">
        <f t="shared" si="13"/>
        <v>1</v>
      </c>
    </row>
    <row r="86" spans="1:24" x14ac:dyDescent="0.25">
      <c r="A86" s="5" t="s">
        <v>109</v>
      </c>
      <c r="B86" s="5" t="s">
        <v>19</v>
      </c>
      <c r="C86" s="5" t="s">
        <v>15</v>
      </c>
      <c r="D86" s="5" t="s">
        <v>25</v>
      </c>
      <c r="E86" s="7">
        <v>12659</v>
      </c>
      <c r="F86" s="7">
        <f>SUMIFS('02_Fills'!D:D, '02_Fills'!B:B, A86)</f>
        <v>12611</v>
      </c>
      <c r="G86" s="9">
        <f>SUMIFS('02_Fills'!H:H, '02_Fills'!B:B, A86)</f>
        <v>2506607</v>
      </c>
      <c r="H86" s="8">
        <f t="shared" si="7"/>
        <v>198.7635397668702</v>
      </c>
      <c r="I86" s="9">
        <f>SUMIFS('02_Fills'!I:I, '02_Fills'!B:B, A86)</f>
        <v>34.038609800000003</v>
      </c>
      <c r="J86" s="8">
        <f t="shared" si="8"/>
        <v>0.13579555869747434</v>
      </c>
      <c r="K86" s="8">
        <f>VLOOKUP(A86, '01_Orders'!A:J, 10, FALSE)</f>
        <v>198.57914997213959</v>
      </c>
      <c r="L86" s="8">
        <f t="shared" si="9"/>
        <v>9.2854559381725519</v>
      </c>
      <c r="M86" s="7">
        <f>SUMIFS('02_Fills'!D:D, '02_Fills'!B:B, A86, '02_Fills'!F:F, "LIT")</f>
        <v>10506</v>
      </c>
      <c r="N86" s="7">
        <f>SUMIFS('02_Fills'!D:D, '02_Fills'!B:B, A86, '02_Fills'!F:F, "DARK")</f>
        <v>631</v>
      </c>
      <c r="O86" s="7">
        <f>SUMIFS('02_Fills'!D:D, '02_Fills'!B:B, A86, '02_Fills'!F:F, "BLOCK")</f>
        <v>1474</v>
      </c>
      <c r="P86" s="10">
        <f t="shared" si="10"/>
        <v>0.83308222979938151</v>
      </c>
      <c r="Q86" s="10">
        <f t="shared" si="11"/>
        <v>5.0035683133772102E-2</v>
      </c>
      <c r="R86" s="10">
        <f t="shared" si="12"/>
        <v>0.1168820870668464</v>
      </c>
      <c r="S86" s="8">
        <v>198.75360000000001</v>
      </c>
      <c r="T86" s="11">
        <v>3.9389999999999998E-3</v>
      </c>
      <c r="U86" s="10">
        <v>0.35</v>
      </c>
      <c r="V86" s="5">
        <f>IF(OR('99_Dashboard'!$B$4="All", '99_Dashboard'!$B$4=B86), 1, 0)</f>
        <v>1</v>
      </c>
      <c r="W86" s="5">
        <f>IF(OR('99_Dashboard'!$B$5="All", '99_Dashboard'!$B$5=D86), 1, 0)</f>
        <v>1</v>
      </c>
      <c r="X86" s="5">
        <f t="shared" si="13"/>
        <v>1</v>
      </c>
    </row>
    <row r="87" spans="1:24" x14ac:dyDescent="0.25">
      <c r="A87" s="5" t="s">
        <v>110</v>
      </c>
      <c r="B87" s="5" t="s">
        <v>19</v>
      </c>
      <c r="C87" s="5" t="s">
        <v>15</v>
      </c>
      <c r="D87" s="5" t="s">
        <v>22</v>
      </c>
      <c r="E87" s="7">
        <v>20044</v>
      </c>
      <c r="F87" s="7">
        <f>SUMIFS('02_Fills'!D:D, '02_Fills'!B:B, A87)</f>
        <v>19232</v>
      </c>
      <c r="G87" s="9">
        <f>SUMIFS('02_Fills'!H:H, '02_Fills'!B:B, A87)</f>
        <v>3798243.4299999997</v>
      </c>
      <c r="H87" s="8">
        <f t="shared" si="7"/>
        <v>197.49601861480863</v>
      </c>
      <c r="I87" s="9">
        <f>SUMIFS('02_Fills'!I:I, '02_Fills'!B:B, A87)</f>
        <v>56.075423099999995</v>
      </c>
      <c r="J87" s="8">
        <f t="shared" si="8"/>
        <v>0.14763514801893568</v>
      </c>
      <c r="K87" s="8">
        <f>VLOOKUP(A87, '01_Orders'!A:J, 10, FALSE)</f>
        <v>197.65134900480061</v>
      </c>
      <c r="L87" s="8">
        <f t="shared" si="9"/>
        <v>-7.8588074796393785</v>
      </c>
      <c r="M87" s="7">
        <f>SUMIFS('02_Fills'!D:D, '02_Fills'!B:B, A87, '02_Fills'!F:F, "LIT")</f>
        <v>18323</v>
      </c>
      <c r="N87" s="7">
        <f>SUMIFS('02_Fills'!D:D, '02_Fills'!B:B, A87, '02_Fills'!F:F, "DARK")</f>
        <v>909</v>
      </c>
      <c r="O87" s="7">
        <f>SUMIFS('02_Fills'!D:D, '02_Fills'!B:B, A87, '02_Fills'!F:F, "BLOCK")</f>
        <v>0</v>
      </c>
      <c r="P87" s="10">
        <f t="shared" si="10"/>
        <v>0.95273502495840268</v>
      </c>
      <c r="Q87" s="10">
        <f t="shared" si="11"/>
        <v>4.7264975041597337E-2</v>
      </c>
      <c r="R87" s="10">
        <f t="shared" si="12"/>
        <v>0</v>
      </c>
      <c r="S87" s="8">
        <v>197.45740000000001</v>
      </c>
      <c r="T87" s="11">
        <v>-3.2959999999999999E-3</v>
      </c>
      <c r="U87" s="10">
        <v>0.2</v>
      </c>
      <c r="V87" s="5">
        <f>IF(OR('99_Dashboard'!$B$4="All", '99_Dashboard'!$B$4=B87), 1, 0)</f>
        <v>1</v>
      </c>
      <c r="W87" s="5">
        <f>IF(OR('99_Dashboard'!$B$5="All", '99_Dashboard'!$B$5=D87), 1, 0)</f>
        <v>1</v>
      </c>
      <c r="X87" s="5">
        <f t="shared" si="13"/>
        <v>1</v>
      </c>
    </row>
    <row r="88" spans="1:24" x14ac:dyDescent="0.25">
      <c r="A88" s="5" t="s">
        <v>111</v>
      </c>
      <c r="B88" s="5" t="s">
        <v>28</v>
      </c>
      <c r="C88" s="5" t="s">
        <v>20</v>
      </c>
      <c r="D88" s="5" t="s">
        <v>22</v>
      </c>
      <c r="E88" s="7">
        <v>21382</v>
      </c>
      <c r="F88" s="7">
        <f>SUMIFS('02_Fills'!D:D, '02_Fills'!B:B, A88)</f>
        <v>21343</v>
      </c>
      <c r="G88" s="9">
        <f>SUMIFS('02_Fills'!H:H, '02_Fills'!B:B, A88)</f>
        <v>9030418.6199999992</v>
      </c>
      <c r="H88" s="8">
        <f t="shared" si="7"/>
        <v>423.10915147823641</v>
      </c>
      <c r="I88" s="9">
        <f>SUMIFS('02_Fills'!I:I, '02_Fills'!B:B, A88)</f>
        <v>96.231137999999987</v>
      </c>
      <c r="J88" s="8">
        <f t="shared" si="8"/>
        <v>0.10656331898819547</v>
      </c>
      <c r="K88" s="8">
        <f>VLOOKUP(A88, '01_Orders'!A:J, 10, FALSE)</f>
        <v>423.60055087300151</v>
      </c>
      <c r="L88" s="8">
        <f t="shared" si="9"/>
        <v>11.600537198366901</v>
      </c>
      <c r="M88" s="7">
        <f>SUMIFS('02_Fills'!D:D, '02_Fills'!B:B, A88, '02_Fills'!F:F, "LIT")</f>
        <v>2807</v>
      </c>
      <c r="N88" s="7">
        <f>SUMIFS('02_Fills'!D:D, '02_Fills'!B:B, A88, '02_Fills'!F:F, "DARK")</f>
        <v>18536</v>
      </c>
      <c r="O88" s="7">
        <f>SUMIFS('02_Fills'!D:D, '02_Fills'!B:B, A88, '02_Fills'!F:F, "BLOCK")</f>
        <v>0</v>
      </c>
      <c r="P88" s="10">
        <f t="shared" si="10"/>
        <v>0.13151853066579205</v>
      </c>
      <c r="Q88" s="10">
        <f t="shared" si="11"/>
        <v>0.86848146933420789</v>
      </c>
      <c r="R88" s="10">
        <f t="shared" si="12"/>
        <v>0</v>
      </c>
      <c r="S88" s="8">
        <v>423.09410000000003</v>
      </c>
      <c r="T88" s="11">
        <v>6.8580000000000004E-3</v>
      </c>
      <c r="U88" s="10">
        <v>0.2</v>
      </c>
      <c r="V88" s="5">
        <f>IF(OR('99_Dashboard'!$B$4="All", '99_Dashboard'!$B$4=B88), 1, 0)</f>
        <v>1</v>
      </c>
      <c r="W88" s="5">
        <f>IF(OR('99_Dashboard'!$B$5="All", '99_Dashboard'!$B$5=D88), 1, 0)</f>
        <v>1</v>
      </c>
      <c r="X88" s="5">
        <f t="shared" si="13"/>
        <v>1</v>
      </c>
    </row>
    <row r="89" spans="1:24" x14ac:dyDescent="0.25">
      <c r="A89" s="5" t="s">
        <v>112</v>
      </c>
      <c r="B89" s="5" t="s">
        <v>19</v>
      </c>
      <c r="C89" s="5" t="s">
        <v>15</v>
      </c>
      <c r="D89" s="5" t="s">
        <v>25</v>
      </c>
      <c r="E89" s="7">
        <v>6810</v>
      </c>
      <c r="F89" s="7">
        <f>SUMIFS('02_Fills'!D:D, '02_Fills'!B:B, A89)</f>
        <v>6503</v>
      </c>
      <c r="G89" s="9">
        <f>SUMIFS('02_Fills'!H:H, '02_Fills'!B:B, A89)</f>
        <v>1290700.8299999998</v>
      </c>
      <c r="H89" s="8">
        <f t="shared" si="7"/>
        <v>198.47775334461016</v>
      </c>
      <c r="I89" s="9">
        <f>SUMIFS('02_Fills'!I:I, '02_Fills'!B:B, A89)</f>
        <v>17.346109950000002</v>
      </c>
      <c r="J89" s="8">
        <f t="shared" si="8"/>
        <v>0.1343929557246818</v>
      </c>
      <c r="K89" s="8">
        <f>VLOOKUP(A89, '01_Orders'!A:J, 10, FALSE)</f>
        <v>197.38028037046561</v>
      </c>
      <c r="L89" s="8">
        <f t="shared" si="9"/>
        <v>55.601956390207285</v>
      </c>
      <c r="M89" s="7">
        <f>SUMIFS('02_Fills'!D:D, '02_Fills'!B:B, A89, '02_Fills'!F:F, "LIT")</f>
        <v>5318</v>
      </c>
      <c r="N89" s="7">
        <f>SUMIFS('02_Fills'!D:D, '02_Fills'!B:B, A89, '02_Fills'!F:F, "DARK")</f>
        <v>342</v>
      </c>
      <c r="O89" s="7">
        <f>SUMIFS('02_Fills'!D:D, '02_Fills'!B:B, A89, '02_Fills'!F:F, "BLOCK")</f>
        <v>843</v>
      </c>
      <c r="P89" s="10">
        <f t="shared" si="10"/>
        <v>0.81777641088728281</v>
      </c>
      <c r="Q89" s="10">
        <f t="shared" si="11"/>
        <v>5.2591111794556361E-2</v>
      </c>
      <c r="R89" s="10">
        <f t="shared" si="12"/>
        <v>0.12963247731816085</v>
      </c>
      <c r="S89" s="8">
        <v>198.50569999999999</v>
      </c>
      <c r="T89" s="11">
        <v>1.2456999999999999E-2</v>
      </c>
      <c r="U89" s="10">
        <v>0.35</v>
      </c>
      <c r="V89" s="5">
        <f>IF(OR('99_Dashboard'!$B$4="All", '99_Dashboard'!$B$4=B89), 1, 0)</f>
        <v>1</v>
      </c>
      <c r="W89" s="5">
        <f>IF(OR('99_Dashboard'!$B$5="All", '99_Dashboard'!$B$5=D89), 1, 0)</f>
        <v>1</v>
      </c>
      <c r="X89" s="5">
        <f t="shared" si="13"/>
        <v>1</v>
      </c>
    </row>
    <row r="90" spans="1:24" x14ac:dyDescent="0.25">
      <c r="A90" s="5" t="s">
        <v>113</v>
      </c>
      <c r="B90" s="5" t="s">
        <v>28</v>
      </c>
      <c r="C90" s="5" t="s">
        <v>20</v>
      </c>
      <c r="D90" s="5" t="s">
        <v>25</v>
      </c>
      <c r="E90" s="7">
        <v>12042</v>
      </c>
      <c r="F90" s="7">
        <f>SUMIFS('02_Fills'!D:D, '02_Fills'!B:B, A90)</f>
        <v>11981</v>
      </c>
      <c r="G90" s="9">
        <f>SUMIFS('02_Fills'!H:H, '02_Fills'!B:B, A90)</f>
        <v>5062722.99</v>
      </c>
      <c r="H90" s="8">
        <f t="shared" si="7"/>
        <v>422.5626400133545</v>
      </c>
      <c r="I90" s="9">
        <f>SUMIFS('02_Fills'!I:I, '02_Fills'!B:B, A90)</f>
        <v>67.484991399999998</v>
      </c>
      <c r="J90" s="8">
        <f t="shared" si="8"/>
        <v>0.13329781529287266</v>
      </c>
      <c r="K90" s="8">
        <f>VLOOKUP(A90, '01_Orders'!A:J, 10, FALSE)</f>
        <v>424.09159014783859</v>
      </c>
      <c r="L90" s="8">
        <f t="shared" si="9"/>
        <v>36.052356849403651</v>
      </c>
      <c r="M90" s="7">
        <f>SUMIFS('02_Fills'!D:D, '02_Fills'!B:B, A90, '02_Fills'!F:F, "LIT")</f>
        <v>8381</v>
      </c>
      <c r="N90" s="7">
        <f>SUMIFS('02_Fills'!D:D, '02_Fills'!B:B, A90, '02_Fills'!F:F, "DARK")</f>
        <v>3202</v>
      </c>
      <c r="O90" s="7">
        <f>SUMIFS('02_Fills'!D:D, '02_Fills'!B:B, A90, '02_Fills'!F:F, "BLOCK")</f>
        <v>398</v>
      </c>
      <c r="P90" s="10">
        <f t="shared" si="10"/>
        <v>0.69952424672397961</v>
      </c>
      <c r="Q90" s="10">
        <f t="shared" si="11"/>
        <v>0.2672564894416159</v>
      </c>
      <c r="R90" s="10">
        <f t="shared" si="12"/>
        <v>3.3219263834404475E-2</v>
      </c>
      <c r="S90" s="8">
        <v>423.12670000000003</v>
      </c>
      <c r="T90" s="11">
        <v>-1.8955E-2</v>
      </c>
      <c r="U90" s="10">
        <v>0.35</v>
      </c>
      <c r="V90" s="5">
        <f>IF(OR('99_Dashboard'!$B$4="All", '99_Dashboard'!$B$4=B90), 1, 0)</f>
        <v>1</v>
      </c>
      <c r="W90" s="5">
        <f>IF(OR('99_Dashboard'!$B$5="All", '99_Dashboard'!$B$5=D90), 1, 0)</f>
        <v>1</v>
      </c>
      <c r="X90" s="5">
        <f t="shared" si="13"/>
        <v>1</v>
      </c>
    </row>
    <row r="91" spans="1:24" x14ac:dyDescent="0.25">
      <c r="A91" s="5" t="s">
        <v>114</v>
      </c>
      <c r="B91" s="5" t="s">
        <v>28</v>
      </c>
      <c r="C91" s="5" t="s">
        <v>15</v>
      </c>
      <c r="D91" s="5" t="s">
        <v>25</v>
      </c>
      <c r="E91" s="7">
        <v>12742</v>
      </c>
      <c r="F91" s="7">
        <f>SUMIFS('02_Fills'!D:D, '02_Fills'!B:B, A91)</f>
        <v>12121</v>
      </c>
      <c r="G91" s="9">
        <f>SUMIFS('02_Fills'!H:H, '02_Fills'!B:B, A91)</f>
        <v>5056754.66</v>
      </c>
      <c r="H91" s="8">
        <f t="shared" si="7"/>
        <v>417.18956026730467</v>
      </c>
      <c r="I91" s="9">
        <f>SUMIFS('02_Fills'!I:I, '02_Fills'!B:B, A91)</f>
        <v>48.6337367</v>
      </c>
      <c r="J91" s="8">
        <f t="shared" si="8"/>
        <v>9.6175788563964054E-2</v>
      </c>
      <c r="K91" s="8">
        <f>VLOOKUP(A91, '01_Orders'!A:J, 10, FALSE)</f>
        <v>416.55252548313649</v>
      </c>
      <c r="L91" s="8">
        <f t="shared" si="9"/>
        <v>15.293024173345662</v>
      </c>
      <c r="M91" s="7">
        <f>SUMIFS('02_Fills'!D:D, '02_Fills'!B:B, A91, '02_Fills'!F:F, "LIT")</f>
        <v>5595</v>
      </c>
      <c r="N91" s="7">
        <f>SUMIFS('02_Fills'!D:D, '02_Fills'!B:B, A91, '02_Fills'!F:F, "DARK")</f>
        <v>0</v>
      </c>
      <c r="O91" s="7">
        <f>SUMIFS('02_Fills'!D:D, '02_Fills'!B:B, A91, '02_Fills'!F:F, "BLOCK")</f>
        <v>6526</v>
      </c>
      <c r="P91" s="10">
        <f t="shared" si="10"/>
        <v>0.46159557792261363</v>
      </c>
      <c r="Q91" s="10">
        <f t="shared" si="11"/>
        <v>0</v>
      </c>
      <c r="R91" s="10">
        <f t="shared" si="12"/>
        <v>0.53840442207738637</v>
      </c>
      <c r="S91" s="8">
        <v>417.42149999999998</v>
      </c>
      <c r="T91" s="11">
        <v>2.8570000000000002E-3</v>
      </c>
      <c r="U91" s="10">
        <v>0.35</v>
      </c>
      <c r="V91" s="5">
        <f>IF(OR('99_Dashboard'!$B$4="All", '99_Dashboard'!$B$4=B91), 1, 0)</f>
        <v>1</v>
      </c>
      <c r="W91" s="5">
        <f>IF(OR('99_Dashboard'!$B$5="All", '99_Dashboard'!$B$5=D91), 1, 0)</f>
        <v>1</v>
      </c>
      <c r="X91" s="5">
        <f t="shared" si="13"/>
        <v>1</v>
      </c>
    </row>
    <row r="92" spans="1:24" x14ac:dyDescent="0.25">
      <c r="A92" s="5" t="s">
        <v>115</v>
      </c>
      <c r="B92" s="5" t="s">
        <v>32</v>
      </c>
      <c r="C92" s="5" t="s">
        <v>20</v>
      </c>
      <c r="D92" s="5" t="s">
        <v>16</v>
      </c>
      <c r="E92" s="7">
        <v>5274</v>
      </c>
      <c r="F92" s="7">
        <f>SUMIFS('02_Fills'!D:D, '02_Fills'!B:B, A92)</f>
        <v>5131</v>
      </c>
      <c r="G92" s="9">
        <f>SUMIFS('02_Fills'!H:H, '02_Fills'!B:B, A92)</f>
        <v>894017.97000000009</v>
      </c>
      <c r="H92" s="8">
        <f t="shared" si="7"/>
        <v>174.23854414344183</v>
      </c>
      <c r="I92" s="9">
        <f>SUMIFS('02_Fills'!I:I, '02_Fills'!B:B, A92)</f>
        <v>8.3023917000000012</v>
      </c>
      <c r="J92" s="8">
        <f t="shared" si="8"/>
        <v>9.2866049437462656E-2</v>
      </c>
      <c r="K92" s="8">
        <f>VLOOKUP(A92, '01_Orders'!A:J, 10, FALSE)</f>
        <v>174.2667548814984</v>
      </c>
      <c r="L92" s="8">
        <f t="shared" si="9"/>
        <v>1.6188250062816205</v>
      </c>
      <c r="M92" s="7">
        <f>SUMIFS('02_Fills'!D:D, '02_Fills'!B:B, A92, '02_Fills'!F:F, "LIT")</f>
        <v>1428</v>
      </c>
      <c r="N92" s="7">
        <f>SUMIFS('02_Fills'!D:D, '02_Fills'!B:B, A92, '02_Fills'!F:F, "DARK")</f>
        <v>1544</v>
      </c>
      <c r="O92" s="7">
        <f>SUMIFS('02_Fills'!D:D, '02_Fills'!B:B, A92, '02_Fills'!F:F, "BLOCK")</f>
        <v>2159</v>
      </c>
      <c r="P92" s="10">
        <f t="shared" si="10"/>
        <v>0.27830832196452931</v>
      </c>
      <c r="Q92" s="10">
        <f t="shared" si="11"/>
        <v>0.30091600077957514</v>
      </c>
      <c r="R92" s="10">
        <f t="shared" si="12"/>
        <v>0.42077567725589554</v>
      </c>
      <c r="S92" s="8">
        <v>174.3365</v>
      </c>
      <c r="T92" s="11">
        <v>-1.147E-3</v>
      </c>
      <c r="U92" s="10">
        <v>0.35</v>
      </c>
      <c r="V92" s="5">
        <f>IF(OR('99_Dashboard'!$B$4="All", '99_Dashboard'!$B$4=B92), 1, 0)</f>
        <v>1</v>
      </c>
      <c r="W92" s="5">
        <f>IF(OR('99_Dashboard'!$B$5="All", '99_Dashboard'!$B$5=D92), 1, 0)</f>
        <v>1</v>
      </c>
      <c r="X92" s="5">
        <f t="shared" si="13"/>
        <v>1</v>
      </c>
    </row>
    <row r="93" spans="1:24" x14ac:dyDescent="0.25">
      <c r="A93" s="5" t="s">
        <v>116</v>
      </c>
      <c r="B93" s="5" t="s">
        <v>19</v>
      </c>
      <c r="C93" s="5" t="s">
        <v>20</v>
      </c>
      <c r="D93" s="5" t="s">
        <v>22</v>
      </c>
      <c r="E93" s="7">
        <v>9311</v>
      </c>
      <c r="F93" s="7">
        <f>SUMIFS('02_Fills'!D:D, '02_Fills'!B:B, A93)</f>
        <v>9190</v>
      </c>
      <c r="G93" s="9">
        <f>SUMIFS('02_Fills'!H:H, '02_Fills'!B:B, A93)</f>
        <v>1792164.4500000002</v>
      </c>
      <c r="H93" s="8">
        <f t="shared" si="7"/>
        <v>195.01245375408055</v>
      </c>
      <c r="I93" s="9">
        <f>SUMIFS('02_Fills'!I:I, '02_Fills'!B:B, A93)</f>
        <v>21.358722800000002</v>
      </c>
      <c r="J93" s="8">
        <f t="shared" si="8"/>
        <v>0.11917836446314958</v>
      </c>
      <c r="K93" s="8">
        <f>VLOOKUP(A93, '01_Orders'!A:J, 10, FALSE)</f>
        <v>195.32261507987729</v>
      </c>
      <c r="L93" s="8">
        <f t="shared" si="9"/>
        <v>15.879437497286263</v>
      </c>
      <c r="M93" s="7">
        <f>SUMIFS('02_Fills'!D:D, '02_Fills'!B:B, A93, '02_Fills'!F:F, "LIT")</f>
        <v>3697</v>
      </c>
      <c r="N93" s="7">
        <f>SUMIFS('02_Fills'!D:D, '02_Fills'!B:B, A93, '02_Fills'!F:F, "DARK")</f>
        <v>5323</v>
      </c>
      <c r="O93" s="7">
        <f>SUMIFS('02_Fills'!D:D, '02_Fills'!B:B, A93, '02_Fills'!F:F, "BLOCK")</f>
        <v>170</v>
      </c>
      <c r="P93" s="10">
        <f t="shared" si="10"/>
        <v>0.40228509249183897</v>
      </c>
      <c r="Q93" s="10">
        <f t="shared" si="11"/>
        <v>0.57921653971708376</v>
      </c>
      <c r="R93" s="10">
        <f t="shared" si="12"/>
        <v>1.8498367791077257E-2</v>
      </c>
      <c r="S93" s="8">
        <v>195.06489999999999</v>
      </c>
      <c r="T93" s="11">
        <v>-4.7019999999999996E-3</v>
      </c>
      <c r="U93" s="10">
        <v>0.2</v>
      </c>
      <c r="V93" s="5">
        <f>IF(OR('99_Dashboard'!$B$4="All", '99_Dashboard'!$B$4=B93), 1, 0)</f>
        <v>1</v>
      </c>
      <c r="W93" s="5">
        <f>IF(OR('99_Dashboard'!$B$5="All", '99_Dashboard'!$B$5=D93), 1, 0)</f>
        <v>1</v>
      </c>
      <c r="X93" s="5">
        <f t="shared" si="13"/>
        <v>1</v>
      </c>
    </row>
    <row r="94" spans="1:24" x14ac:dyDescent="0.25">
      <c r="A94" s="5" t="s">
        <v>117</v>
      </c>
      <c r="B94" s="5" t="s">
        <v>32</v>
      </c>
      <c r="C94" s="5" t="s">
        <v>20</v>
      </c>
      <c r="D94" s="5" t="s">
        <v>22</v>
      </c>
      <c r="E94" s="7">
        <v>23650</v>
      </c>
      <c r="F94" s="7">
        <f>SUMIFS('02_Fills'!D:D, '02_Fills'!B:B, A94)</f>
        <v>22776</v>
      </c>
      <c r="G94" s="9">
        <f>SUMIFS('02_Fills'!H:H, '02_Fills'!B:B, A94)</f>
        <v>3969083.6299999994</v>
      </c>
      <c r="H94" s="8">
        <f t="shared" si="7"/>
        <v>174.26605330172109</v>
      </c>
      <c r="I94" s="9">
        <f>SUMIFS('02_Fills'!I:I, '02_Fills'!B:B, A94)</f>
        <v>56.12075145</v>
      </c>
      <c r="J94" s="8">
        <f t="shared" si="8"/>
        <v>0.14139473158442875</v>
      </c>
      <c r="K94" s="8">
        <f>VLOOKUP(A94, '01_Orders'!A:J, 10, FALSE)</f>
        <v>174.22596958090219</v>
      </c>
      <c r="L94" s="8">
        <f t="shared" si="9"/>
        <v>-2.3006742861193219</v>
      </c>
      <c r="M94" s="7">
        <f>SUMIFS('02_Fills'!D:D, '02_Fills'!B:B, A94, '02_Fills'!F:F, "LIT")</f>
        <v>18864</v>
      </c>
      <c r="N94" s="7">
        <f>SUMIFS('02_Fills'!D:D, '02_Fills'!B:B, A94, '02_Fills'!F:F, "DARK")</f>
        <v>3912</v>
      </c>
      <c r="O94" s="7">
        <f>SUMIFS('02_Fills'!D:D, '02_Fills'!B:B, A94, '02_Fills'!F:F, "BLOCK")</f>
        <v>0</v>
      </c>
      <c r="P94" s="10">
        <f t="shared" si="10"/>
        <v>0.82824025289778713</v>
      </c>
      <c r="Q94" s="10">
        <f t="shared" si="11"/>
        <v>0.17175974710221287</v>
      </c>
      <c r="R94" s="10">
        <f t="shared" si="12"/>
        <v>0</v>
      </c>
      <c r="S94" s="8">
        <v>174.40190000000001</v>
      </c>
      <c r="T94" s="11">
        <v>3.7720000000000002E-3</v>
      </c>
      <c r="U94" s="10">
        <v>0.2</v>
      </c>
      <c r="V94" s="5">
        <f>IF(OR('99_Dashboard'!$B$4="All", '99_Dashboard'!$B$4=B94), 1, 0)</f>
        <v>1</v>
      </c>
      <c r="W94" s="5">
        <f>IF(OR('99_Dashboard'!$B$5="All", '99_Dashboard'!$B$5=D94), 1, 0)</f>
        <v>1</v>
      </c>
      <c r="X94" s="5">
        <f t="shared" si="13"/>
        <v>1</v>
      </c>
    </row>
    <row r="95" spans="1:24" x14ac:dyDescent="0.25">
      <c r="A95" s="5" t="s">
        <v>118</v>
      </c>
      <c r="B95" s="5" t="s">
        <v>32</v>
      </c>
      <c r="C95" s="5" t="s">
        <v>15</v>
      </c>
      <c r="D95" s="5" t="s">
        <v>25</v>
      </c>
      <c r="E95" s="7">
        <v>13329</v>
      </c>
      <c r="F95" s="7">
        <f>SUMIFS('02_Fills'!D:D, '02_Fills'!B:B, A95)</f>
        <v>12981</v>
      </c>
      <c r="G95" s="9">
        <f>SUMIFS('02_Fills'!H:H, '02_Fills'!B:B, A95)</f>
        <v>2274771.16</v>
      </c>
      <c r="H95" s="8">
        <f t="shared" si="7"/>
        <v>175.23851475233033</v>
      </c>
      <c r="I95" s="9">
        <f>SUMIFS('02_Fills'!I:I, '02_Fills'!B:B, A95)</f>
        <v>24.479619</v>
      </c>
      <c r="J95" s="8">
        <f t="shared" si="8"/>
        <v>0.10761354561924373</v>
      </c>
      <c r="K95" s="8">
        <f>VLOOKUP(A95, '01_Orders'!A:J, 10, FALSE)</f>
        <v>175.40823818553909</v>
      </c>
      <c r="L95" s="8">
        <f t="shared" si="9"/>
        <v>-9.6759100350368357</v>
      </c>
      <c r="M95" s="7">
        <f>SUMIFS('02_Fills'!D:D, '02_Fills'!B:B, A95, '02_Fills'!F:F, "LIT")</f>
        <v>4975</v>
      </c>
      <c r="N95" s="7">
        <f>SUMIFS('02_Fills'!D:D, '02_Fills'!B:B, A95, '02_Fills'!F:F, "DARK")</f>
        <v>5006</v>
      </c>
      <c r="O95" s="7">
        <f>SUMIFS('02_Fills'!D:D, '02_Fills'!B:B, A95, '02_Fills'!F:F, "BLOCK")</f>
        <v>3000</v>
      </c>
      <c r="P95" s="10">
        <f t="shared" si="10"/>
        <v>0.38325244588244356</v>
      </c>
      <c r="Q95" s="10">
        <f t="shared" si="11"/>
        <v>0.38564055157537941</v>
      </c>
      <c r="R95" s="10">
        <f t="shared" si="12"/>
        <v>0.23110700254217703</v>
      </c>
      <c r="S95" s="8">
        <v>175.10720000000001</v>
      </c>
      <c r="T95" s="11">
        <v>4.7959999999999999E-3</v>
      </c>
      <c r="U95" s="10">
        <v>0.35</v>
      </c>
      <c r="V95" s="5">
        <f>IF(OR('99_Dashboard'!$B$4="All", '99_Dashboard'!$B$4=B95), 1, 0)</f>
        <v>1</v>
      </c>
      <c r="W95" s="5">
        <f>IF(OR('99_Dashboard'!$B$5="All", '99_Dashboard'!$B$5=D95), 1, 0)</f>
        <v>1</v>
      </c>
      <c r="X95" s="5">
        <f t="shared" si="13"/>
        <v>1</v>
      </c>
    </row>
    <row r="96" spans="1:24" x14ac:dyDescent="0.25">
      <c r="A96" s="5" t="s">
        <v>119</v>
      </c>
      <c r="B96" s="5" t="s">
        <v>14</v>
      </c>
      <c r="C96" s="5" t="s">
        <v>20</v>
      </c>
      <c r="D96" s="5" t="s">
        <v>22</v>
      </c>
      <c r="E96" s="7">
        <v>22182</v>
      </c>
      <c r="F96" s="7">
        <f>SUMIFS('02_Fills'!D:D, '02_Fills'!B:B, A96)</f>
        <v>21550</v>
      </c>
      <c r="G96" s="9">
        <f>SUMIFS('02_Fills'!H:H, '02_Fills'!B:B, A96)</f>
        <v>4054098.31</v>
      </c>
      <c r="H96" s="8">
        <f t="shared" si="7"/>
        <v>188.12521160092808</v>
      </c>
      <c r="I96" s="9">
        <f>SUMIFS('02_Fills'!I:I, '02_Fills'!B:B, A96)</f>
        <v>54.446438999999998</v>
      </c>
      <c r="J96" s="8">
        <f t="shared" si="8"/>
        <v>0.13429975012125445</v>
      </c>
      <c r="K96" s="8">
        <f>VLOOKUP(A96, '01_Orders'!A:J, 10, FALSE)</f>
        <v>188.1125521177772</v>
      </c>
      <c r="L96" s="8">
        <f t="shared" si="9"/>
        <v>-0.67297386635623591</v>
      </c>
      <c r="M96" s="7">
        <f>SUMIFS('02_Fills'!D:D, '02_Fills'!B:B, A96, '02_Fills'!F:F, "LIT")</f>
        <v>15869</v>
      </c>
      <c r="N96" s="7">
        <f>SUMIFS('02_Fills'!D:D, '02_Fills'!B:B, A96, '02_Fills'!F:F, "DARK")</f>
        <v>4593</v>
      </c>
      <c r="O96" s="7">
        <f>SUMIFS('02_Fills'!D:D, '02_Fills'!B:B, A96, '02_Fills'!F:F, "BLOCK")</f>
        <v>1088</v>
      </c>
      <c r="P96" s="10">
        <f t="shared" si="10"/>
        <v>0.7363805104408353</v>
      </c>
      <c r="Q96" s="10">
        <f t="shared" si="11"/>
        <v>0.2131322505800464</v>
      </c>
      <c r="R96" s="10">
        <f t="shared" si="12"/>
        <v>5.0487238979118332E-2</v>
      </c>
      <c r="S96" s="8">
        <v>188.3433</v>
      </c>
      <c r="T96" s="11">
        <v>-5.5599999999999998E-3</v>
      </c>
      <c r="U96" s="10">
        <v>0.2</v>
      </c>
      <c r="V96" s="5">
        <f>IF(OR('99_Dashboard'!$B$4="All", '99_Dashboard'!$B$4=B96), 1, 0)</f>
        <v>1</v>
      </c>
      <c r="W96" s="5">
        <f>IF(OR('99_Dashboard'!$B$5="All", '99_Dashboard'!$B$5=D96), 1, 0)</f>
        <v>1</v>
      </c>
      <c r="X96" s="5">
        <f t="shared" si="13"/>
        <v>1</v>
      </c>
    </row>
    <row r="97" spans="1:24" x14ac:dyDescent="0.25">
      <c r="A97" s="5" t="s">
        <v>120</v>
      </c>
      <c r="B97" s="5" t="s">
        <v>14</v>
      </c>
      <c r="C97" s="5" t="s">
        <v>15</v>
      </c>
      <c r="D97" s="5" t="s">
        <v>25</v>
      </c>
      <c r="E97" s="7">
        <v>6003</v>
      </c>
      <c r="F97" s="7">
        <f>SUMIFS('02_Fills'!D:D, '02_Fills'!B:B, A97)</f>
        <v>5682</v>
      </c>
      <c r="G97" s="9">
        <f>SUMIFS('02_Fills'!H:H, '02_Fills'!B:B, A97)</f>
        <v>1072503.8599999999</v>
      </c>
      <c r="H97" s="8">
        <f t="shared" si="7"/>
        <v>188.7546392115452</v>
      </c>
      <c r="I97" s="9">
        <f>SUMIFS('02_Fills'!I:I, '02_Fills'!B:B, A97)</f>
        <v>14.8172449</v>
      </c>
      <c r="J97" s="8">
        <f t="shared" si="8"/>
        <v>0.13815563237226952</v>
      </c>
      <c r="K97" s="8">
        <f>VLOOKUP(A97, '01_Orders'!A:J, 10, FALSE)</f>
        <v>188.54894817134911</v>
      </c>
      <c r="L97" s="8">
        <f t="shared" si="9"/>
        <v>10.909158719313503</v>
      </c>
      <c r="M97" s="7">
        <f>SUMIFS('02_Fills'!D:D, '02_Fills'!B:B, A97, '02_Fills'!F:F, "LIT")</f>
        <v>4663</v>
      </c>
      <c r="N97" s="7">
        <f>SUMIFS('02_Fills'!D:D, '02_Fills'!B:B, A97, '02_Fills'!F:F, "DARK")</f>
        <v>690</v>
      </c>
      <c r="O97" s="7">
        <f>SUMIFS('02_Fills'!D:D, '02_Fills'!B:B, A97, '02_Fills'!F:F, "BLOCK")</f>
        <v>329</v>
      </c>
      <c r="P97" s="10">
        <f t="shared" si="10"/>
        <v>0.82066173882435767</v>
      </c>
      <c r="Q97" s="10">
        <f t="shared" si="11"/>
        <v>0.12143611404435058</v>
      </c>
      <c r="R97" s="10">
        <f t="shared" si="12"/>
        <v>5.7902147131291798E-2</v>
      </c>
      <c r="S97" s="8">
        <v>188.6232</v>
      </c>
      <c r="T97" s="11">
        <v>1.536E-3</v>
      </c>
      <c r="U97" s="10">
        <v>0.25</v>
      </c>
      <c r="V97" s="5">
        <f>IF(OR('99_Dashboard'!$B$4="All", '99_Dashboard'!$B$4=B97), 1, 0)</f>
        <v>1</v>
      </c>
      <c r="W97" s="5">
        <f>IF(OR('99_Dashboard'!$B$5="All", '99_Dashboard'!$B$5=D97), 1, 0)</f>
        <v>1</v>
      </c>
      <c r="X97" s="5">
        <f t="shared" si="13"/>
        <v>1</v>
      </c>
    </row>
    <row r="98" spans="1:24" x14ac:dyDescent="0.25">
      <c r="A98" s="5" t="s">
        <v>121</v>
      </c>
      <c r="B98" s="5" t="s">
        <v>32</v>
      </c>
      <c r="C98" s="5" t="s">
        <v>20</v>
      </c>
      <c r="D98" s="5" t="s">
        <v>25</v>
      </c>
      <c r="E98" s="7">
        <v>9337</v>
      </c>
      <c r="F98" s="7">
        <f>SUMIFS('02_Fills'!D:D, '02_Fills'!B:B, A98)</f>
        <v>9290</v>
      </c>
      <c r="G98" s="9">
        <f>SUMIFS('02_Fills'!H:H, '02_Fills'!B:B, A98)</f>
        <v>1604933.0499999998</v>
      </c>
      <c r="H98" s="8">
        <f t="shared" si="7"/>
        <v>172.75920882669536</v>
      </c>
      <c r="I98" s="9">
        <f>SUMIFS('02_Fills'!I:I, '02_Fills'!B:B, A98)</f>
        <v>19.521651050000003</v>
      </c>
      <c r="J98" s="8">
        <f t="shared" si="8"/>
        <v>0.12163529843191905</v>
      </c>
      <c r="K98" s="8">
        <f>VLOOKUP(A98, '01_Orders'!A:J, 10, FALSE)</f>
        <v>172.4264573652639</v>
      </c>
      <c r="L98" s="8">
        <f t="shared" si="9"/>
        <v>-19.298167260176566</v>
      </c>
      <c r="M98" s="7">
        <f>SUMIFS('02_Fills'!D:D, '02_Fills'!B:B, A98, '02_Fills'!F:F, "LIT")</f>
        <v>6195</v>
      </c>
      <c r="N98" s="7">
        <f>SUMIFS('02_Fills'!D:D, '02_Fills'!B:B, A98, '02_Fills'!F:F, "DARK")</f>
        <v>924</v>
      </c>
      <c r="O98" s="7">
        <f>SUMIFS('02_Fills'!D:D, '02_Fills'!B:B, A98, '02_Fills'!F:F, "BLOCK")</f>
        <v>2171</v>
      </c>
      <c r="P98" s="10">
        <f t="shared" si="10"/>
        <v>0.66684607104413351</v>
      </c>
      <c r="Q98" s="10">
        <f t="shared" si="11"/>
        <v>9.9461786867599572E-2</v>
      </c>
      <c r="R98" s="10">
        <f t="shared" si="12"/>
        <v>0.23369214208826694</v>
      </c>
      <c r="S98" s="8">
        <v>172.85849999999999</v>
      </c>
      <c r="T98" s="11">
        <v>9.19E-4</v>
      </c>
      <c r="U98" s="10">
        <v>0.25</v>
      </c>
      <c r="V98" s="5">
        <f>IF(OR('99_Dashboard'!$B$4="All", '99_Dashboard'!$B$4=B98), 1, 0)</f>
        <v>1</v>
      </c>
      <c r="W98" s="5">
        <f>IF(OR('99_Dashboard'!$B$5="All", '99_Dashboard'!$B$5=D98), 1, 0)</f>
        <v>1</v>
      </c>
      <c r="X98" s="5">
        <f t="shared" si="13"/>
        <v>1</v>
      </c>
    </row>
    <row r="99" spans="1:24" x14ac:dyDescent="0.25">
      <c r="A99" s="5" t="s">
        <v>122</v>
      </c>
      <c r="B99" s="5" t="s">
        <v>14</v>
      </c>
      <c r="C99" s="5" t="s">
        <v>20</v>
      </c>
      <c r="D99" s="5" t="s">
        <v>16</v>
      </c>
      <c r="E99" s="7">
        <v>7156</v>
      </c>
      <c r="F99" s="7">
        <f>SUMIFS('02_Fills'!D:D, '02_Fills'!B:B, A99)</f>
        <v>6799</v>
      </c>
      <c r="G99" s="9">
        <f>SUMIFS('02_Fills'!H:H, '02_Fills'!B:B, A99)</f>
        <v>1262628.4800000002</v>
      </c>
      <c r="H99" s="8">
        <f t="shared" si="7"/>
        <v>185.70796881894398</v>
      </c>
      <c r="I99" s="9">
        <f>SUMIFS('02_Fills'!I:I, '02_Fills'!B:B, A99)</f>
        <v>10.083550800000001</v>
      </c>
      <c r="J99" s="8">
        <f t="shared" si="8"/>
        <v>7.9861582086283994E-2</v>
      </c>
      <c r="K99" s="8">
        <f>VLOOKUP(A99, '01_Orders'!A:J, 10, FALSE)</f>
        <v>185.808757457133</v>
      </c>
      <c r="L99" s="8">
        <f t="shared" si="9"/>
        <v>5.4243211982227688</v>
      </c>
      <c r="M99" s="7">
        <f>SUMIFS('02_Fills'!D:D, '02_Fills'!B:B, A99, '02_Fills'!F:F, "LIT")</f>
        <v>722</v>
      </c>
      <c r="N99" s="7">
        <f>SUMIFS('02_Fills'!D:D, '02_Fills'!B:B, A99, '02_Fills'!F:F, "DARK")</f>
        <v>2614</v>
      </c>
      <c r="O99" s="7">
        <f>SUMIFS('02_Fills'!D:D, '02_Fills'!B:B, A99, '02_Fills'!F:F, "BLOCK")</f>
        <v>3463</v>
      </c>
      <c r="P99" s="10">
        <f t="shared" si="10"/>
        <v>0.10619208707162818</v>
      </c>
      <c r="Q99" s="10">
        <f t="shared" si="11"/>
        <v>0.38446830416237682</v>
      </c>
      <c r="R99" s="10">
        <f t="shared" si="12"/>
        <v>0.50933960876599504</v>
      </c>
      <c r="S99" s="8">
        <v>185.84639999999999</v>
      </c>
      <c r="T99" s="11">
        <v>3.7720000000000002E-3</v>
      </c>
      <c r="U99" s="10">
        <v>0.45</v>
      </c>
      <c r="V99" s="5">
        <f>IF(OR('99_Dashboard'!$B$4="All", '99_Dashboard'!$B$4=B99), 1, 0)</f>
        <v>1</v>
      </c>
      <c r="W99" s="5">
        <f>IF(OR('99_Dashboard'!$B$5="All", '99_Dashboard'!$B$5=D99), 1, 0)</f>
        <v>1</v>
      </c>
      <c r="X99" s="5">
        <f t="shared" si="13"/>
        <v>1</v>
      </c>
    </row>
    <row r="100" spans="1:24" x14ac:dyDescent="0.25">
      <c r="A100" s="5" t="s">
        <v>123</v>
      </c>
      <c r="B100" s="5" t="s">
        <v>19</v>
      </c>
      <c r="C100" s="5" t="s">
        <v>20</v>
      </c>
      <c r="D100" s="5" t="s">
        <v>22</v>
      </c>
      <c r="E100" s="7">
        <v>12865</v>
      </c>
      <c r="F100" s="7">
        <f>SUMIFS('02_Fills'!D:D, '02_Fills'!B:B, A100)</f>
        <v>12204</v>
      </c>
      <c r="G100" s="9">
        <f>SUMIFS('02_Fills'!H:H, '02_Fills'!B:B, A100)</f>
        <v>2377391.1800000002</v>
      </c>
      <c r="H100" s="8">
        <f t="shared" si="7"/>
        <v>194.80425925925928</v>
      </c>
      <c r="I100" s="9">
        <f>SUMIFS('02_Fills'!I:I, '02_Fills'!B:B, A100)</f>
        <v>35.660867699999997</v>
      </c>
      <c r="J100" s="8">
        <f t="shared" si="8"/>
        <v>0.14999999999999997</v>
      </c>
      <c r="K100" s="8">
        <f>VLOOKUP(A100, '01_Orders'!A:J, 10, FALSE)</f>
        <v>194.90426263802831</v>
      </c>
      <c r="L100" s="8">
        <f t="shared" si="9"/>
        <v>5.1308974680946449</v>
      </c>
      <c r="M100" s="7">
        <f>SUMIFS('02_Fills'!D:D, '02_Fills'!B:B, A100, '02_Fills'!F:F, "LIT")</f>
        <v>12204</v>
      </c>
      <c r="N100" s="7">
        <f>SUMIFS('02_Fills'!D:D, '02_Fills'!B:B, A100, '02_Fills'!F:F, "DARK")</f>
        <v>0</v>
      </c>
      <c r="O100" s="7">
        <f>SUMIFS('02_Fills'!D:D, '02_Fills'!B:B, A100, '02_Fills'!F:F, "BLOCK")</f>
        <v>0</v>
      </c>
      <c r="P100" s="10">
        <f t="shared" si="10"/>
        <v>1</v>
      </c>
      <c r="Q100" s="10">
        <f t="shared" si="11"/>
        <v>0</v>
      </c>
      <c r="R100" s="10">
        <f t="shared" si="12"/>
        <v>0</v>
      </c>
      <c r="S100" s="8">
        <v>194.9213</v>
      </c>
      <c r="T100" s="11">
        <v>8.61E-4</v>
      </c>
      <c r="U100" s="10">
        <v>0.15</v>
      </c>
      <c r="V100" s="5">
        <f>IF(OR('99_Dashboard'!$B$4="All", '99_Dashboard'!$B$4=B100), 1, 0)</f>
        <v>1</v>
      </c>
      <c r="W100" s="5">
        <f>IF(OR('99_Dashboard'!$B$5="All", '99_Dashboard'!$B$5=D100), 1, 0)</f>
        <v>1</v>
      </c>
      <c r="X100" s="5">
        <f t="shared" si="13"/>
        <v>1</v>
      </c>
    </row>
    <row r="101" spans="1:24" x14ac:dyDescent="0.25">
      <c r="A101" s="5" t="s">
        <v>124</v>
      </c>
      <c r="B101" s="5" t="s">
        <v>19</v>
      </c>
      <c r="C101" s="5" t="s">
        <v>20</v>
      </c>
      <c r="D101" s="5" t="s">
        <v>16</v>
      </c>
      <c r="E101" s="7">
        <v>6813</v>
      </c>
      <c r="F101" s="7">
        <f>SUMIFS('02_Fills'!D:D, '02_Fills'!B:B, A101)</f>
        <v>6716</v>
      </c>
      <c r="G101" s="9">
        <f>SUMIFS('02_Fills'!H:H, '02_Fills'!B:B, A101)</f>
        <v>1325566.0500000003</v>
      </c>
      <c r="H101" s="8">
        <f t="shared" si="7"/>
        <v>197.37433740321623</v>
      </c>
      <c r="I101" s="9">
        <f>SUMIFS('02_Fills'!I:I, '02_Fills'!B:B, A101)</f>
        <v>17.206111850000003</v>
      </c>
      <c r="J101" s="8">
        <f t="shared" si="8"/>
        <v>0.12980199553239916</v>
      </c>
      <c r="K101" s="8">
        <f>VLOOKUP(A101, '01_Orders'!A:J, 10, FALSE)</f>
        <v>197.4207046823899</v>
      </c>
      <c r="L101" s="8">
        <f t="shared" si="9"/>
        <v>2.3486533111236314</v>
      </c>
      <c r="M101" s="7">
        <f>SUMIFS('02_Fills'!D:D, '02_Fills'!B:B, A101, '02_Fills'!F:F, "LIT")</f>
        <v>4450</v>
      </c>
      <c r="N101" s="7">
        <f>SUMIFS('02_Fills'!D:D, '02_Fills'!B:B, A101, '02_Fills'!F:F, "DARK")</f>
        <v>1820</v>
      </c>
      <c r="O101" s="7">
        <f>SUMIFS('02_Fills'!D:D, '02_Fills'!B:B, A101, '02_Fills'!F:F, "BLOCK")</f>
        <v>446</v>
      </c>
      <c r="P101" s="10">
        <f t="shared" si="10"/>
        <v>0.66259678379988085</v>
      </c>
      <c r="Q101" s="10">
        <f t="shared" si="11"/>
        <v>0.27099463966646814</v>
      </c>
      <c r="R101" s="10">
        <f t="shared" si="12"/>
        <v>6.6408576533650981E-2</v>
      </c>
      <c r="S101" s="8">
        <v>197.6421</v>
      </c>
      <c r="T101" s="11">
        <v>1.622E-3</v>
      </c>
      <c r="U101" s="10">
        <v>0.35</v>
      </c>
      <c r="V101" s="5">
        <f>IF(OR('99_Dashboard'!$B$4="All", '99_Dashboard'!$B$4=B101), 1, 0)</f>
        <v>1</v>
      </c>
      <c r="W101" s="5">
        <f>IF(OR('99_Dashboard'!$B$5="All", '99_Dashboard'!$B$5=D101), 1, 0)</f>
        <v>1</v>
      </c>
      <c r="X101" s="5">
        <f t="shared" si="13"/>
        <v>1</v>
      </c>
    </row>
    <row r="102" spans="1:24" x14ac:dyDescent="0.25">
      <c r="A102" s="5" t="s">
        <v>125</v>
      </c>
      <c r="B102" s="5" t="s">
        <v>19</v>
      </c>
      <c r="C102" s="5" t="s">
        <v>20</v>
      </c>
      <c r="D102" s="5" t="s">
        <v>22</v>
      </c>
      <c r="E102" s="7">
        <v>18621</v>
      </c>
      <c r="F102" s="7">
        <f>SUMIFS('02_Fills'!D:D, '02_Fills'!B:B, A102)</f>
        <v>17751</v>
      </c>
      <c r="G102" s="9">
        <f>SUMIFS('02_Fills'!H:H, '02_Fills'!B:B, A102)</f>
        <v>3419725.0499999993</v>
      </c>
      <c r="H102" s="8">
        <f t="shared" si="7"/>
        <v>192.64971269224264</v>
      </c>
      <c r="I102" s="9">
        <f>SUMIFS('02_Fills'!I:I, '02_Fills'!B:B, A102)</f>
        <v>40.508791749999993</v>
      </c>
      <c r="J102" s="8">
        <f t="shared" si="8"/>
        <v>0.11845628276460413</v>
      </c>
      <c r="K102" s="8">
        <f>VLOOKUP(A102, '01_Orders'!A:J, 10, FALSE)</f>
        <v>192.8412793609121</v>
      </c>
      <c r="L102" s="8">
        <f t="shared" si="9"/>
        <v>9.9339036384904684</v>
      </c>
      <c r="M102" s="7">
        <f>SUMIFS('02_Fills'!D:D, '02_Fills'!B:B, A102, '02_Fills'!F:F, "LIT")</f>
        <v>6554</v>
      </c>
      <c r="N102" s="7">
        <f>SUMIFS('02_Fills'!D:D, '02_Fills'!B:B, A102, '02_Fills'!F:F, "DARK")</f>
        <v>11197</v>
      </c>
      <c r="O102" s="7">
        <f>SUMIFS('02_Fills'!D:D, '02_Fills'!B:B, A102, '02_Fills'!F:F, "BLOCK")</f>
        <v>0</v>
      </c>
      <c r="P102" s="10">
        <f t="shared" si="10"/>
        <v>0.36921863556982704</v>
      </c>
      <c r="Q102" s="10">
        <f t="shared" si="11"/>
        <v>0.63078136443017296</v>
      </c>
      <c r="R102" s="10">
        <f t="shared" si="12"/>
        <v>0</v>
      </c>
      <c r="S102" s="8">
        <v>192.80950000000001</v>
      </c>
      <c r="T102" s="11">
        <v>-5.9800000000000001E-4</v>
      </c>
      <c r="U102" s="10">
        <v>0.15</v>
      </c>
      <c r="V102" s="5">
        <f>IF(OR('99_Dashboard'!$B$4="All", '99_Dashboard'!$B$4=B102), 1, 0)</f>
        <v>1</v>
      </c>
      <c r="W102" s="5">
        <f>IF(OR('99_Dashboard'!$B$5="All", '99_Dashboard'!$B$5=D102), 1, 0)</f>
        <v>1</v>
      </c>
      <c r="X102" s="5">
        <f t="shared" si="13"/>
        <v>1</v>
      </c>
    </row>
    <row r="103" spans="1:24" x14ac:dyDescent="0.25">
      <c r="A103" s="5" t="s">
        <v>126</v>
      </c>
      <c r="B103" s="5" t="s">
        <v>28</v>
      </c>
      <c r="C103" s="5" t="s">
        <v>15</v>
      </c>
      <c r="D103" s="5" t="s">
        <v>25</v>
      </c>
      <c r="E103" s="7">
        <v>13541</v>
      </c>
      <c r="F103" s="7">
        <f>SUMIFS('02_Fills'!D:D, '02_Fills'!B:B, A103)</f>
        <v>12734</v>
      </c>
      <c r="G103" s="9">
        <f>SUMIFS('02_Fills'!H:H, '02_Fills'!B:B, A103)</f>
        <v>5333793.12</v>
      </c>
      <c r="H103" s="8">
        <f t="shared" si="7"/>
        <v>418.86234647400659</v>
      </c>
      <c r="I103" s="9">
        <f>SUMIFS('02_Fills'!I:I, '02_Fills'!B:B, A103)</f>
        <v>77.778740800000008</v>
      </c>
      <c r="J103" s="8">
        <f t="shared" si="8"/>
        <v>0.14582256763644408</v>
      </c>
      <c r="K103" s="8">
        <f>VLOOKUP(A103, '01_Orders'!A:J, 10, FALSE)</f>
        <v>417.86569756595497</v>
      </c>
      <c r="L103" s="8">
        <f t="shared" si="9"/>
        <v>23.850938563682949</v>
      </c>
      <c r="M103" s="7">
        <f>SUMIFS('02_Fills'!D:D, '02_Fills'!B:B, A103, '02_Fills'!F:F, "LIT")</f>
        <v>12202</v>
      </c>
      <c r="N103" s="7">
        <f>SUMIFS('02_Fills'!D:D, '02_Fills'!B:B, A103, '02_Fills'!F:F, "DARK")</f>
        <v>0</v>
      </c>
      <c r="O103" s="7">
        <f>SUMIFS('02_Fills'!D:D, '02_Fills'!B:B, A103, '02_Fills'!F:F, "BLOCK")</f>
        <v>532</v>
      </c>
      <c r="P103" s="10">
        <f t="shared" si="10"/>
        <v>0.95822208261347575</v>
      </c>
      <c r="Q103" s="10">
        <f t="shared" si="11"/>
        <v>0</v>
      </c>
      <c r="R103" s="10">
        <f t="shared" si="12"/>
        <v>4.1777917386524269E-2</v>
      </c>
      <c r="S103" s="8">
        <v>418.26710000000003</v>
      </c>
      <c r="T103" s="11">
        <v>6.8399999999999997E-3</v>
      </c>
      <c r="U103" s="10">
        <v>0.35</v>
      </c>
      <c r="V103" s="5">
        <f>IF(OR('99_Dashboard'!$B$4="All", '99_Dashboard'!$B$4=B103), 1, 0)</f>
        <v>1</v>
      </c>
      <c r="W103" s="5">
        <f>IF(OR('99_Dashboard'!$B$5="All", '99_Dashboard'!$B$5=D103), 1, 0)</f>
        <v>1</v>
      </c>
      <c r="X103" s="5">
        <f t="shared" si="13"/>
        <v>1</v>
      </c>
    </row>
    <row r="104" spans="1:24" x14ac:dyDescent="0.25">
      <c r="A104" s="5" t="s">
        <v>127</v>
      </c>
      <c r="B104" s="5" t="s">
        <v>32</v>
      </c>
      <c r="C104" s="5" t="s">
        <v>15</v>
      </c>
      <c r="D104" s="5" t="s">
        <v>25</v>
      </c>
      <c r="E104" s="7">
        <v>13053</v>
      </c>
      <c r="F104" s="7">
        <f>SUMIFS('02_Fills'!D:D, '02_Fills'!B:B, A104)</f>
        <v>12297</v>
      </c>
      <c r="G104" s="9">
        <f>SUMIFS('02_Fills'!H:H, '02_Fills'!B:B, A104)</f>
        <v>2145408.91</v>
      </c>
      <c r="H104" s="8">
        <f t="shared" si="7"/>
        <v>174.46604131088884</v>
      </c>
      <c r="I104" s="9">
        <f>SUMIFS('02_Fills'!I:I, '02_Fills'!B:B, A104)</f>
        <v>30.265001399999999</v>
      </c>
      <c r="J104" s="8">
        <f t="shared" si="8"/>
        <v>0.14106868513005288</v>
      </c>
      <c r="K104" s="8">
        <f>VLOOKUP(A104, '01_Orders'!A:J, 10, FALSE)</f>
        <v>174.4314765019671</v>
      </c>
      <c r="L104" s="8">
        <f t="shared" si="9"/>
        <v>1.9815694744379242</v>
      </c>
      <c r="M104" s="7">
        <f>SUMIFS('02_Fills'!D:D, '02_Fills'!B:B, A104, '02_Fills'!F:F, "LIT")</f>
        <v>10100</v>
      </c>
      <c r="N104" s="7">
        <f>SUMIFS('02_Fills'!D:D, '02_Fills'!B:B, A104, '02_Fills'!F:F, "DARK")</f>
        <v>2197</v>
      </c>
      <c r="O104" s="7">
        <f>SUMIFS('02_Fills'!D:D, '02_Fills'!B:B, A104, '02_Fills'!F:F, "BLOCK")</f>
        <v>0</v>
      </c>
      <c r="P104" s="10">
        <f t="shared" si="10"/>
        <v>0.8213385378547613</v>
      </c>
      <c r="Q104" s="10">
        <f t="shared" si="11"/>
        <v>0.17866146214523868</v>
      </c>
      <c r="R104" s="10">
        <f t="shared" si="12"/>
        <v>0</v>
      </c>
      <c r="S104" s="8">
        <v>174.50239999999999</v>
      </c>
      <c r="T104" s="11">
        <v>6.0489999999999997E-3</v>
      </c>
      <c r="U104" s="10">
        <v>0.35</v>
      </c>
      <c r="V104" s="5">
        <f>IF(OR('99_Dashboard'!$B$4="All", '99_Dashboard'!$B$4=B104), 1, 0)</f>
        <v>1</v>
      </c>
      <c r="W104" s="5">
        <f>IF(OR('99_Dashboard'!$B$5="All", '99_Dashboard'!$B$5=D104), 1, 0)</f>
        <v>1</v>
      </c>
      <c r="X104" s="5">
        <f t="shared" si="13"/>
        <v>1</v>
      </c>
    </row>
    <row r="105" spans="1:24" x14ac:dyDescent="0.25">
      <c r="A105" s="5" t="s">
        <v>128</v>
      </c>
      <c r="B105" s="5" t="s">
        <v>19</v>
      </c>
      <c r="C105" s="5" t="s">
        <v>20</v>
      </c>
      <c r="D105" s="5" t="s">
        <v>25</v>
      </c>
      <c r="E105" s="7">
        <v>10912</v>
      </c>
      <c r="F105" s="7">
        <f>SUMIFS('02_Fills'!D:D, '02_Fills'!B:B, A105)</f>
        <v>10910</v>
      </c>
      <c r="G105" s="9">
        <f>SUMIFS('02_Fills'!H:H, '02_Fills'!B:B, A105)</f>
        <v>2159960.84</v>
      </c>
      <c r="H105" s="8">
        <f t="shared" si="7"/>
        <v>197.9799120073327</v>
      </c>
      <c r="I105" s="9">
        <f>SUMIFS('02_Fills'!I:I, '02_Fills'!B:B, A105)</f>
        <v>25.980306849999998</v>
      </c>
      <c r="J105" s="8">
        <f t="shared" si="8"/>
        <v>0.12028137903648289</v>
      </c>
      <c r="K105" s="8">
        <f>VLOOKUP(A105, '01_Orders'!A:J, 10, FALSE)</f>
        <v>196.87209294302269</v>
      </c>
      <c r="L105" s="8">
        <f t="shared" si="9"/>
        <v>-56.27100559298794</v>
      </c>
      <c r="M105" s="7">
        <f>SUMIFS('02_Fills'!D:D, '02_Fills'!B:B, A105, '02_Fills'!F:F, "LIT")</f>
        <v>5002</v>
      </c>
      <c r="N105" s="7">
        <f>SUMIFS('02_Fills'!D:D, '02_Fills'!B:B, A105, '02_Fills'!F:F, "DARK")</f>
        <v>5332</v>
      </c>
      <c r="O105" s="7">
        <f>SUMIFS('02_Fills'!D:D, '02_Fills'!B:B, A105, '02_Fills'!F:F, "BLOCK")</f>
        <v>576</v>
      </c>
      <c r="P105" s="10">
        <f t="shared" si="10"/>
        <v>0.45847846012832266</v>
      </c>
      <c r="Q105" s="10">
        <f t="shared" si="11"/>
        <v>0.48872593950504123</v>
      </c>
      <c r="R105" s="10">
        <f t="shared" si="12"/>
        <v>5.2795600366636115E-2</v>
      </c>
      <c r="S105" s="8">
        <v>197.88740000000001</v>
      </c>
      <c r="T105" s="11">
        <v>1.3443999999999999E-2</v>
      </c>
      <c r="U105" s="10">
        <v>0.35</v>
      </c>
      <c r="V105" s="5">
        <f>IF(OR('99_Dashboard'!$B$4="All", '99_Dashboard'!$B$4=B105), 1, 0)</f>
        <v>1</v>
      </c>
      <c r="W105" s="5">
        <f>IF(OR('99_Dashboard'!$B$5="All", '99_Dashboard'!$B$5=D105), 1, 0)</f>
        <v>1</v>
      </c>
      <c r="X105" s="5">
        <f t="shared" si="13"/>
        <v>1</v>
      </c>
    </row>
    <row r="106" spans="1:24" x14ac:dyDescent="0.25">
      <c r="A106" s="5" t="s">
        <v>129</v>
      </c>
      <c r="B106" s="5" t="s">
        <v>24</v>
      </c>
      <c r="C106" s="5" t="s">
        <v>20</v>
      </c>
      <c r="D106" s="5" t="s">
        <v>25</v>
      </c>
      <c r="E106" s="7">
        <v>9256</v>
      </c>
      <c r="F106" s="7">
        <f>SUMIFS('02_Fills'!D:D, '02_Fills'!B:B, A106)</f>
        <v>9012</v>
      </c>
      <c r="G106" s="9">
        <f>SUMIFS('02_Fills'!H:H, '02_Fills'!B:B, A106)</f>
        <v>2188478.9899999998</v>
      </c>
      <c r="H106" s="8">
        <f t="shared" si="7"/>
        <v>242.84054482911671</v>
      </c>
      <c r="I106" s="9">
        <f>SUMIFS('02_Fills'!I:I, '02_Fills'!B:B, A106)</f>
        <v>26.104949050000002</v>
      </c>
      <c r="J106" s="8">
        <f t="shared" si="8"/>
        <v>0.11928352599811801</v>
      </c>
      <c r="K106" s="8">
        <f>VLOOKUP(A106, '01_Orders'!A:J, 10, FALSE)</f>
        <v>242.74072285653759</v>
      </c>
      <c r="L106" s="8">
        <f t="shared" si="9"/>
        <v>-4.1122878520106205</v>
      </c>
      <c r="M106" s="7">
        <f>SUMIFS('02_Fills'!D:D, '02_Fills'!B:B, A106, '02_Fills'!F:F, "LIT")</f>
        <v>6106</v>
      </c>
      <c r="N106" s="7">
        <f>SUMIFS('02_Fills'!D:D, '02_Fills'!B:B, A106, '02_Fills'!F:F, "DARK")</f>
        <v>291</v>
      </c>
      <c r="O106" s="7">
        <f>SUMIFS('02_Fills'!D:D, '02_Fills'!B:B, A106, '02_Fills'!F:F, "BLOCK")</f>
        <v>2615</v>
      </c>
      <c r="P106" s="10">
        <f t="shared" si="10"/>
        <v>0.67754105636928541</v>
      </c>
      <c r="Q106" s="10">
        <f t="shared" si="11"/>
        <v>3.2290279627163784E-2</v>
      </c>
      <c r="R106" s="10">
        <f t="shared" si="12"/>
        <v>0.29016866400355085</v>
      </c>
      <c r="S106" s="8">
        <v>243.01939999999999</v>
      </c>
      <c r="T106" s="11">
        <v>1.3795E-2</v>
      </c>
      <c r="U106" s="10">
        <v>0.35</v>
      </c>
      <c r="V106" s="5">
        <f>IF(OR('99_Dashboard'!$B$4="All", '99_Dashboard'!$B$4=B106), 1, 0)</f>
        <v>1</v>
      </c>
      <c r="W106" s="5">
        <f>IF(OR('99_Dashboard'!$B$5="All", '99_Dashboard'!$B$5=D106), 1, 0)</f>
        <v>1</v>
      </c>
      <c r="X106" s="5">
        <f t="shared" si="13"/>
        <v>1</v>
      </c>
    </row>
    <row r="107" spans="1:24" x14ac:dyDescent="0.25">
      <c r="A107" s="5" t="s">
        <v>130</v>
      </c>
      <c r="B107" s="5" t="s">
        <v>14</v>
      </c>
      <c r="C107" s="5" t="s">
        <v>20</v>
      </c>
      <c r="D107" s="5" t="s">
        <v>16</v>
      </c>
      <c r="E107" s="7">
        <v>3579</v>
      </c>
      <c r="F107" s="7">
        <f>SUMIFS('02_Fills'!D:D, '02_Fills'!B:B, A107)</f>
        <v>3556</v>
      </c>
      <c r="G107" s="9">
        <f>SUMIFS('02_Fills'!H:H, '02_Fills'!B:B, A107)</f>
        <v>657846.30000000005</v>
      </c>
      <c r="H107" s="8">
        <f t="shared" si="7"/>
        <v>184.99614735658045</v>
      </c>
      <c r="I107" s="9">
        <f>SUMIFS('02_Fills'!I:I, '02_Fills'!B:B, A107)</f>
        <v>6.7743228000000002</v>
      </c>
      <c r="J107" s="8">
        <f t="shared" si="8"/>
        <v>0.10297728815986348</v>
      </c>
      <c r="K107" s="8">
        <f>VLOOKUP(A107, '01_Orders'!A:J, 10, FALSE)</f>
        <v>185.05659056921189</v>
      </c>
      <c r="L107" s="8">
        <f t="shared" si="9"/>
        <v>3.2662015681540777</v>
      </c>
      <c r="M107" s="7">
        <f>SUMIFS('02_Fills'!D:D, '02_Fills'!B:B, A107, '02_Fills'!F:F, "LIT")</f>
        <v>780</v>
      </c>
      <c r="N107" s="7">
        <f>SUMIFS('02_Fills'!D:D, '02_Fills'!B:B, A107, '02_Fills'!F:F, "DARK")</f>
        <v>2208</v>
      </c>
      <c r="O107" s="7">
        <f>SUMIFS('02_Fills'!D:D, '02_Fills'!B:B, A107, '02_Fills'!F:F, "BLOCK")</f>
        <v>568</v>
      </c>
      <c r="P107" s="10">
        <f t="shared" si="10"/>
        <v>0.21934758155230596</v>
      </c>
      <c r="Q107" s="10">
        <f t="shared" si="11"/>
        <v>0.6209223847019123</v>
      </c>
      <c r="R107" s="10">
        <f t="shared" si="12"/>
        <v>0.15973003374578179</v>
      </c>
      <c r="S107" s="8">
        <v>185.09719999999999</v>
      </c>
      <c r="T107" s="11">
        <v>3.2490000000000002E-3</v>
      </c>
      <c r="U107" s="10">
        <v>0.45</v>
      </c>
      <c r="V107" s="5">
        <f>IF(OR('99_Dashboard'!$B$4="All", '99_Dashboard'!$B$4=B107), 1, 0)</f>
        <v>1</v>
      </c>
      <c r="W107" s="5">
        <f>IF(OR('99_Dashboard'!$B$5="All", '99_Dashboard'!$B$5=D107), 1, 0)</f>
        <v>1</v>
      </c>
      <c r="X107" s="5">
        <f t="shared" si="13"/>
        <v>1</v>
      </c>
    </row>
    <row r="108" spans="1:24" x14ac:dyDescent="0.25">
      <c r="A108" s="5" t="s">
        <v>131</v>
      </c>
      <c r="B108" s="5" t="s">
        <v>28</v>
      </c>
      <c r="C108" s="5" t="s">
        <v>20</v>
      </c>
      <c r="D108" s="5" t="s">
        <v>22</v>
      </c>
      <c r="E108" s="7">
        <v>17016</v>
      </c>
      <c r="F108" s="7">
        <f>SUMIFS('02_Fills'!D:D, '02_Fills'!B:B, A108)</f>
        <v>16767</v>
      </c>
      <c r="G108" s="9">
        <f>SUMIFS('02_Fills'!H:H, '02_Fills'!B:B, A108)</f>
        <v>6951777.7599999998</v>
      </c>
      <c r="H108" s="8">
        <f t="shared" si="7"/>
        <v>414.61070913103117</v>
      </c>
      <c r="I108" s="9">
        <f>SUMIFS('02_Fills'!I:I, '02_Fills'!B:B, A108)</f>
        <v>100.83257570000001</v>
      </c>
      <c r="J108" s="8">
        <f t="shared" si="8"/>
        <v>0.14504574107674006</v>
      </c>
      <c r="K108" s="8">
        <f>VLOOKUP(A108, '01_Orders'!A:J, 10, FALSE)</f>
        <v>413.63479176956741</v>
      </c>
      <c r="L108" s="8">
        <f t="shared" si="9"/>
        <v>-23.59369619970056</v>
      </c>
      <c r="M108" s="7">
        <f>SUMIFS('02_Fills'!D:D, '02_Fills'!B:B, A108, '02_Fills'!F:F, "LIT")</f>
        <v>15107</v>
      </c>
      <c r="N108" s="7">
        <f>SUMIFS('02_Fills'!D:D, '02_Fills'!B:B, A108, '02_Fills'!F:F, "DARK")</f>
        <v>1660</v>
      </c>
      <c r="O108" s="7">
        <f>SUMIFS('02_Fills'!D:D, '02_Fills'!B:B, A108, '02_Fills'!F:F, "BLOCK")</f>
        <v>0</v>
      </c>
      <c r="P108" s="10">
        <f t="shared" si="10"/>
        <v>0.90099600405558533</v>
      </c>
      <c r="Q108" s="10">
        <f t="shared" si="11"/>
        <v>9.9003995944414627E-2</v>
      </c>
      <c r="R108" s="10">
        <f t="shared" si="12"/>
        <v>0</v>
      </c>
      <c r="S108" s="8">
        <v>415.25319999999999</v>
      </c>
      <c r="T108" s="11">
        <v>1.3554E-2</v>
      </c>
      <c r="U108" s="10">
        <v>0.2</v>
      </c>
      <c r="V108" s="5">
        <f>IF(OR('99_Dashboard'!$B$4="All", '99_Dashboard'!$B$4=B108), 1, 0)</f>
        <v>1</v>
      </c>
      <c r="W108" s="5">
        <f>IF(OR('99_Dashboard'!$B$5="All", '99_Dashboard'!$B$5=D108), 1, 0)</f>
        <v>1</v>
      </c>
      <c r="X108" s="5">
        <f t="shared" si="13"/>
        <v>1</v>
      </c>
    </row>
    <row r="109" spans="1:24" x14ac:dyDescent="0.25">
      <c r="A109" s="5" t="s">
        <v>132</v>
      </c>
      <c r="B109" s="5" t="s">
        <v>32</v>
      </c>
      <c r="C109" s="5" t="s">
        <v>15</v>
      </c>
      <c r="D109" s="5" t="s">
        <v>25</v>
      </c>
      <c r="E109" s="7">
        <v>8349</v>
      </c>
      <c r="F109" s="7">
        <f>SUMIFS('02_Fills'!D:D, '02_Fills'!B:B, A109)</f>
        <v>8336</v>
      </c>
      <c r="G109" s="9">
        <f>SUMIFS('02_Fills'!H:H, '02_Fills'!B:B, A109)</f>
        <v>1453048.69</v>
      </c>
      <c r="H109" s="8">
        <f t="shared" si="7"/>
        <v>174.3100635796545</v>
      </c>
      <c r="I109" s="9">
        <f>SUMIFS('02_Fills'!I:I, '02_Fills'!B:B, A109)</f>
        <v>19.134618549999999</v>
      </c>
      <c r="J109" s="8">
        <f t="shared" si="8"/>
        <v>0.13168601081082837</v>
      </c>
      <c r="K109" s="8">
        <f>VLOOKUP(A109, '01_Orders'!A:J, 10, FALSE)</f>
        <v>174.1137685108159</v>
      </c>
      <c r="L109" s="8">
        <f t="shared" si="9"/>
        <v>11.273954410239572</v>
      </c>
      <c r="M109" s="7">
        <f>SUMIFS('02_Fills'!D:D, '02_Fills'!B:B, A109, '02_Fills'!F:F, "LIT")</f>
        <v>5280</v>
      </c>
      <c r="N109" s="7">
        <f>SUMIFS('02_Fills'!D:D, '02_Fills'!B:B, A109, '02_Fills'!F:F, "DARK")</f>
        <v>3056</v>
      </c>
      <c r="O109" s="7">
        <f>SUMIFS('02_Fills'!D:D, '02_Fills'!B:B, A109, '02_Fills'!F:F, "BLOCK")</f>
        <v>0</v>
      </c>
      <c r="P109" s="10">
        <f t="shared" si="10"/>
        <v>0.63339731285988488</v>
      </c>
      <c r="Q109" s="10">
        <f t="shared" si="11"/>
        <v>0.36660268714011518</v>
      </c>
      <c r="R109" s="10">
        <f t="shared" si="12"/>
        <v>0</v>
      </c>
      <c r="S109" s="8">
        <v>174.3398</v>
      </c>
      <c r="T109" s="11">
        <v>4.4700000000000002E-4</v>
      </c>
      <c r="U109" s="10">
        <v>0.25</v>
      </c>
      <c r="V109" s="5">
        <f>IF(OR('99_Dashboard'!$B$4="All", '99_Dashboard'!$B$4=B109), 1, 0)</f>
        <v>1</v>
      </c>
      <c r="W109" s="5">
        <f>IF(OR('99_Dashboard'!$B$5="All", '99_Dashboard'!$B$5=D109), 1, 0)</f>
        <v>1</v>
      </c>
      <c r="X109" s="5">
        <f t="shared" si="13"/>
        <v>1</v>
      </c>
    </row>
    <row r="110" spans="1:24" x14ac:dyDescent="0.25">
      <c r="A110" s="5" t="s">
        <v>133</v>
      </c>
      <c r="B110" s="5" t="s">
        <v>28</v>
      </c>
      <c r="C110" s="5" t="s">
        <v>20</v>
      </c>
      <c r="D110" s="5" t="s">
        <v>16</v>
      </c>
      <c r="E110" s="7">
        <v>4232</v>
      </c>
      <c r="F110" s="7">
        <f>SUMIFS('02_Fills'!D:D, '02_Fills'!B:B, A110)</f>
        <v>4066</v>
      </c>
      <c r="G110" s="9">
        <f>SUMIFS('02_Fills'!H:H, '02_Fills'!B:B, A110)</f>
        <v>1717438.34</v>
      </c>
      <c r="H110" s="8">
        <f t="shared" si="7"/>
        <v>422.39014756517463</v>
      </c>
      <c r="I110" s="9">
        <f>SUMIFS('02_Fills'!I:I, '02_Fills'!B:B, A110)</f>
        <v>14.7939863</v>
      </c>
      <c r="J110" s="8">
        <f t="shared" si="8"/>
        <v>8.6139839524020406E-2</v>
      </c>
      <c r="K110" s="8">
        <f>VLOOKUP(A110, '01_Orders'!A:J, 10, FALSE)</f>
        <v>422.55809437203771</v>
      </c>
      <c r="L110" s="8">
        <f t="shared" si="9"/>
        <v>3.9745258486332067</v>
      </c>
      <c r="M110" s="7">
        <f>SUMIFS('02_Fills'!D:D, '02_Fills'!B:B, A110, '02_Fills'!F:F, "LIT")</f>
        <v>81</v>
      </c>
      <c r="N110" s="7">
        <f>SUMIFS('02_Fills'!D:D, '02_Fills'!B:B, A110, '02_Fills'!F:F, "DARK")</f>
        <v>2777</v>
      </c>
      <c r="O110" s="7">
        <f>SUMIFS('02_Fills'!D:D, '02_Fills'!B:B, A110, '02_Fills'!F:F, "BLOCK")</f>
        <v>1208</v>
      </c>
      <c r="P110" s="10">
        <f t="shared" si="10"/>
        <v>1.9921298573536646E-2</v>
      </c>
      <c r="Q110" s="10">
        <f t="shared" si="11"/>
        <v>0.68298081652729958</v>
      </c>
      <c r="R110" s="10">
        <f t="shared" si="12"/>
        <v>0.29709788489916378</v>
      </c>
      <c r="S110" s="8">
        <v>422.38839999999999</v>
      </c>
      <c r="T110" s="11">
        <v>-5.7920000000000003E-3</v>
      </c>
      <c r="U110" s="10">
        <v>0.45</v>
      </c>
      <c r="V110" s="5">
        <f>IF(OR('99_Dashboard'!$B$4="All", '99_Dashboard'!$B$4=B110), 1, 0)</f>
        <v>1</v>
      </c>
      <c r="W110" s="5">
        <f>IF(OR('99_Dashboard'!$B$5="All", '99_Dashboard'!$B$5=D110), 1, 0)</f>
        <v>1</v>
      </c>
      <c r="X110" s="5">
        <f t="shared" si="13"/>
        <v>1</v>
      </c>
    </row>
    <row r="111" spans="1:24" x14ac:dyDescent="0.25">
      <c r="A111" s="5" t="s">
        <v>134</v>
      </c>
      <c r="B111" s="5" t="s">
        <v>24</v>
      </c>
      <c r="C111" s="5" t="s">
        <v>20</v>
      </c>
      <c r="D111" s="5" t="s">
        <v>22</v>
      </c>
      <c r="E111" s="7">
        <v>15680</v>
      </c>
      <c r="F111" s="7">
        <f>SUMIFS('02_Fills'!D:D, '02_Fills'!B:B, A111)</f>
        <v>15253</v>
      </c>
      <c r="G111" s="9">
        <f>SUMIFS('02_Fills'!H:H, '02_Fills'!B:B, A111)</f>
        <v>3700678.6600000006</v>
      </c>
      <c r="H111" s="8">
        <f t="shared" si="7"/>
        <v>242.61972464433231</v>
      </c>
      <c r="I111" s="9">
        <f>SUMIFS('02_Fills'!I:I, '02_Fills'!B:B, A111)</f>
        <v>53.796844899999996</v>
      </c>
      <c r="J111" s="8">
        <f t="shared" si="8"/>
        <v>0.14537021406770828</v>
      </c>
      <c r="K111" s="8">
        <f>VLOOKUP(A111, '01_Orders'!A:J, 10, FALSE)</f>
        <v>243.04671770305839</v>
      </c>
      <c r="L111" s="8">
        <f t="shared" si="9"/>
        <v>17.568353226961104</v>
      </c>
      <c r="M111" s="7">
        <f>SUMIFS('02_Fills'!D:D, '02_Fills'!B:B, A111, '02_Fills'!F:F, "LIT")</f>
        <v>14528</v>
      </c>
      <c r="N111" s="7">
        <f>SUMIFS('02_Fills'!D:D, '02_Fills'!B:B, A111, '02_Fills'!F:F, "DARK")</f>
        <v>40</v>
      </c>
      <c r="O111" s="7">
        <f>SUMIFS('02_Fills'!D:D, '02_Fills'!B:B, A111, '02_Fills'!F:F, "BLOCK")</f>
        <v>685</v>
      </c>
      <c r="P111" s="10">
        <f t="shared" si="10"/>
        <v>0.95246836687864678</v>
      </c>
      <c r="Q111" s="10">
        <f t="shared" si="11"/>
        <v>2.6224349308332788E-3</v>
      </c>
      <c r="R111" s="10">
        <f t="shared" si="12"/>
        <v>4.4909198190519896E-2</v>
      </c>
      <c r="S111" s="8">
        <v>242.9468</v>
      </c>
      <c r="T111" s="11">
        <v>1.6275999999999999E-2</v>
      </c>
      <c r="U111" s="10">
        <v>0.2</v>
      </c>
      <c r="V111" s="5">
        <f>IF(OR('99_Dashboard'!$B$4="All", '99_Dashboard'!$B$4=B111), 1, 0)</f>
        <v>1</v>
      </c>
      <c r="W111" s="5">
        <f>IF(OR('99_Dashboard'!$B$5="All", '99_Dashboard'!$B$5=D111), 1, 0)</f>
        <v>1</v>
      </c>
      <c r="X111" s="5">
        <f t="shared" si="13"/>
        <v>1</v>
      </c>
    </row>
    <row r="112" spans="1:24" x14ac:dyDescent="0.25">
      <c r="A112" s="5" t="s">
        <v>135</v>
      </c>
      <c r="B112" s="5" t="s">
        <v>24</v>
      </c>
      <c r="C112" s="5" t="s">
        <v>15</v>
      </c>
      <c r="D112" s="5" t="s">
        <v>16</v>
      </c>
      <c r="E112" s="7">
        <v>5661</v>
      </c>
      <c r="F112" s="7">
        <f>SUMIFS('02_Fills'!D:D, '02_Fills'!B:B, A112)</f>
        <v>5558</v>
      </c>
      <c r="G112" s="9">
        <f>SUMIFS('02_Fills'!H:H, '02_Fills'!B:B, A112)</f>
        <v>1357244.47</v>
      </c>
      <c r="H112" s="8">
        <f t="shared" si="7"/>
        <v>244.19655811442965</v>
      </c>
      <c r="I112" s="9">
        <f>SUMIFS('02_Fills'!I:I, '02_Fills'!B:B, A112)</f>
        <v>17.573948099999999</v>
      </c>
      <c r="J112" s="8">
        <f t="shared" si="8"/>
        <v>0.12948255445829887</v>
      </c>
      <c r="K112" s="8">
        <f>VLOOKUP(A112, '01_Orders'!A:J, 10, FALSE)</f>
        <v>243.45912576518219</v>
      </c>
      <c r="L112" s="8">
        <f t="shared" si="9"/>
        <v>30.289780550625728</v>
      </c>
      <c r="M112" s="7">
        <f>SUMIFS('02_Fills'!D:D, '02_Fills'!B:B, A112, '02_Fills'!F:F, "LIT")</f>
        <v>3534</v>
      </c>
      <c r="N112" s="7">
        <f>SUMIFS('02_Fills'!D:D, '02_Fills'!B:B, A112, '02_Fills'!F:F, "DARK")</f>
        <v>1766</v>
      </c>
      <c r="O112" s="7">
        <f>SUMIFS('02_Fills'!D:D, '02_Fills'!B:B, A112, '02_Fills'!F:F, "BLOCK")</f>
        <v>258</v>
      </c>
      <c r="P112" s="10">
        <f t="shared" si="10"/>
        <v>0.63584023029866854</v>
      </c>
      <c r="Q112" s="10">
        <f t="shared" si="11"/>
        <v>0.31774019431450162</v>
      </c>
      <c r="R112" s="10">
        <f t="shared" si="12"/>
        <v>4.6419575386829795E-2</v>
      </c>
      <c r="S112" s="8">
        <v>244.0197</v>
      </c>
      <c r="T112" s="11">
        <v>3.009E-3</v>
      </c>
      <c r="U112" s="10">
        <v>0.45</v>
      </c>
      <c r="V112" s="5">
        <f>IF(OR('99_Dashboard'!$B$4="All", '99_Dashboard'!$B$4=B112), 1, 0)</f>
        <v>1</v>
      </c>
      <c r="W112" s="5">
        <f>IF(OR('99_Dashboard'!$B$5="All", '99_Dashboard'!$B$5=D112), 1, 0)</f>
        <v>1</v>
      </c>
      <c r="X112" s="5">
        <f t="shared" si="13"/>
        <v>1</v>
      </c>
    </row>
    <row r="113" spans="1:24" x14ac:dyDescent="0.25">
      <c r="A113" s="5" t="s">
        <v>136</v>
      </c>
      <c r="B113" s="5" t="s">
        <v>24</v>
      </c>
      <c r="C113" s="5" t="s">
        <v>15</v>
      </c>
      <c r="D113" s="5" t="s">
        <v>25</v>
      </c>
      <c r="E113" s="7">
        <v>7141</v>
      </c>
      <c r="F113" s="7">
        <f>SUMIFS('02_Fills'!D:D, '02_Fills'!B:B, A113)</f>
        <v>6761</v>
      </c>
      <c r="G113" s="9">
        <f>SUMIFS('02_Fills'!H:H, '02_Fills'!B:B, A113)</f>
        <v>1659565.26</v>
      </c>
      <c r="H113" s="8">
        <f t="shared" si="7"/>
        <v>245.46150865256618</v>
      </c>
      <c r="I113" s="9">
        <f>SUMIFS('02_Fills'!I:I, '02_Fills'!B:B, A113)</f>
        <v>24.807935399999998</v>
      </c>
      <c r="J113" s="8">
        <f t="shared" si="8"/>
        <v>0.14948454271692815</v>
      </c>
      <c r="K113" s="8">
        <f>VLOOKUP(A113, '01_Orders'!A:J, 10, FALSE)</f>
        <v>245.06974864561681</v>
      </c>
      <c r="L113" s="8">
        <f t="shared" si="9"/>
        <v>15.985653435988684</v>
      </c>
      <c r="M113" s="7">
        <f>SUMIFS('02_Fills'!D:D, '02_Fills'!B:B, A113, '02_Fills'!F:F, "LIT")</f>
        <v>6691</v>
      </c>
      <c r="N113" s="7">
        <f>SUMIFS('02_Fills'!D:D, '02_Fills'!B:B, A113, '02_Fills'!F:F, "DARK")</f>
        <v>70</v>
      </c>
      <c r="O113" s="7">
        <f>SUMIFS('02_Fills'!D:D, '02_Fills'!B:B, A113, '02_Fills'!F:F, "BLOCK")</f>
        <v>0</v>
      </c>
      <c r="P113" s="10">
        <f t="shared" si="10"/>
        <v>0.98964650199674609</v>
      </c>
      <c r="Q113" s="10">
        <f t="shared" si="11"/>
        <v>1.0353498003253957E-2</v>
      </c>
      <c r="R113" s="10">
        <f t="shared" si="12"/>
        <v>0</v>
      </c>
      <c r="S113" s="8">
        <v>244.77979999999999</v>
      </c>
      <c r="T113" s="11">
        <v>7.4250000000000002E-3</v>
      </c>
      <c r="U113" s="10">
        <v>0.35</v>
      </c>
      <c r="V113" s="5">
        <f>IF(OR('99_Dashboard'!$B$4="All", '99_Dashboard'!$B$4=B113), 1, 0)</f>
        <v>1</v>
      </c>
      <c r="W113" s="5">
        <f>IF(OR('99_Dashboard'!$B$5="All", '99_Dashboard'!$B$5=D113), 1, 0)</f>
        <v>1</v>
      </c>
      <c r="X113" s="5">
        <f t="shared" si="13"/>
        <v>1</v>
      </c>
    </row>
    <row r="114" spans="1:24" x14ac:dyDescent="0.25">
      <c r="A114" s="5" t="s">
        <v>137</v>
      </c>
      <c r="B114" s="5" t="s">
        <v>28</v>
      </c>
      <c r="C114" s="5" t="s">
        <v>20</v>
      </c>
      <c r="D114" s="5" t="s">
        <v>25</v>
      </c>
      <c r="E114" s="7">
        <v>14286</v>
      </c>
      <c r="F114" s="7">
        <f>SUMIFS('02_Fills'!D:D, '02_Fills'!B:B, A114)</f>
        <v>13467</v>
      </c>
      <c r="G114" s="9">
        <f>SUMIFS('02_Fills'!H:H, '02_Fills'!B:B, A114)</f>
        <v>5712251.8300000001</v>
      </c>
      <c r="H114" s="8">
        <f t="shared" si="7"/>
        <v>424.16661691542288</v>
      </c>
      <c r="I114" s="9">
        <f>SUMIFS('02_Fills'!I:I, '02_Fills'!B:B, A114)</f>
        <v>73.616026300000016</v>
      </c>
      <c r="J114" s="8">
        <f t="shared" si="8"/>
        <v>0.12887391608573395</v>
      </c>
      <c r="K114" s="8">
        <f>VLOOKUP(A114, '01_Orders'!A:J, 10, FALSE)</f>
        <v>423.7863093390522</v>
      </c>
      <c r="L114" s="8">
        <f t="shared" si="9"/>
        <v>-8.9740411143488839</v>
      </c>
      <c r="M114" s="7">
        <f>SUMIFS('02_Fills'!D:D, '02_Fills'!B:B, A114, '02_Fills'!F:F, "LIT")</f>
        <v>7889</v>
      </c>
      <c r="N114" s="7">
        <f>SUMIFS('02_Fills'!D:D, '02_Fills'!B:B, A114, '02_Fills'!F:F, "DARK")</f>
        <v>5463</v>
      </c>
      <c r="O114" s="7">
        <f>SUMIFS('02_Fills'!D:D, '02_Fills'!B:B, A114, '02_Fills'!F:F, "BLOCK")</f>
        <v>115</v>
      </c>
      <c r="P114" s="10">
        <f t="shared" si="10"/>
        <v>0.58580233162545481</v>
      </c>
      <c r="Q114" s="10">
        <f t="shared" si="11"/>
        <v>0.40565827578525282</v>
      </c>
      <c r="R114" s="10">
        <f t="shared" si="12"/>
        <v>8.5393925892923439E-3</v>
      </c>
      <c r="S114" s="8">
        <v>424.11790000000002</v>
      </c>
      <c r="T114" s="11">
        <v>-6.4700000000000001E-4</v>
      </c>
      <c r="U114" s="10">
        <v>0.25</v>
      </c>
      <c r="V114" s="5">
        <f>IF(OR('99_Dashboard'!$B$4="All", '99_Dashboard'!$B$4=B114), 1, 0)</f>
        <v>1</v>
      </c>
      <c r="W114" s="5">
        <f>IF(OR('99_Dashboard'!$B$5="All", '99_Dashboard'!$B$5=D114), 1, 0)</f>
        <v>1</v>
      </c>
      <c r="X114" s="5">
        <f t="shared" si="13"/>
        <v>1</v>
      </c>
    </row>
    <row r="115" spans="1:24" x14ac:dyDescent="0.25">
      <c r="A115" s="5" t="s">
        <v>138</v>
      </c>
      <c r="B115" s="5" t="s">
        <v>19</v>
      </c>
      <c r="C115" s="5" t="s">
        <v>20</v>
      </c>
      <c r="D115" s="5" t="s">
        <v>25</v>
      </c>
      <c r="E115" s="7">
        <v>15765</v>
      </c>
      <c r="F115" s="7">
        <f>SUMIFS('02_Fills'!D:D, '02_Fills'!B:B, A115)</f>
        <v>15412</v>
      </c>
      <c r="G115" s="9">
        <f>SUMIFS('02_Fills'!H:H, '02_Fills'!B:B, A115)</f>
        <v>2996076.6500000004</v>
      </c>
      <c r="H115" s="8">
        <f t="shared" si="7"/>
        <v>194.39895211523492</v>
      </c>
      <c r="I115" s="9">
        <f>SUMIFS('02_Fills'!I:I, '02_Fills'!B:B, A115)</f>
        <v>38.057634750000005</v>
      </c>
      <c r="J115" s="8">
        <f t="shared" si="8"/>
        <v>0.12702490355178331</v>
      </c>
      <c r="K115" s="8">
        <f>VLOOKUP(A115, '01_Orders'!A:J, 10, FALSE)</f>
        <v>194.43164918314821</v>
      </c>
      <c r="L115" s="8">
        <f t="shared" si="9"/>
        <v>1.681674153907438</v>
      </c>
      <c r="M115" s="7">
        <f>SUMIFS('02_Fills'!D:D, '02_Fills'!B:B, A115, '02_Fills'!F:F, "LIT")</f>
        <v>9029</v>
      </c>
      <c r="N115" s="7">
        <f>SUMIFS('02_Fills'!D:D, '02_Fills'!B:B, A115, '02_Fills'!F:F, "DARK")</f>
        <v>5691</v>
      </c>
      <c r="O115" s="7">
        <f>SUMIFS('02_Fills'!D:D, '02_Fills'!B:B, A115, '02_Fills'!F:F, "BLOCK")</f>
        <v>692</v>
      </c>
      <c r="P115" s="10">
        <f t="shared" si="10"/>
        <v>0.58584220088242922</v>
      </c>
      <c r="Q115" s="10">
        <f t="shared" si="11"/>
        <v>0.36925772125616402</v>
      </c>
      <c r="R115" s="10">
        <f t="shared" si="12"/>
        <v>4.4900077861406699E-2</v>
      </c>
      <c r="S115" s="8">
        <v>194.47370000000001</v>
      </c>
      <c r="T115" s="11">
        <v>4.2459999999999998E-3</v>
      </c>
      <c r="U115" s="10">
        <v>0.35</v>
      </c>
      <c r="V115" s="5">
        <f>IF(OR('99_Dashboard'!$B$4="All", '99_Dashboard'!$B$4=B115), 1, 0)</f>
        <v>1</v>
      </c>
      <c r="W115" s="5">
        <f>IF(OR('99_Dashboard'!$B$5="All", '99_Dashboard'!$B$5=D115), 1, 0)</f>
        <v>1</v>
      </c>
      <c r="X115" s="5">
        <f t="shared" si="13"/>
        <v>1</v>
      </c>
    </row>
    <row r="116" spans="1:24" x14ac:dyDescent="0.25">
      <c r="A116" s="5" t="s">
        <v>139</v>
      </c>
      <c r="B116" s="5" t="s">
        <v>32</v>
      </c>
      <c r="C116" s="5" t="s">
        <v>20</v>
      </c>
      <c r="D116" s="5" t="s">
        <v>22</v>
      </c>
      <c r="E116" s="7">
        <v>23328</v>
      </c>
      <c r="F116" s="7">
        <f>SUMIFS('02_Fills'!D:D, '02_Fills'!B:B, A116)</f>
        <v>22791</v>
      </c>
      <c r="G116" s="9">
        <f>SUMIFS('02_Fills'!H:H, '02_Fills'!B:B, A116)</f>
        <v>3995243.48</v>
      </c>
      <c r="H116" s="8">
        <f t="shared" si="7"/>
        <v>175.29917423544381</v>
      </c>
      <c r="I116" s="9">
        <f>SUMIFS('02_Fills'!I:I, '02_Fills'!B:B, A116)</f>
        <v>59.928652199999995</v>
      </c>
      <c r="J116" s="8">
        <f t="shared" si="8"/>
        <v>0.15</v>
      </c>
      <c r="K116" s="8">
        <f>VLOOKUP(A116, '01_Orders'!A:J, 10, FALSE)</f>
        <v>175.16337591659291</v>
      </c>
      <c r="L116" s="8">
        <f t="shared" si="9"/>
        <v>-7.7526662260474568</v>
      </c>
      <c r="M116" s="7">
        <f>SUMIFS('02_Fills'!D:D, '02_Fills'!B:B, A116, '02_Fills'!F:F, "LIT")</f>
        <v>22791</v>
      </c>
      <c r="N116" s="7">
        <f>SUMIFS('02_Fills'!D:D, '02_Fills'!B:B, A116, '02_Fills'!F:F, "DARK")</f>
        <v>0</v>
      </c>
      <c r="O116" s="7">
        <f>SUMIFS('02_Fills'!D:D, '02_Fills'!B:B, A116, '02_Fills'!F:F, "BLOCK")</f>
        <v>0</v>
      </c>
      <c r="P116" s="10">
        <f t="shared" si="10"/>
        <v>1</v>
      </c>
      <c r="Q116" s="10">
        <f t="shared" si="11"/>
        <v>0</v>
      </c>
      <c r="R116" s="10">
        <f t="shared" si="12"/>
        <v>0</v>
      </c>
      <c r="S116" s="8">
        <v>175.3331</v>
      </c>
      <c r="T116" s="11">
        <v>6.9629999999999996E-3</v>
      </c>
      <c r="U116" s="10">
        <v>0.2</v>
      </c>
      <c r="V116" s="5">
        <f>IF(OR('99_Dashboard'!$B$4="All", '99_Dashboard'!$B$4=B116), 1, 0)</f>
        <v>1</v>
      </c>
      <c r="W116" s="5">
        <f>IF(OR('99_Dashboard'!$B$5="All", '99_Dashboard'!$B$5=D116), 1, 0)</f>
        <v>1</v>
      </c>
      <c r="X116" s="5">
        <f t="shared" si="13"/>
        <v>1</v>
      </c>
    </row>
    <row r="117" spans="1:24" x14ac:dyDescent="0.25">
      <c r="A117" s="5" t="s">
        <v>140</v>
      </c>
      <c r="B117" s="5" t="s">
        <v>28</v>
      </c>
      <c r="C117" s="5" t="s">
        <v>15</v>
      </c>
      <c r="D117" s="5" t="s">
        <v>16</v>
      </c>
      <c r="E117" s="7">
        <v>7600</v>
      </c>
      <c r="F117" s="7">
        <f>SUMIFS('02_Fills'!D:D, '02_Fills'!B:B, A117)</f>
        <v>7574</v>
      </c>
      <c r="G117" s="9">
        <f>SUMIFS('02_Fills'!H:H, '02_Fills'!B:B, A117)</f>
        <v>3140325.73</v>
      </c>
      <c r="H117" s="8">
        <f t="shared" si="7"/>
        <v>414.61918801161869</v>
      </c>
      <c r="I117" s="9">
        <f>SUMIFS('02_Fills'!I:I, '02_Fills'!B:B, A117)</f>
        <v>34.283931199999998</v>
      </c>
      <c r="J117" s="8">
        <f t="shared" si="8"/>
        <v>0.10917316911580378</v>
      </c>
      <c r="K117" s="8">
        <f>VLOOKUP(A117, '01_Orders'!A:J, 10, FALSE)</f>
        <v>413.68175476048299</v>
      </c>
      <c r="L117" s="8">
        <f t="shared" si="9"/>
        <v>22.660734739883907</v>
      </c>
      <c r="M117" s="7">
        <f>SUMIFS('02_Fills'!D:D, '02_Fills'!B:B, A117, '02_Fills'!F:F, "LIT")</f>
        <v>1388</v>
      </c>
      <c r="N117" s="7">
        <f>SUMIFS('02_Fills'!D:D, '02_Fills'!B:B, A117, '02_Fills'!F:F, "DARK")</f>
        <v>6186</v>
      </c>
      <c r="O117" s="7">
        <f>SUMIFS('02_Fills'!D:D, '02_Fills'!B:B, A117, '02_Fills'!F:F, "BLOCK")</f>
        <v>0</v>
      </c>
      <c r="P117" s="10">
        <f t="shared" si="10"/>
        <v>0.18325851597570636</v>
      </c>
      <c r="Q117" s="10">
        <f t="shared" si="11"/>
        <v>0.81674148402429358</v>
      </c>
      <c r="R117" s="10">
        <f t="shared" si="12"/>
        <v>0</v>
      </c>
      <c r="S117" s="8">
        <v>414.4504</v>
      </c>
      <c r="T117" s="11">
        <v>8.9800000000000001E-3</v>
      </c>
      <c r="U117" s="10">
        <v>0.45</v>
      </c>
      <c r="V117" s="5">
        <f>IF(OR('99_Dashboard'!$B$4="All", '99_Dashboard'!$B$4=B117), 1, 0)</f>
        <v>1</v>
      </c>
      <c r="W117" s="5">
        <f>IF(OR('99_Dashboard'!$B$5="All", '99_Dashboard'!$B$5=D117), 1, 0)</f>
        <v>1</v>
      </c>
      <c r="X117" s="5">
        <f t="shared" si="13"/>
        <v>1</v>
      </c>
    </row>
    <row r="118" spans="1:24" x14ac:dyDescent="0.25">
      <c r="A118" s="5" t="s">
        <v>141</v>
      </c>
      <c r="B118" s="5" t="s">
        <v>32</v>
      </c>
      <c r="C118" s="5" t="s">
        <v>15</v>
      </c>
      <c r="D118" s="5" t="s">
        <v>16</v>
      </c>
      <c r="E118" s="7">
        <v>4117</v>
      </c>
      <c r="F118" s="7">
        <f>SUMIFS('02_Fills'!D:D, '02_Fills'!B:B, A118)</f>
        <v>3877</v>
      </c>
      <c r="G118" s="9">
        <f>SUMIFS('02_Fills'!H:H, '02_Fills'!B:B, A118)</f>
        <v>677774.74</v>
      </c>
      <c r="H118" s="8">
        <f t="shared" si="7"/>
        <v>174.8193809646634</v>
      </c>
      <c r="I118" s="9">
        <f>SUMIFS('02_Fills'!I:I, '02_Fills'!B:B, A118)</f>
        <v>9.038587999999999</v>
      </c>
      <c r="J118" s="8">
        <f t="shared" si="8"/>
        <v>0.13335681409431102</v>
      </c>
      <c r="K118" s="8">
        <f>VLOOKUP(A118, '01_Orders'!A:J, 10, FALSE)</f>
        <v>174.7386822327428</v>
      </c>
      <c r="L118" s="8">
        <f t="shared" si="9"/>
        <v>4.6182522890441131</v>
      </c>
      <c r="M118" s="7">
        <f>SUMIFS('02_Fills'!D:D, '02_Fills'!B:B, A118, '02_Fills'!F:F, "LIT")</f>
        <v>3164</v>
      </c>
      <c r="N118" s="7">
        <f>SUMIFS('02_Fills'!D:D, '02_Fills'!B:B, A118, '02_Fills'!F:F, "DARK")</f>
        <v>134</v>
      </c>
      <c r="O118" s="7">
        <f>SUMIFS('02_Fills'!D:D, '02_Fills'!B:B, A118, '02_Fills'!F:F, "BLOCK")</f>
        <v>579</v>
      </c>
      <c r="P118" s="10">
        <f t="shared" si="10"/>
        <v>0.81609491875161211</v>
      </c>
      <c r="Q118" s="10">
        <f t="shared" si="11"/>
        <v>3.456280629352592E-2</v>
      </c>
      <c r="R118" s="10">
        <f t="shared" si="12"/>
        <v>0.14934227495486202</v>
      </c>
      <c r="S118" s="8">
        <v>174.54929999999999</v>
      </c>
      <c r="T118" s="11">
        <v>-3.2239999999999999E-3</v>
      </c>
      <c r="U118" s="10">
        <v>0.45</v>
      </c>
      <c r="V118" s="5">
        <f>IF(OR('99_Dashboard'!$B$4="All", '99_Dashboard'!$B$4=B118), 1, 0)</f>
        <v>1</v>
      </c>
      <c r="W118" s="5">
        <f>IF(OR('99_Dashboard'!$B$5="All", '99_Dashboard'!$B$5=D118), 1, 0)</f>
        <v>1</v>
      </c>
      <c r="X118" s="5">
        <f t="shared" si="13"/>
        <v>1</v>
      </c>
    </row>
    <row r="119" spans="1:24" x14ac:dyDescent="0.25">
      <c r="A119" s="5" t="s">
        <v>142</v>
      </c>
      <c r="B119" s="5" t="s">
        <v>19</v>
      </c>
      <c r="C119" s="5" t="s">
        <v>20</v>
      </c>
      <c r="D119" s="5" t="s">
        <v>16</v>
      </c>
      <c r="E119" s="7">
        <v>6527</v>
      </c>
      <c r="F119" s="7">
        <f>SUMIFS('02_Fills'!D:D, '02_Fills'!B:B, A119)</f>
        <v>6308</v>
      </c>
      <c r="G119" s="9">
        <f>SUMIFS('02_Fills'!H:H, '02_Fills'!B:B, A119)</f>
        <v>1217316.7400000002</v>
      </c>
      <c r="H119" s="8">
        <f t="shared" si="7"/>
        <v>192.97982561826257</v>
      </c>
      <c r="I119" s="9">
        <f>SUMIFS('02_Fills'!I:I, '02_Fills'!B:B, A119)</f>
        <v>16.799767299999999</v>
      </c>
      <c r="J119" s="8">
        <f t="shared" si="8"/>
        <v>0.13800654133779508</v>
      </c>
      <c r="K119" s="8">
        <f>VLOOKUP(A119, '01_Orders'!A:J, 10, FALSE)</f>
        <v>192.65578996543809</v>
      </c>
      <c r="L119" s="8">
        <f t="shared" si="9"/>
        <v>-16.819409003103853</v>
      </c>
      <c r="M119" s="7">
        <f>SUMIFS('02_Fills'!D:D, '02_Fills'!B:B, A119, '02_Fills'!F:F, "LIT")</f>
        <v>4792</v>
      </c>
      <c r="N119" s="7">
        <f>SUMIFS('02_Fills'!D:D, '02_Fills'!B:B, A119, '02_Fills'!F:F, "DARK")</f>
        <v>1516</v>
      </c>
      <c r="O119" s="7">
        <f>SUMIFS('02_Fills'!D:D, '02_Fills'!B:B, A119, '02_Fills'!F:F, "BLOCK")</f>
        <v>0</v>
      </c>
      <c r="P119" s="10">
        <f t="shared" si="10"/>
        <v>0.75967025998731774</v>
      </c>
      <c r="Q119" s="10">
        <f t="shared" si="11"/>
        <v>0.24032974001268231</v>
      </c>
      <c r="R119" s="10">
        <f t="shared" si="12"/>
        <v>0</v>
      </c>
      <c r="S119" s="8">
        <v>193.5018</v>
      </c>
      <c r="T119" s="11">
        <v>5.3249999999999999E-3</v>
      </c>
      <c r="U119" s="10">
        <v>0.45</v>
      </c>
      <c r="V119" s="5">
        <f>IF(OR('99_Dashboard'!$B$4="All", '99_Dashboard'!$B$4=B119), 1, 0)</f>
        <v>1</v>
      </c>
      <c r="W119" s="5">
        <f>IF(OR('99_Dashboard'!$B$5="All", '99_Dashboard'!$B$5=D119), 1, 0)</f>
        <v>1</v>
      </c>
      <c r="X119" s="5">
        <f t="shared" si="13"/>
        <v>1</v>
      </c>
    </row>
    <row r="120" spans="1:24" x14ac:dyDescent="0.25">
      <c r="A120" s="5" t="s">
        <v>143</v>
      </c>
      <c r="B120" s="5" t="s">
        <v>19</v>
      </c>
      <c r="C120" s="5" t="s">
        <v>15</v>
      </c>
      <c r="D120" s="5" t="s">
        <v>25</v>
      </c>
      <c r="E120" s="7">
        <v>9932</v>
      </c>
      <c r="F120" s="7">
        <f>SUMIFS('02_Fills'!D:D, '02_Fills'!B:B, A120)</f>
        <v>9739</v>
      </c>
      <c r="G120" s="9">
        <f>SUMIFS('02_Fills'!H:H, '02_Fills'!B:B, A120)</f>
        <v>1898245.22</v>
      </c>
      <c r="H120" s="8">
        <f t="shared" si="7"/>
        <v>194.91171783550672</v>
      </c>
      <c r="I120" s="9">
        <f>SUMIFS('02_Fills'!I:I, '02_Fills'!B:B, A120)</f>
        <v>25.2755139</v>
      </c>
      <c r="J120" s="8">
        <f t="shared" si="8"/>
        <v>0.13315199550456394</v>
      </c>
      <c r="K120" s="8">
        <f>VLOOKUP(A120, '01_Orders'!A:J, 10, FALSE)</f>
        <v>195.2214282473706</v>
      </c>
      <c r="L120" s="8">
        <f t="shared" si="9"/>
        <v>-15.864570536356927</v>
      </c>
      <c r="M120" s="7">
        <f>SUMIFS('02_Fills'!D:D, '02_Fills'!B:B, A120, '02_Fills'!F:F, "LIT")</f>
        <v>7769</v>
      </c>
      <c r="N120" s="7">
        <f>SUMIFS('02_Fills'!D:D, '02_Fills'!B:B, A120, '02_Fills'!F:F, "DARK")</f>
        <v>657</v>
      </c>
      <c r="O120" s="7">
        <f>SUMIFS('02_Fills'!D:D, '02_Fills'!B:B, A120, '02_Fills'!F:F, "BLOCK")</f>
        <v>1313</v>
      </c>
      <c r="P120" s="10">
        <f t="shared" si="10"/>
        <v>0.79772050518533733</v>
      </c>
      <c r="Q120" s="10">
        <f t="shared" si="11"/>
        <v>6.7460724920423043E-2</v>
      </c>
      <c r="R120" s="10">
        <f t="shared" si="12"/>
        <v>0.13481876989423966</v>
      </c>
      <c r="S120" s="8">
        <v>194.86009999999999</v>
      </c>
      <c r="T120" s="11">
        <v>8.3719999999999992E-3</v>
      </c>
      <c r="U120" s="10">
        <v>0.35</v>
      </c>
      <c r="V120" s="5">
        <f>IF(OR('99_Dashboard'!$B$4="All", '99_Dashboard'!$B$4=B120), 1, 0)</f>
        <v>1</v>
      </c>
      <c r="W120" s="5">
        <f>IF(OR('99_Dashboard'!$B$5="All", '99_Dashboard'!$B$5=D120), 1, 0)</f>
        <v>1</v>
      </c>
      <c r="X120" s="5">
        <f t="shared" si="13"/>
        <v>1</v>
      </c>
    </row>
    <row r="121" spans="1:24" x14ac:dyDescent="0.25">
      <c r="A121" s="5" t="s">
        <v>144</v>
      </c>
      <c r="B121" s="5" t="s">
        <v>28</v>
      </c>
      <c r="C121" s="5" t="s">
        <v>20</v>
      </c>
      <c r="D121" s="5" t="s">
        <v>25</v>
      </c>
      <c r="E121" s="7">
        <v>8664</v>
      </c>
      <c r="F121" s="7">
        <f>SUMIFS('02_Fills'!D:D, '02_Fills'!B:B, A121)</f>
        <v>8432</v>
      </c>
      <c r="G121" s="9">
        <f>SUMIFS('02_Fills'!H:H, '02_Fills'!B:B, A121)</f>
        <v>3568920.82</v>
      </c>
      <c r="H121" s="8">
        <f t="shared" si="7"/>
        <v>423.25911053130926</v>
      </c>
      <c r="I121" s="9">
        <f>SUMIFS('02_Fills'!I:I, '02_Fills'!B:B, A121)</f>
        <v>43.752363000000003</v>
      </c>
      <c r="J121" s="8">
        <f t="shared" si="8"/>
        <v>0.1225926973633447</v>
      </c>
      <c r="K121" s="8">
        <f>VLOOKUP(A121, '01_Orders'!A:J, 10, FALSE)</f>
        <v>424.03776625083458</v>
      </c>
      <c r="L121" s="8">
        <f t="shared" si="9"/>
        <v>18.36288607993264</v>
      </c>
      <c r="M121" s="7">
        <f>SUMIFS('02_Fills'!D:D, '02_Fills'!B:B, A121, '02_Fills'!F:F, "LIT")</f>
        <v>6125</v>
      </c>
      <c r="N121" s="7">
        <f>SUMIFS('02_Fills'!D:D, '02_Fills'!B:B, A121, '02_Fills'!F:F, "DARK")</f>
        <v>0</v>
      </c>
      <c r="O121" s="7">
        <f>SUMIFS('02_Fills'!D:D, '02_Fills'!B:B, A121, '02_Fills'!F:F, "BLOCK")</f>
        <v>2307</v>
      </c>
      <c r="P121" s="10">
        <f t="shared" si="10"/>
        <v>0.72639943074003799</v>
      </c>
      <c r="Q121" s="10">
        <f t="shared" si="11"/>
        <v>0</v>
      </c>
      <c r="R121" s="10">
        <f t="shared" si="12"/>
        <v>0.27360056925996207</v>
      </c>
      <c r="S121" s="8">
        <v>423.27769999999998</v>
      </c>
      <c r="T121" s="11">
        <v>-2.7230000000000002E-3</v>
      </c>
      <c r="U121" s="10">
        <v>0.35</v>
      </c>
      <c r="V121" s="5">
        <f>IF(OR('99_Dashboard'!$B$4="All", '99_Dashboard'!$B$4=B121), 1, 0)</f>
        <v>1</v>
      </c>
      <c r="W121" s="5">
        <f>IF(OR('99_Dashboard'!$B$5="All", '99_Dashboard'!$B$5=D121), 1, 0)</f>
        <v>1</v>
      </c>
      <c r="X121" s="5">
        <f t="shared" si="13"/>
        <v>1</v>
      </c>
    </row>
  </sheetData>
  <conditionalFormatting sqref="L2:L121">
    <cfRule type="colorScale" priority="1">
      <colorScale>
        <cfvo type="num" val="-10"/>
        <cfvo type="num" val="0"/>
        <cfvo type="num" val="10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workbookViewId="0">
      <pane ySplit="3" topLeftCell="A4" activePane="bottomLeft" state="frozen"/>
      <selection pane="bottomLeft" activeCell="I12" sqref="I12"/>
    </sheetView>
  </sheetViews>
  <sheetFormatPr defaultRowHeight="15" x14ac:dyDescent="0.25"/>
  <cols>
    <col min="1" max="1" width="50" customWidth="1"/>
    <col min="2" max="2" width="18.42578125" customWidth="1"/>
    <col min="3" max="3" width="25" customWidth="1"/>
    <col min="4" max="4" width="22" customWidth="1"/>
    <col min="5" max="5" width="14.140625" customWidth="1"/>
  </cols>
  <sheetData>
    <row r="1" spans="1:5" ht="21" x14ac:dyDescent="0.35">
      <c r="A1" s="1" t="s">
        <v>3913</v>
      </c>
    </row>
    <row r="3" spans="1:5" ht="15.75" x14ac:dyDescent="0.25">
      <c r="A3" s="2" t="s">
        <v>3914</v>
      </c>
    </row>
    <row r="4" spans="1:5" x14ac:dyDescent="0.25">
      <c r="A4" s="4" t="s">
        <v>149</v>
      </c>
      <c r="B4" s="4" t="s">
        <v>150</v>
      </c>
      <c r="C4" s="4" t="s">
        <v>3915</v>
      </c>
      <c r="D4" s="4" t="s">
        <v>3916</v>
      </c>
    </row>
    <row r="5" spans="1:5" x14ac:dyDescent="0.25">
      <c r="A5" s="5" t="s">
        <v>156</v>
      </c>
      <c r="B5" s="5">
        <v>0.15</v>
      </c>
      <c r="C5" s="5">
        <v>6</v>
      </c>
      <c r="D5" s="5">
        <v>2.5</v>
      </c>
    </row>
    <row r="6" spans="1:5" x14ac:dyDescent="0.25">
      <c r="A6" s="5" t="s">
        <v>159</v>
      </c>
      <c r="B6" s="5">
        <v>0.1</v>
      </c>
      <c r="C6" s="5">
        <v>3</v>
      </c>
      <c r="D6" s="5">
        <v>1.5</v>
      </c>
    </row>
    <row r="7" spans="1:5" x14ac:dyDescent="0.25">
      <c r="A7" s="5" t="s">
        <v>154</v>
      </c>
      <c r="B7" s="5">
        <v>0.05</v>
      </c>
      <c r="C7" s="5">
        <v>1.5</v>
      </c>
      <c r="D7" s="5">
        <v>1</v>
      </c>
    </row>
    <row r="10" spans="1:5" x14ac:dyDescent="0.25">
      <c r="A10" s="18" t="s">
        <v>3923</v>
      </c>
      <c r="B10" s="18" t="s">
        <v>3930</v>
      </c>
      <c r="C10" s="18" t="s">
        <v>3931</v>
      </c>
      <c r="D10" s="18" t="s">
        <v>3932</v>
      </c>
      <c r="E10" s="18" t="s">
        <v>3933</v>
      </c>
    </row>
    <row r="11" spans="1:5" x14ac:dyDescent="0.25">
      <c r="A11" s="18" t="s">
        <v>16</v>
      </c>
      <c r="B11" s="24">
        <v>0.35</v>
      </c>
      <c r="C11" s="25" t="s">
        <v>3934</v>
      </c>
      <c r="D11" s="25" t="s">
        <v>3935</v>
      </c>
      <c r="E11" s="24">
        <v>1</v>
      </c>
    </row>
    <row r="12" spans="1:5" x14ac:dyDescent="0.25">
      <c r="A12" s="20" t="s">
        <v>25</v>
      </c>
      <c r="B12" s="23">
        <v>0.15</v>
      </c>
      <c r="C12" s="26" t="s">
        <v>3934</v>
      </c>
      <c r="D12" s="26" t="s">
        <v>3935</v>
      </c>
      <c r="E12" s="23">
        <v>0.5</v>
      </c>
    </row>
    <row r="13" spans="1:5" x14ac:dyDescent="0.25">
      <c r="A13" s="19" t="s">
        <v>22</v>
      </c>
      <c r="B13" s="23">
        <v>0.05</v>
      </c>
      <c r="C13" s="22" t="s">
        <v>3934</v>
      </c>
      <c r="D13" s="22" t="s">
        <v>3935</v>
      </c>
      <c r="E13" s="21">
        <v>0.2</v>
      </c>
    </row>
    <row r="15" spans="1:5" x14ac:dyDescent="0.25">
      <c r="A15" s="28" t="s">
        <v>3937</v>
      </c>
    </row>
    <row r="17" spans="1:1" x14ac:dyDescent="0.25">
      <c r="A17" s="27" t="s">
        <v>3936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tabSelected="1" workbookViewId="0">
      <pane ySplit="9" topLeftCell="A10" activePane="bottomLeft" state="frozen"/>
      <selection pane="bottomLeft" activeCell="I12" sqref="I12"/>
    </sheetView>
  </sheetViews>
  <sheetFormatPr defaultRowHeight="15" x14ac:dyDescent="0.25"/>
  <cols>
    <col min="1" max="3" width="38" customWidth="1"/>
    <col min="4" max="4" width="24" customWidth="1"/>
    <col min="5" max="5" width="38" customWidth="1"/>
    <col min="7" max="7" width="9.140625" customWidth="1"/>
  </cols>
  <sheetData>
    <row r="1" spans="1:5" ht="21" x14ac:dyDescent="0.35">
      <c r="A1" s="1" t="s">
        <v>3917</v>
      </c>
    </row>
    <row r="3" spans="1:5" ht="15.75" x14ac:dyDescent="0.25">
      <c r="A3" s="2" t="s">
        <v>3918</v>
      </c>
      <c r="D3" s="2" t="s">
        <v>3919</v>
      </c>
    </row>
    <row r="4" spans="1:5" x14ac:dyDescent="0.25">
      <c r="A4" t="s">
        <v>3920</v>
      </c>
      <c r="B4" t="s">
        <v>3921</v>
      </c>
      <c r="D4" s="3" t="s">
        <v>3922</v>
      </c>
      <c r="E4">
        <f>SUM(TCA[match_all])</f>
        <v>120</v>
      </c>
    </row>
    <row r="5" spans="1:5" x14ac:dyDescent="0.25">
      <c r="A5" t="s">
        <v>3923</v>
      </c>
      <c r="B5" t="s">
        <v>3921</v>
      </c>
      <c r="D5" s="3" t="s">
        <v>3924</v>
      </c>
      <c r="E5" s="12">
        <f>IF(E4=0,"",SUMPRODUCT(TCA[impl_shortfall_bps],TCA[match_all])/E4)</f>
        <v>0.68011240616824342</v>
      </c>
    </row>
    <row r="6" spans="1:5" x14ac:dyDescent="0.25">
      <c r="D6" s="3" t="s">
        <v>3925</v>
      </c>
      <c r="E6" s="13">
        <f>IF(SUMPRODUCT(TCA[parent_qty],TCA[match_all])=0,"",SUMPRODUCT(TCA[filled_qty],TCA[match_all]) / SUMPRODUCT(TCA[parent_qty],TCA[match_all]))</f>
        <v>0.97132924542338117</v>
      </c>
    </row>
    <row r="7" spans="1:5" x14ac:dyDescent="0.25">
      <c r="D7" s="3" t="s">
        <v>3926</v>
      </c>
      <c r="E7" s="13">
        <f>IF(SUMPRODUCT(TCA[filled_qty],TCA[match_all])=0,"",SUMPRODUCT(TCA[block_qty],TCA[match_all]) / SUMPRODUCT(TCA[filled_qty],TCA[match_all]))</f>
        <v>0.11981214597563962</v>
      </c>
    </row>
    <row r="8" spans="1:5" ht="15.75" x14ac:dyDescent="0.25">
      <c r="A8" s="2" t="s">
        <v>3927</v>
      </c>
      <c r="D8" s="3" t="s">
        <v>3928</v>
      </c>
      <c r="E8" s="12">
        <f>IF(E4=0,"",SUMPRODUCT(TCA[fees_bps],TCA[match_all])/E4)</f>
        <v>0.11980777535453387</v>
      </c>
    </row>
    <row r="9" spans="1:5" x14ac:dyDescent="0.25">
      <c r="A9" s="4" t="s">
        <v>3923</v>
      </c>
      <c r="B9" s="4" t="s">
        <v>3924</v>
      </c>
      <c r="C9" s="4" t="s">
        <v>3929</v>
      </c>
    </row>
    <row r="10" spans="1:5" x14ac:dyDescent="0.25">
      <c r="A10" s="14" t="s">
        <v>16</v>
      </c>
      <c r="B10" s="15">
        <f>IF($B$4="All",AVERAGEIFS(TCA[impl_shortfall_bps],TCA[urgency],$A10),AVERAGEIFS(TCA[impl_shortfall_bps],TCA[ticker],$B$4,TCA[urgency],$A10))</f>
        <v>1.0985382975846911</v>
      </c>
      <c r="C10" s="16">
        <f>IF($B$4="All",AVERAGEIFS(TCA[block_pct],TCA[urgency],$A10),AVERAGEIFS(TCA[block_pct],TCA[ticker],$B$4,TCA[urgency],$A10))</f>
        <v>0.27519061377433929</v>
      </c>
    </row>
    <row r="11" spans="1:5" x14ac:dyDescent="0.25">
      <c r="A11" s="14" t="s">
        <v>25</v>
      </c>
      <c r="B11" s="15">
        <f>IF($B$4="All",AVERAGEIFS(TCA[impl_shortfall_bps],TCA[urgency],$A11),AVERAGEIFS(TCA[impl_shortfall_bps],TCA[ticker],$B$4,TCA[urgency],$A11))</f>
        <v>-0.88344514294719989</v>
      </c>
      <c r="C11" s="16">
        <f>IF($B$4="All",AVERAGEIFS(TCA[block_pct],TCA[urgency],$A11),AVERAGEIFS(TCA[block_pct],TCA[ticker],$B$4,TCA[urgency],$A11))</f>
        <v>0.12869168354707683</v>
      </c>
    </row>
    <row r="12" spans="1:5" x14ac:dyDescent="0.25">
      <c r="A12" s="14" t="s">
        <v>22</v>
      </c>
      <c r="B12" s="15">
        <f>IF($B$4="All",AVERAGEIFS(TCA[impl_shortfall_bps],TCA[urgency],$A12),AVERAGEIFS(TCA[impl_shortfall_bps],TCA[ticker],$B$4,TCA[urgency],$A12))</f>
        <v>3.2762413442247036</v>
      </c>
      <c r="C12" s="16">
        <f>IF($B$4="All",AVERAGEIFS(TCA[block_pct],TCA[urgency],$A12),AVERAGEIFS(TCA[block_pct],TCA[ticker],$B$4,TCA[urgency],$A12))</f>
        <v>4.2872436699193689E-2</v>
      </c>
    </row>
  </sheetData>
  <dataValidations count="2">
    <dataValidation type="list" showInputMessage="1" showErrorMessage="1" sqref="B4" xr:uid="{00000000-0002-0000-0600-000000000000}">
      <formula1>"All,AAPL,MSFT,NVDA,AMZN,TSLA"</formula1>
    </dataValidation>
    <dataValidation type="list" showInputMessage="1" showErrorMessage="1" sqref="B5" xr:uid="{00000000-0002-0000-0600-000001000000}">
      <formula1>"All,Low,Medium,High"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01_Orders</vt:lpstr>
      <vt:lpstr>02_Fills</vt:lpstr>
      <vt:lpstr>03_OHLCV_5min</vt:lpstr>
      <vt:lpstr>10_TCA_Calc</vt:lpstr>
      <vt:lpstr>20_Scenarios</vt:lpstr>
      <vt:lpstr>99_Dashboard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Brassington</cp:lastModifiedBy>
  <dcterms:created xsi:type="dcterms:W3CDTF">2025-12-11T02:01:14Z</dcterms:created>
  <dcterms:modified xsi:type="dcterms:W3CDTF">2025-12-11T03:34:59Z</dcterms:modified>
</cp:coreProperties>
</file>